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gendamento_Smart_Factory\"/>
    </mc:Choice>
  </mc:AlternateContent>
  <xr:revisionPtr revIDLastSave="0" documentId="13_ncr:1_{F6490E3E-0B69-466D-AB7A-E29ACC13B8BB}" xr6:coauthVersionLast="47" xr6:coauthVersionMax="47" xr10:uidLastSave="{00000000-0000-0000-0000-000000000000}"/>
  <bookViews>
    <workbookView xWindow="-108" yWindow="-108" windowWidth="23256" windowHeight="12456" xr2:uid="{8E0D1EC4-4AF8-4F28-9F7E-B7A1E945FEC0}"/>
  </bookViews>
  <sheets>
    <sheet name="Planilha1" sheetId="1" r:id="rId1"/>
  </sheets>
  <definedNames>
    <definedName name="query__15" localSheetId="0" hidden="1">Planilha1!$A$1:$K$167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1" l="1"/>
  <c r="K163" i="1"/>
  <c r="K165" i="1"/>
  <c r="K17" i="1"/>
  <c r="K70" i="1"/>
  <c r="K123" i="1"/>
  <c r="K162" i="1"/>
  <c r="K72" i="1"/>
  <c r="K166" i="1"/>
  <c r="K164" i="1"/>
  <c r="K89" i="1"/>
  <c r="K74" i="1"/>
  <c r="K107" i="1"/>
  <c r="K161" i="1"/>
  <c r="K71" i="1"/>
  <c r="K111" i="1"/>
  <c r="K132" i="1"/>
  <c r="K73" i="1"/>
  <c r="K112" i="1"/>
  <c r="K63" i="1"/>
  <c r="K4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F21BB9-560E-4007-B25B-08A03F43EC41}" odcFile="C:\Users\rvcardoso\Downloads\query (15).iqy" keepAlive="1" name="query (15)" type="5" refreshedVersion="8" minRefreshableVersion="3" saveData="1">
    <dbPr connection="Provider=Microsoft.Office.List.OLEDB.2.0;Data Source=&quot;&quot;;ApplicationName=Excel;Version=12.0.0.0" command="&lt;LIST&gt;&lt;VIEWGUID&gt;77B7F3D6-F966-489E-B161-495664F0FC2D&lt;/VIEWGUID&gt;&lt;LISTNAME&gt;b81d9bf1-82f7-40b2-b936-a43b568aaa24&lt;/LISTNAME&gt;&lt;LISTWEB&gt;https://sfirjan.sharepoint.com/sites/GRUPO_FIRJAN_CRM/CR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<sst xmlns="http://schemas.openxmlformats.org/spreadsheetml/2006/main" count="1601" uniqueCount="242">
  <si>
    <t>Title</t>
  </si>
  <si>
    <t>Nome da Ação</t>
  </si>
  <si>
    <t>ORIGEM DA BASE</t>
  </si>
  <si>
    <t>RAZÃO SOCIAL</t>
  </si>
  <si>
    <t>0</t>
  </si>
  <si>
    <t>TELEFONE</t>
  </si>
  <si>
    <t>E-MAIL</t>
  </si>
  <si>
    <t>Solução de Interesse</t>
  </si>
  <si>
    <t>TELEFONE SITE RECEITA</t>
  </si>
  <si>
    <t>E-MAIL ALTERNATIVO (Obtido com o Cliente)</t>
  </si>
  <si>
    <t>DATA E HORA AGENDAMENTO</t>
  </si>
  <si>
    <t>012/26</t>
  </si>
  <si>
    <t>Agendamento Smart Factory</t>
  </si>
  <si>
    <t>Interessadas Smart Factory</t>
  </si>
  <si>
    <t>Palermendes usinagem ltda</t>
  </si>
  <si>
    <t>Adenir Mendes</t>
  </si>
  <si>
    <t>24 24524235</t>
  </si>
  <si>
    <t>direcao@palermendes.com.br</t>
  </si>
  <si>
    <t>Aquapower</t>
  </si>
  <si>
    <t>B.Safer</t>
  </si>
  <si>
    <t>Evot</t>
  </si>
  <si>
    <t>Orion</t>
  </si>
  <si>
    <t>OTACOM</t>
  </si>
  <si>
    <t>PITECG</t>
  </si>
  <si>
    <t>Imaaj</t>
  </si>
  <si>
    <t>Aderbal Bonfante</t>
  </si>
  <si>
    <t>32984068132</t>
  </si>
  <si>
    <t>aderbal@imaaj.com.br</t>
  </si>
  <si>
    <t xml:space="preserve">Recel Sistemas Contra Incendio LTDA </t>
  </si>
  <si>
    <t>Alessandra Lima Nascimento de Andrade</t>
  </si>
  <si>
    <t>21 96487-8084</t>
  </si>
  <si>
    <t>alessandra@recel.com.br</t>
  </si>
  <si>
    <t>I9Spray</t>
  </si>
  <si>
    <t>JM Alimentos Congelados Ltda.</t>
  </si>
  <si>
    <t>Alexandre Pereira Barbosa</t>
  </si>
  <si>
    <t>alexandre@jeitimmineiro.com.br</t>
  </si>
  <si>
    <t>Squair</t>
  </si>
  <si>
    <t>RECICLAMAD / RECIPALLET</t>
  </si>
  <si>
    <t>Alexandre Salgado</t>
  </si>
  <si>
    <t>alexandre@recipallet.com.br</t>
  </si>
  <si>
    <t>ELÉTRICA KAIMAR</t>
  </si>
  <si>
    <t>AMARO OLIVEIRA DA CONCEIÇÃO JUNIOR</t>
  </si>
  <si>
    <t>eletricakaimar@yahoo.com.br</t>
  </si>
  <si>
    <t>Fardamento On e Offshore</t>
  </si>
  <si>
    <t>Ana  Cristina de Mello</t>
  </si>
  <si>
    <t>21964540641</t>
  </si>
  <si>
    <t>anamello@uniformesespecializados.com.br</t>
  </si>
  <si>
    <t>GELATO IMPERIAL IND COM E SERV LTDA</t>
  </si>
  <si>
    <t>ANDRÉ MAIA MENDES</t>
  </si>
  <si>
    <t>24 9 9277 7697</t>
  </si>
  <si>
    <t>andremaia@gelatoimperial.com.br</t>
  </si>
  <si>
    <t>25 9 9277 7697</t>
  </si>
  <si>
    <t>26 9 9277 7697</t>
  </si>
  <si>
    <t>27 9 9277 7697</t>
  </si>
  <si>
    <t xml:space="preserve">Avant Engenharia </t>
  </si>
  <si>
    <t xml:space="preserve">Antonio Mauricio Souza </t>
  </si>
  <si>
    <t>22 981242599</t>
  </si>
  <si>
    <t>msouza@avanteng.com.br</t>
  </si>
  <si>
    <t>21 981242599</t>
  </si>
  <si>
    <t>Tachi-S Brasil Industria de Assentos Automotivos Ltda</t>
  </si>
  <si>
    <t>Augusto Souza Gonçalves Alves</t>
  </si>
  <si>
    <t>24999447426</t>
  </si>
  <si>
    <t>a-alves@tachi-s.com.br</t>
  </si>
  <si>
    <t>O Fazedor</t>
  </si>
  <si>
    <t>Beatriz de Barros Santos</t>
  </si>
  <si>
    <t>bia@ofazedor.com</t>
  </si>
  <si>
    <t>REATIVA CENOGRAFIA PRODUÇÕES E EVENTOS LTDA</t>
  </si>
  <si>
    <t>Bruno La Marca Rodrigues</t>
  </si>
  <si>
    <t>21995986477</t>
  </si>
  <si>
    <t>bruno.lamarca@reativacenografia.com.br</t>
  </si>
  <si>
    <t>BR SOLUÇÕES SUSTENTÁVEIS</t>
  </si>
  <si>
    <t xml:space="preserve">Bruno Pinto Silva </t>
  </si>
  <si>
    <t>br.sustentavel@outlook.com</t>
  </si>
  <si>
    <t>C2 Coelho Gráfica e Editora</t>
  </si>
  <si>
    <t>Cássio Canuto Coelho</t>
  </si>
  <si>
    <t>21999443033</t>
  </si>
  <si>
    <t>comercial@c2coelhografica.com</t>
  </si>
  <si>
    <t>Assessa</t>
  </si>
  <si>
    <t>Daniel Couto</t>
  </si>
  <si>
    <t>danielcouto@assessa.com.br</t>
  </si>
  <si>
    <t>Suave Sedução Indústria e Comércio de Confecção de Lingerie e Roupas</t>
  </si>
  <si>
    <t>Diego Teixeira Pinto</t>
  </si>
  <si>
    <t>22 992656123</t>
  </si>
  <si>
    <t>suaveseducaoltda@gmail.com</t>
  </si>
  <si>
    <t>DL Soluções Graficas Eireli</t>
  </si>
  <si>
    <t>Diogo Basilio Louzada</t>
  </si>
  <si>
    <t>comercialdigrafk@gmail.com</t>
  </si>
  <si>
    <t>Ephigenia criacoes</t>
  </si>
  <si>
    <t>Diviane Ephigenia Alves da Silva de freitas</t>
  </si>
  <si>
    <t>Ephigeniacriacoes.lingerie@gmail.com</t>
  </si>
  <si>
    <t>22998207739</t>
  </si>
  <si>
    <t>RT LEA LOCAÇÃO DE EQUIPAMENTOS E ANDAIMES LTDA</t>
  </si>
  <si>
    <t>FERNANDA TURON MACIEL</t>
  </si>
  <si>
    <t>22 2020-9050</t>
  </si>
  <si>
    <t>FERNANDA@RTLEA.COM.BR</t>
  </si>
  <si>
    <t>Eletronuclear</t>
  </si>
  <si>
    <t>GIUSEPPE MAGDALENA STEPHAN</t>
  </si>
  <si>
    <t>(21) 99697-0471 ou 93619-1130</t>
  </si>
  <si>
    <t xml:space="preserve">gmscsup@eletronuclear.gov.br   </t>
  </si>
  <si>
    <t>Pedreira São Sebastião</t>
  </si>
  <si>
    <t>Hélio</t>
  </si>
  <si>
    <t>24 999069728</t>
  </si>
  <si>
    <t>helio.marcio@grupomil.com.br</t>
  </si>
  <si>
    <t>BRVAL</t>
  </si>
  <si>
    <t>Isaac Gerente operacional/Mateus Diretor</t>
  </si>
  <si>
    <t>21 99727-3087/ 11 973559972</t>
  </si>
  <si>
    <t>ASK OFFSHORE</t>
  </si>
  <si>
    <t xml:space="preserve">Jaqueline A. Silva Xavier </t>
  </si>
  <si>
    <t>22 99830-2885</t>
  </si>
  <si>
    <t>administracao@askoffshore.com.br</t>
  </si>
  <si>
    <t>Panificadora e Confeitaria Rabelo e Lopes</t>
  </si>
  <si>
    <t>Jessica Gonçalves Teixeira</t>
  </si>
  <si>
    <t>jessica@paoeciacopa.com.br</t>
  </si>
  <si>
    <t xml:space="preserve">JFC CONFECÇÃO </t>
  </si>
  <si>
    <t xml:space="preserve">Joice de Freitas Costa </t>
  </si>
  <si>
    <t>confeccaojfc@gmail.com</t>
  </si>
  <si>
    <t>EKOTIRE INDUSTRIA DE PNEUS LTDA</t>
  </si>
  <si>
    <t>JONAS DO ESPÍRITO SANTO RIBEIRO</t>
  </si>
  <si>
    <t>24993052569</t>
  </si>
  <si>
    <t>jonas.ribeiro@ekotire.com.br</t>
  </si>
  <si>
    <t>HAGA S.A.</t>
  </si>
  <si>
    <t>JOSÉ LUIZ ABICALIL</t>
  </si>
  <si>
    <t>22 992772904</t>
  </si>
  <si>
    <t>abicalil@haga.com.br</t>
  </si>
  <si>
    <t>Cartonagem Jopam Millenium Ind Com Ltda</t>
  </si>
  <si>
    <t>José Paulo L Ferreira</t>
  </si>
  <si>
    <t>contato@jopam.com.br</t>
  </si>
  <si>
    <t>ESL ENERGY</t>
  </si>
  <si>
    <t>JUBERTO ROCHA CORREIA</t>
  </si>
  <si>
    <t>21987900190</t>
  </si>
  <si>
    <t>esl@eslenergy.com.br</t>
  </si>
  <si>
    <t>TRÊS IRMÃOS INDÚSTRIA E COMÉRCIO DE PÃES LTDA</t>
  </si>
  <si>
    <t>KETHELYN NERI DE SOUZA</t>
  </si>
  <si>
    <t>21984519051</t>
  </si>
  <si>
    <t>rh@3irmaos.ind.br</t>
  </si>
  <si>
    <t>Pion G Plus</t>
  </si>
  <si>
    <t>Leonardo Matheus</t>
  </si>
  <si>
    <t>24 99961-0903</t>
  </si>
  <si>
    <t>SRR DE SOUZA COMERCIO DE MATERIAL PLSATICOS LTDA</t>
  </si>
  <si>
    <t>LUIZ CARLOS RICARDO DE SOUSA</t>
  </si>
  <si>
    <t>jaspeplasticos@gmail.com e jaspeindustria@gmail.com</t>
  </si>
  <si>
    <t>ARQTEMP CONSTRUÇÃO E ARQUITETURA LTDA</t>
  </si>
  <si>
    <t>Magno Klug Garcia</t>
  </si>
  <si>
    <t>magno.arqtemp@gmail.com</t>
  </si>
  <si>
    <t>Biomedica Esteves e Anjos LTDA</t>
  </si>
  <si>
    <t>Marco André Esteves Dos Anjos</t>
  </si>
  <si>
    <t>biomedicarj@biomedicarj.com.br</t>
  </si>
  <si>
    <t>Sant'Ana de Piraí Indústria e Comércio</t>
  </si>
  <si>
    <t>Marcus Sant'ana</t>
  </si>
  <si>
    <t>24 99942-3948</t>
  </si>
  <si>
    <t>marcus@tubloc.com.br</t>
  </si>
  <si>
    <t>MS Serviços de Usinagem Ltda</t>
  </si>
  <si>
    <t>Maria Elizalete Oliveira</t>
  </si>
  <si>
    <t>elizaletemesquita@hotmail.com</t>
  </si>
  <si>
    <t xml:space="preserve">Grupo Victorio Soluções </t>
  </si>
  <si>
    <t xml:space="preserve">Matheus Victor Ferreira de Sousa </t>
  </si>
  <si>
    <t>administracao@victoriosolucoes.com.br</t>
  </si>
  <si>
    <t>24999823135</t>
  </si>
  <si>
    <t>Gráfica Borges de Campo Grande Ltda</t>
  </si>
  <si>
    <t>Mauro Altamiro Borges de Araujo</t>
  </si>
  <si>
    <t>21964524707</t>
  </si>
  <si>
    <t>mauro@graficaborges.com.br</t>
  </si>
  <si>
    <t>SAN MARINO INDUSTRIA DE PLASTICOS LTDA</t>
  </si>
  <si>
    <t>NATASHA CRISTINA DE ALMEIDA PINTO</t>
  </si>
  <si>
    <t>24-98845.3163</t>
  </si>
  <si>
    <t>ADM@SANMARINOEMBALAGENS.COM.BR</t>
  </si>
  <si>
    <t>Disfarce Lingerie</t>
  </si>
  <si>
    <t>Pâmela Ramos Lopes Ferraz</t>
  </si>
  <si>
    <t>Pamela@usedisfarce.com.br</t>
  </si>
  <si>
    <t>Divipack Ind e Com Ltda</t>
  </si>
  <si>
    <t>Patrícia Marconi Vanderlei dos Santos</t>
  </si>
  <si>
    <t>divipack@uol.com.br</t>
  </si>
  <si>
    <t xml:space="preserve">Empreiteira Eller </t>
  </si>
  <si>
    <t xml:space="preserve">Pedro Ricardo Eller </t>
  </si>
  <si>
    <t xml:space="preserve">22 999838506 </t>
  </si>
  <si>
    <t xml:space="preserve">Pedroellernf@gmail.com </t>
  </si>
  <si>
    <t>Dulce Maria Fabricação de Massas LTDA</t>
  </si>
  <si>
    <t>Pedro Vidigal</t>
  </si>
  <si>
    <t>24 99229-0944</t>
  </si>
  <si>
    <t>Pedrovidigal@hotmail.com</t>
  </si>
  <si>
    <t>Padaria e Confeitaria Legran LTDA</t>
  </si>
  <si>
    <t>Rafael Leal</t>
  </si>
  <si>
    <t>atendimento@padarialegran.com.br</t>
  </si>
  <si>
    <t xml:space="preserve">Brilho e bronze Ltda </t>
  </si>
  <si>
    <t>Robert da Cruz Medeiros</t>
  </si>
  <si>
    <t>Brilhoebronze@gmail.com</t>
  </si>
  <si>
    <t>FONTES RENOVAVEIS SOLUÇÕES TECNOLÓGICAS E AMBIENTAIS LTDA</t>
  </si>
  <si>
    <t>ROBERTO LUÍS TINOCO REGATTIERI</t>
  </si>
  <si>
    <t>21 96475-7007</t>
  </si>
  <si>
    <t>FRENOVAVEIS@GMAIL.COM</t>
  </si>
  <si>
    <t>Deep Freeze Congelados Artesanais Ltda</t>
  </si>
  <si>
    <t>Roberto Sant Ana Lemos</t>
  </si>
  <si>
    <t>robertolemos@deepfreeze.com.br</t>
  </si>
  <si>
    <t>J S Ferreira Frigorífico LTDA</t>
  </si>
  <si>
    <t>Rodrigo Rezende</t>
  </si>
  <si>
    <t>24 99251-2281</t>
  </si>
  <si>
    <t>Charque Golden</t>
  </si>
  <si>
    <t>Rogéria</t>
  </si>
  <si>
    <t>21 99297-2181</t>
  </si>
  <si>
    <t>charquegolden@gmail.com</t>
  </si>
  <si>
    <t>rogeriamoreno@yahoo.com.br</t>
  </si>
  <si>
    <t>rondonia rio madeiras de araruama ltda</t>
  </si>
  <si>
    <t>rosimar das g moura canuto</t>
  </si>
  <si>
    <t>canutorosimoura@gmail.com</t>
  </si>
  <si>
    <t>Sandro Lopes Barbosa Ltda</t>
  </si>
  <si>
    <t>Sandro Lopes Barbosa</t>
  </si>
  <si>
    <t>(22)999617113</t>
  </si>
  <si>
    <t>sandrodapadaria@hotmail.com</t>
  </si>
  <si>
    <t>SOLA CONSTRUTORA</t>
  </si>
  <si>
    <t>SAURO SOLA</t>
  </si>
  <si>
    <t>24 98114-0734</t>
  </si>
  <si>
    <t>sauro@solaconstrutora.com.br</t>
  </si>
  <si>
    <t>Ramos de Oliveira Serviços Técnicos Especializados Ltda</t>
  </si>
  <si>
    <t>tatiana iara ramos</t>
  </si>
  <si>
    <t>21997396252</t>
  </si>
  <si>
    <t>construcaocivil@ramosdeoliveira.com</t>
  </si>
  <si>
    <t>CITYGAS COMERCIO DE GASES LTDA</t>
  </si>
  <si>
    <t>Tatiana Nóbrega de Freitas</t>
  </si>
  <si>
    <t>tatiana@citygas.com.br</t>
  </si>
  <si>
    <t xml:space="preserve">Real gráfica editora </t>
  </si>
  <si>
    <t xml:space="preserve">Tatiana oliveira santos de souza </t>
  </si>
  <si>
    <t>21-979900311</t>
  </si>
  <si>
    <t xml:space="preserve">alfaletras21@gmail.com </t>
  </si>
  <si>
    <t xml:space="preserve">Morumbi Industrial LTDA </t>
  </si>
  <si>
    <t xml:space="preserve">Thaynara Mesquita Rodrigues </t>
  </si>
  <si>
    <t>22992878450</t>
  </si>
  <si>
    <t xml:space="preserve">dep.pesssoal3@morumbi.ind.br </t>
  </si>
  <si>
    <t>Duas Torres Taverna Medieval Brewpub LTDA</t>
  </si>
  <si>
    <t>Vinicius Machado Agostinho</t>
  </si>
  <si>
    <t>contato@cervejaduastorres.com.br</t>
  </si>
  <si>
    <t>Fisiofit</t>
  </si>
  <si>
    <t>Walber Matos</t>
  </si>
  <si>
    <t>21 98848-1808</t>
  </si>
  <si>
    <t>walbermattos@gmail.com</t>
  </si>
  <si>
    <t>NOME DO CONTATO</t>
  </si>
  <si>
    <t>24/07/2026 13:30</t>
  </si>
  <si>
    <t>27/07/2026 13:30</t>
  </si>
  <si>
    <t>20/07/2026 14:30</t>
  </si>
  <si>
    <t>28/07/2026 13:30</t>
  </si>
  <si>
    <t>27/07/2026 10:00</t>
  </si>
  <si>
    <t>20/07/2026 13:30</t>
  </si>
  <si>
    <t>17/07/2026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</si>
</sst>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5" fillId="0" borderId="0" xfId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6" fillId="0" borderId="0" xfId="0" applyFont="1"/>
    <xf numFmtId="49" fontId="4" fillId="0" borderId="0" xfId="0" applyNumberFormat="1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2" xfId="0" applyNumberFormat="1" applyFont="1" applyBorder="1"/>
    <xf numFmtId="0" fontId="4" fillId="0" borderId="0" xfId="0" quotePrefix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2" applyFont="1" applyFill="1" applyAlignment="1">
      <alignment horizontal="center" vertical="center"/>
    </xf>
    <xf numFmtId="0" fontId="1" fillId="0" borderId="0" xfId="2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/>
    <xf numFmtId="0" fontId="4" fillId="0" borderId="1" xfId="0" applyFont="1" applyBorder="1" applyAlignment="1">
      <alignment horizontal="center" vertical="center"/>
    </xf>
    <xf numFmtId="22" fontId="4" fillId="0" borderId="0" xfId="0" applyNumberFormat="1" applyFont="1" applyAlignment="1">
      <alignment horizontal="right"/>
    </xf>
    <xf numFmtId="22" fontId="3" fillId="0" borderId="0" xfId="0" applyNumberFormat="1" applyFont="1" applyAlignment="1">
      <alignment horizontal="right"/>
    </xf>
    <xf numFmtId="22" fontId="3" fillId="0" borderId="2" xfId="0" applyNumberFormat="1" applyFont="1" applyBorder="1" applyAlignment="1">
      <alignment horizontal="right"/>
    </xf>
    <xf numFmtId="22" fontId="4" fillId="0" borderId="2" xfId="0" applyNumberFormat="1" applyFont="1" applyBorder="1" applyAlignment="1">
      <alignment horizontal="right"/>
    </xf>
    <xf numFmtId="22" fontId="0" fillId="0" borderId="0" xfId="0" applyNumberFormat="1" applyAlignment="1">
      <alignment horizontal="right"/>
    </xf>
    <xf numFmtId="22" fontId="6" fillId="0" borderId="0" xfId="0" applyNumberFormat="1" applyFont="1" applyAlignment="1">
      <alignment horizontal="left" vertical="center"/>
    </xf>
    <xf numFmtId="22" fontId="4" fillId="0" borderId="0" xfId="0" applyNumberFormat="1" applyFont="1"/>
    <xf numFmtId="49" fontId="4" fillId="0" borderId="0" xfId="0" applyNumberFormat="1" applyFont="1" applyAlignment="1">
      <alignment horizontal="right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13">
    <dxf>
      <font>
        <color rgb="FF000000"/>
      </font>
      <numFmt numFmtId="27" formatCode="dd/mm/yyyy\ hh:mm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</font>
      <numFmt numFmtId="30" formatCode="@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color rgb="FF000000"/>
        <family val="2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5)" backgroundRefresh="0" connectionId="1" xr16:uid="{8E0B0310-3763-4A31-9710-F74DFC0C0839}" autoFormatId="16" applyNumberFormats="0" applyBorderFormats="0" applyFontFormats="0" applyPatternFormats="0" applyAlignmentFormats="0" applyWidthHeightFormats="0">
  <queryTableRefresh nextId="47">
    <queryTableFields count="11">
      <queryTableField id="1" name="Title" tableColumnId="1"/>
      <queryTableField id="2" name="Nome da Ação" tableColumnId="2"/>
      <queryTableField id="3" name="ORIGEM DA BASE" tableColumnId="3"/>
      <queryTableField id="6" name="RAZÃO SOCIAL" tableColumnId="6"/>
      <queryTableField id="7" name="NOME DO CONTATO" tableColumnId="7"/>
      <queryTableField id="8" name="TELEFONE" tableColumnId="8"/>
      <queryTableField id="9" name="E-MAIL" tableColumnId="9"/>
      <queryTableField id="29" dataBound="0" tableColumnId="29"/>
      <queryTableField id="10" name="TELEFONE SITE RECEITA" tableColumnId="10"/>
      <queryTableField id="11" name="E-MAIL ALTERNATIVO (Obtido com o Cliente)" tableColumnId="11"/>
      <queryTableField id="15" name="DATA HORA (Tentativa 2)" tableColumnId="15"/>
    </queryTableFields>
    <queryTableDeletedFields count="18">
      <deletedField name="CNPJ"/>
      <deletedField name="Tipo de Item"/>
      <deletedField name="Caminho"/>
      <deletedField name="FALAMOS COM (Tentativa 2)"/>
      <deletedField name="OBSERVAÇÃO (Tentativa 2)"/>
      <deletedField name="DATA HORA (Tentativa 3)"/>
      <deletedField name="FALAMOS COM (Tentativa 3)"/>
      <deletedField name="OBSERVAÇÃO (Tentativa 3)"/>
      <deletedField name="DATA HORA (Tentativa 4)"/>
      <deletedField name="FALAMOS COM (Tentativa 4)"/>
      <deletedField name="OBSERVAÇÃO (Tentativa 4)"/>
      <deletedField name="DATA HORA (Tentativa 5)"/>
      <deletedField name="FALAMOS COM (Tentativa 5)"/>
      <deletedField name="OBSERVAÇÃO (Tentativa 5)"/>
      <deletedField name="STATUS"/>
      <deletedField name="DATA HORA (Tentativa 1)"/>
      <deletedField name="FALAMOS COM (Tentativa 1)"/>
      <deletedField name="OBSERVAÇÃO (Tentativa 1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96C03-F99C-4DA5-B693-6930ECAB64D9}" name="Tabela_query__15" displayName="Tabela_query__15" ref="A1:K167" tableType="queryTable" totalsRowShown="0" headerRowDxfId="12" dataDxfId="11">
  <autoFilter ref="A1:K167" xr:uid="{A5E96C03-F99C-4DA5-B693-6930ECAB64D9}"/>
  <tableColumns count="11">
    <tableColumn id="1" xr3:uid="{94BC8440-B218-4A6D-BC0B-F99848BD59D5}" uniqueName="1" name="Title" queryTableFieldId="1" dataDxfId="10"/>
    <tableColumn id="2" xr3:uid="{0EA79DAD-8406-49DE-9A6E-E7290F9CF492}" uniqueName="2" name="Nome da Ação" queryTableFieldId="2" dataDxfId="9"/>
    <tableColumn id="3" xr3:uid="{0717BB80-12B2-4931-AF65-DA6B23261431}" uniqueName="3" name="ORIGEM DA BASE" queryTableFieldId="3" dataDxfId="8"/>
    <tableColumn id="6" xr3:uid="{73352E41-3616-4A45-89B7-A80A596420B5}" uniqueName="6" name="RAZÃO SOCIAL" queryTableFieldId="6" dataDxfId="7"/>
    <tableColumn id="7" xr3:uid="{A84D3DAA-AA96-4389-BA15-742E479DEF1B}" uniqueName="7" name="NOME DO CONTATO" queryTableFieldId="7" dataDxfId="6"/>
    <tableColumn id="8" xr3:uid="{91025DFC-643A-473A-9703-810335D6EDE6}" uniqueName="8" name="TELEFONE" queryTableFieldId="8" dataDxfId="5"/>
    <tableColumn id="9" xr3:uid="{2720D727-3703-4393-803C-39E4E739E440}" uniqueName="9" name="E-MAIL" queryTableFieldId="9" dataDxfId="4"/>
    <tableColumn id="29" xr3:uid="{45119436-84D9-492C-8C99-EAD8D9A35391}" uniqueName="29" name="Solução de Interesse" queryTableFieldId="29" dataDxfId="3"/>
    <tableColumn id="10" xr3:uid="{ABEDF399-2A17-466D-84E5-1A9331ADD34B}" uniqueName="10" name="TELEFONE SITE RECEITA" queryTableFieldId="10" dataDxfId="2"/>
    <tableColumn id="11" xr3:uid="{48607B02-8A4A-43CA-99C5-384477DA56C3}" uniqueName="11" name="E-MAIL ALTERNATIVO (Obtido com o Cliente)" queryTableFieldId="11" dataDxfId="1"/>
    <tableColumn id="15" xr3:uid="{D0E74C38-027B-4482-A10F-A4BD607B9074}" uniqueName="15" name="DATA E HORA AGENDAMENTO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exandre@jeitimmineiro.com.br" TargetMode="External"/><Relationship Id="rId18" Type="http://schemas.openxmlformats.org/officeDocument/2006/relationships/hyperlink" Target="mailto:helio.marcio@grupomil.com.br" TargetMode="External"/><Relationship Id="rId26" Type="http://schemas.openxmlformats.org/officeDocument/2006/relationships/hyperlink" Target="mailto:charquegolden@gmail.com" TargetMode="External"/><Relationship Id="rId39" Type="http://schemas.openxmlformats.org/officeDocument/2006/relationships/hyperlink" Target="mailto:Pedrovidigal@hotmail.com" TargetMode="External"/><Relationship Id="rId21" Type="http://schemas.openxmlformats.org/officeDocument/2006/relationships/hyperlink" Target="mailto:direcao@palermendes.com.br" TargetMode="External"/><Relationship Id="rId34" Type="http://schemas.openxmlformats.org/officeDocument/2006/relationships/hyperlink" Target="mailto:jonas.ribeiro@ekotire.com.br" TargetMode="External"/><Relationship Id="rId42" Type="http://schemas.openxmlformats.org/officeDocument/2006/relationships/table" Target="../tables/table1.xml"/><Relationship Id="rId7" Type="http://schemas.openxmlformats.org/officeDocument/2006/relationships/hyperlink" Target="mailto:abicalil@haga.com.br" TargetMode="External"/><Relationship Id="rId2" Type="http://schemas.openxmlformats.org/officeDocument/2006/relationships/hyperlink" Target="mailto:walbermattos@gmail.com" TargetMode="External"/><Relationship Id="rId16" Type="http://schemas.openxmlformats.org/officeDocument/2006/relationships/hyperlink" Target="mailto:charquegolden@gmail.com" TargetMode="External"/><Relationship Id="rId20" Type="http://schemas.openxmlformats.org/officeDocument/2006/relationships/hyperlink" Target="mailto:direcao@palermendes.com.br" TargetMode="External"/><Relationship Id="rId29" Type="http://schemas.openxmlformats.org/officeDocument/2006/relationships/hyperlink" Target="mailto:suaveseducaoltda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charquegolden@gmail.com" TargetMode="External"/><Relationship Id="rId6" Type="http://schemas.openxmlformats.org/officeDocument/2006/relationships/hyperlink" Target="mailto:administracao@askoffshore.com.br" TargetMode="External"/><Relationship Id="rId11" Type="http://schemas.openxmlformats.org/officeDocument/2006/relationships/hyperlink" Target="mailto:alessandra@recel.com.br" TargetMode="External"/><Relationship Id="rId24" Type="http://schemas.openxmlformats.org/officeDocument/2006/relationships/hyperlink" Target="mailto:alexandre@jeitimmineiro.com.br" TargetMode="External"/><Relationship Id="rId32" Type="http://schemas.openxmlformats.org/officeDocument/2006/relationships/hyperlink" Target="mailto:jonas.ribeiro@ekotire.com.br" TargetMode="External"/><Relationship Id="rId37" Type="http://schemas.openxmlformats.org/officeDocument/2006/relationships/hyperlink" Target="mailto:contato@cervejaduastorres.com.br" TargetMode="External"/><Relationship Id="rId40" Type="http://schemas.openxmlformats.org/officeDocument/2006/relationships/hyperlink" Target="mailto:Pedrovidigal@hotmail.com" TargetMode="External"/><Relationship Id="rId5" Type="http://schemas.openxmlformats.org/officeDocument/2006/relationships/hyperlink" Target="mailto:alexandre@jeitimmineiro.com.br" TargetMode="External"/><Relationship Id="rId15" Type="http://schemas.openxmlformats.org/officeDocument/2006/relationships/hyperlink" Target="mailto:administracao@askoffshore.com.br" TargetMode="External"/><Relationship Id="rId23" Type="http://schemas.openxmlformats.org/officeDocument/2006/relationships/hyperlink" Target="mailto:direcao@palermendes.com.br" TargetMode="External"/><Relationship Id="rId28" Type="http://schemas.openxmlformats.org/officeDocument/2006/relationships/hyperlink" Target="mailto:alexandre@jeitimmineiro.com.br" TargetMode="External"/><Relationship Id="rId36" Type="http://schemas.openxmlformats.org/officeDocument/2006/relationships/hyperlink" Target="mailto:contato@cervejaduastorres.com.br" TargetMode="External"/><Relationship Id="rId10" Type="http://schemas.openxmlformats.org/officeDocument/2006/relationships/hyperlink" Target="mailto:alessandra@recel.com.br" TargetMode="External"/><Relationship Id="rId19" Type="http://schemas.openxmlformats.org/officeDocument/2006/relationships/hyperlink" Target="mailto:alessandra@recel.com.br" TargetMode="External"/><Relationship Id="rId31" Type="http://schemas.openxmlformats.org/officeDocument/2006/relationships/hyperlink" Target="mailto:jonas.ribeiro@ekotire.com.br" TargetMode="External"/><Relationship Id="rId4" Type="http://schemas.openxmlformats.org/officeDocument/2006/relationships/hyperlink" Target="mailto:direcao@palermendes.com.br" TargetMode="External"/><Relationship Id="rId9" Type="http://schemas.openxmlformats.org/officeDocument/2006/relationships/hyperlink" Target="mailto:helio.marcio@grupomil.com.br" TargetMode="External"/><Relationship Id="rId14" Type="http://schemas.openxmlformats.org/officeDocument/2006/relationships/hyperlink" Target="mailto:marcus@tubloc.com.br" TargetMode="External"/><Relationship Id="rId22" Type="http://schemas.openxmlformats.org/officeDocument/2006/relationships/hyperlink" Target="mailto:marcus@tubloc.com.br" TargetMode="External"/><Relationship Id="rId27" Type="http://schemas.openxmlformats.org/officeDocument/2006/relationships/hyperlink" Target="mailto:esl@eslenergy.com.br" TargetMode="External"/><Relationship Id="rId30" Type="http://schemas.openxmlformats.org/officeDocument/2006/relationships/hyperlink" Target="mailto:suaveseducaoltda@gmail.com" TargetMode="External"/><Relationship Id="rId35" Type="http://schemas.openxmlformats.org/officeDocument/2006/relationships/hyperlink" Target="mailto:contato@cervejaduastorres.com.br" TargetMode="External"/><Relationship Id="rId8" Type="http://schemas.openxmlformats.org/officeDocument/2006/relationships/hyperlink" Target="mailto:direcao@palermendes.com.br" TargetMode="External"/><Relationship Id="rId3" Type="http://schemas.openxmlformats.org/officeDocument/2006/relationships/hyperlink" Target="mailto:charquegolden@gmail.com" TargetMode="External"/><Relationship Id="rId12" Type="http://schemas.openxmlformats.org/officeDocument/2006/relationships/hyperlink" Target="mailto:direcao@palermendes.com.br" TargetMode="External"/><Relationship Id="rId17" Type="http://schemas.openxmlformats.org/officeDocument/2006/relationships/hyperlink" Target="mailto:charquegolden@gmail.com" TargetMode="External"/><Relationship Id="rId25" Type="http://schemas.openxmlformats.org/officeDocument/2006/relationships/hyperlink" Target="mailto:administracao@askoffshore.com.br" TargetMode="External"/><Relationship Id="rId33" Type="http://schemas.openxmlformats.org/officeDocument/2006/relationships/hyperlink" Target="mailto:jonas.ribeiro@ekotire.com.br" TargetMode="External"/><Relationship Id="rId38" Type="http://schemas.openxmlformats.org/officeDocument/2006/relationships/hyperlink" Target="mailto:magno.arqtem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9913-EF33-4AD7-B53F-1F64409D0623}">
  <dimension ref="A1:K167"/>
  <sheetViews>
    <sheetView tabSelected="1" workbookViewId="0">
      <selection activeCell="K1" sqref="K1:K1048576"/>
    </sheetView>
  </sheetViews>
  <sheetFormatPr defaultRowHeight="14.4" x14ac:dyDescent="0.3"/>
  <cols>
    <col min="1" max="1" width="6.77734375" bestFit="1" customWidth="1"/>
    <col min="2" max="2" width="24.44140625" bestFit="1" customWidth="1"/>
    <col min="3" max="3" width="23.33203125" bestFit="1" customWidth="1"/>
    <col min="4" max="4" width="60.5546875" bestFit="1" customWidth="1"/>
    <col min="5" max="5" width="36.109375" bestFit="1" customWidth="1"/>
    <col min="6" max="6" width="27.33203125" customWidth="1"/>
    <col min="7" max="7" width="46.88671875" customWidth="1"/>
    <col min="8" max="8" width="20.6640625" bestFit="1" customWidth="1"/>
    <col min="9" max="9" width="23.33203125" customWidth="1"/>
    <col min="10" max="10" width="41.88671875" customWidth="1"/>
    <col min="11" max="11" width="29.21875" style="20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234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1" t="s">
        <v>10</v>
      </c>
    </row>
    <row r="2" spans="1:11" x14ac:dyDescent="0.3">
      <c r="A2" s="4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1" t="s">
        <v>17</v>
      </c>
      <c r="H2" s="6" t="s">
        <v>18</v>
      </c>
      <c r="I2" s="4" t="s">
        <v>4</v>
      </c>
      <c r="J2" s="7" t="s">
        <v>4</v>
      </c>
      <c r="K2" s="16"/>
    </row>
    <row r="3" spans="1:11" x14ac:dyDescent="0.3">
      <c r="A3" s="4" t="s">
        <v>11</v>
      </c>
      <c r="B3" s="5" t="s">
        <v>12</v>
      </c>
      <c r="C3" s="5" t="s">
        <v>13</v>
      </c>
      <c r="D3" s="6" t="s">
        <v>14</v>
      </c>
      <c r="E3" s="6" t="s">
        <v>15</v>
      </c>
      <c r="F3" s="6" t="s">
        <v>16</v>
      </c>
      <c r="G3" s="1" t="s">
        <v>17</v>
      </c>
      <c r="H3" s="6" t="s">
        <v>19</v>
      </c>
      <c r="I3" s="4" t="s">
        <v>4</v>
      </c>
      <c r="J3" s="4" t="s">
        <v>4</v>
      </c>
      <c r="K3" s="16"/>
    </row>
    <row r="4" spans="1:11" x14ac:dyDescent="0.3">
      <c r="A4" s="4" t="s">
        <v>11</v>
      </c>
      <c r="B4" s="5" t="s">
        <v>12</v>
      </c>
      <c r="C4" s="5" t="s">
        <v>13</v>
      </c>
      <c r="D4" s="6" t="s">
        <v>14</v>
      </c>
      <c r="E4" s="6" t="s">
        <v>15</v>
      </c>
      <c r="F4" s="6" t="s">
        <v>16</v>
      </c>
      <c r="G4" s="1" t="s">
        <v>17</v>
      </c>
      <c r="H4" s="6" t="s">
        <v>20</v>
      </c>
      <c r="I4" s="4" t="s">
        <v>4</v>
      </c>
      <c r="J4" s="4" t="s">
        <v>4</v>
      </c>
      <c r="K4" s="16"/>
    </row>
    <row r="5" spans="1:11" x14ac:dyDescent="0.3">
      <c r="A5" s="4" t="s">
        <v>11</v>
      </c>
      <c r="B5" s="5" t="s">
        <v>12</v>
      </c>
      <c r="C5" s="5" t="s">
        <v>13</v>
      </c>
      <c r="D5" s="6" t="s">
        <v>14</v>
      </c>
      <c r="E5" s="6" t="s">
        <v>15</v>
      </c>
      <c r="F5" s="6" t="s">
        <v>16</v>
      </c>
      <c r="G5" s="1" t="s">
        <v>17</v>
      </c>
      <c r="H5" s="6" t="s">
        <v>21</v>
      </c>
      <c r="I5" s="4" t="s">
        <v>4</v>
      </c>
      <c r="J5" s="4" t="s">
        <v>4</v>
      </c>
      <c r="K5" s="16"/>
    </row>
    <row r="6" spans="1:11" x14ac:dyDescent="0.3">
      <c r="A6" s="4" t="s">
        <v>11</v>
      </c>
      <c r="B6" s="5" t="s">
        <v>12</v>
      </c>
      <c r="C6" s="5" t="s">
        <v>13</v>
      </c>
      <c r="D6" s="6" t="s">
        <v>14</v>
      </c>
      <c r="E6" s="6" t="s">
        <v>15</v>
      </c>
      <c r="F6" s="6" t="s">
        <v>16</v>
      </c>
      <c r="G6" s="1" t="s">
        <v>17</v>
      </c>
      <c r="H6" s="6" t="s">
        <v>22</v>
      </c>
      <c r="I6" s="4" t="s">
        <v>4</v>
      </c>
      <c r="J6" s="4" t="s">
        <v>4</v>
      </c>
      <c r="K6" s="16"/>
    </row>
    <row r="7" spans="1:11" x14ac:dyDescent="0.3">
      <c r="A7" s="4" t="s">
        <v>11</v>
      </c>
      <c r="B7" s="5" t="s">
        <v>12</v>
      </c>
      <c r="C7" s="5" t="s">
        <v>13</v>
      </c>
      <c r="D7" s="6" t="s">
        <v>14</v>
      </c>
      <c r="E7" s="6" t="s">
        <v>15</v>
      </c>
      <c r="F7" s="6" t="s">
        <v>16</v>
      </c>
      <c r="G7" s="1" t="s">
        <v>17</v>
      </c>
      <c r="H7" s="6" t="s">
        <v>23</v>
      </c>
      <c r="I7" s="4" t="s">
        <v>4</v>
      </c>
      <c r="J7" s="4" t="s">
        <v>4</v>
      </c>
      <c r="K7" s="16"/>
    </row>
    <row r="8" spans="1:11" x14ac:dyDescent="0.3">
      <c r="A8" s="4" t="s">
        <v>11</v>
      </c>
      <c r="B8" s="5" t="s">
        <v>12</v>
      </c>
      <c r="C8" s="5" t="s">
        <v>13</v>
      </c>
      <c r="D8" s="6" t="s">
        <v>24</v>
      </c>
      <c r="E8" s="6" t="s">
        <v>25</v>
      </c>
      <c r="F8" s="8" t="s">
        <v>26</v>
      </c>
      <c r="G8" s="6" t="s">
        <v>27</v>
      </c>
      <c r="H8" s="6" t="s">
        <v>20</v>
      </c>
      <c r="I8" s="4" t="s">
        <v>4</v>
      </c>
      <c r="J8" s="4" t="s">
        <v>4</v>
      </c>
      <c r="K8" s="16"/>
    </row>
    <row r="9" spans="1:11" x14ac:dyDescent="0.3">
      <c r="A9" s="4" t="s">
        <v>11</v>
      </c>
      <c r="B9" s="5" t="s">
        <v>12</v>
      </c>
      <c r="C9" s="5" t="s">
        <v>13</v>
      </c>
      <c r="D9" s="6" t="s">
        <v>24</v>
      </c>
      <c r="E9" s="6" t="s">
        <v>25</v>
      </c>
      <c r="F9" s="8" t="s">
        <v>26</v>
      </c>
      <c r="G9" s="6" t="s">
        <v>27</v>
      </c>
      <c r="H9" s="6" t="s">
        <v>22</v>
      </c>
      <c r="I9" s="4" t="s">
        <v>4</v>
      </c>
      <c r="J9" s="4" t="s">
        <v>4</v>
      </c>
      <c r="K9" s="16"/>
    </row>
    <row r="10" spans="1:11" x14ac:dyDescent="0.3">
      <c r="A10" s="4" t="s">
        <v>11</v>
      </c>
      <c r="B10" s="5" t="s">
        <v>12</v>
      </c>
      <c r="C10" s="5" t="s">
        <v>13</v>
      </c>
      <c r="D10" s="6" t="s">
        <v>24</v>
      </c>
      <c r="E10" s="6" t="s">
        <v>25</v>
      </c>
      <c r="F10" s="8" t="s">
        <v>26</v>
      </c>
      <c r="G10" s="6" t="s">
        <v>27</v>
      </c>
      <c r="H10" s="6" t="s">
        <v>23</v>
      </c>
      <c r="I10" s="4" t="s">
        <v>4</v>
      </c>
      <c r="J10" s="4" t="s">
        <v>4</v>
      </c>
      <c r="K10" s="16"/>
    </row>
    <row r="11" spans="1:11" x14ac:dyDescent="0.3">
      <c r="A11" s="4" t="s">
        <v>11</v>
      </c>
      <c r="B11" s="5" t="s">
        <v>12</v>
      </c>
      <c r="C11" s="5" t="s">
        <v>13</v>
      </c>
      <c r="D11" s="6" t="s">
        <v>28</v>
      </c>
      <c r="E11" s="6" t="s">
        <v>29</v>
      </c>
      <c r="F11" s="6" t="s">
        <v>30</v>
      </c>
      <c r="G11" s="1" t="s">
        <v>31</v>
      </c>
      <c r="H11" s="6" t="s">
        <v>20</v>
      </c>
      <c r="I11" s="4" t="s">
        <v>4</v>
      </c>
      <c r="J11" s="4" t="s">
        <v>4</v>
      </c>
      <c r="K11" s="16"/>
    </row>
    <row r="12" spans="1:11" x14ac:dyDescent="0.3">
      <c r="A12" s="4" t="s">
        <v>11</v>
      </c>
      <c r="B12" s="5" t="s">
        <v>12</v>
      </c>
      <c r="C12" s="5" t="s">
        <v>13</v>
      </c>
      <c r="D12" s="6" t="s">
        <v>28</v>
      </c>
      <c r="E12" s="6" t="s">
        <v>29</v>
      </c>
      <c r="F12" s="6" t="s">
        <v>30</v>
      </c>
      <c r="G12" s="1" t="s">
        <v>31</v>
      </c>
      <c r="H12" s="6" t="s">
        <v>32</v>
      </c>
      <c r="I12" s="4" t="s">
        <v>4</v>
      </c>
      <c r="J12" s="4" t="s">
        <v>4</v>
      </c>
      <c r="K12" s="16"/>
    </row>
    <row r="13" spans="1:11" x14ac:dyDescent="0.3">
      <c r="A13" s="4" t="s">
        <v>11</v>
      </c>
      <c r="B13" s="5" t="s">
        <v>12</v>
      </c>
      <c r="C13" s="5" t="s">
        <v>13</v>
      </c>
      <c r="D13" s="6" t="s">
        <v>28</v>
      </c>
      <c r="E13" s="6" t="s">
        <v>29</v>
      </c>
      <c r="F13" s="6" t="s">
        <v>30</v>
      </c>
      <c r="G13" s="1" t="s">
        <v>31</v>
      </c>
      <c r="H13" s="6" t="s">
        <v>22</v>
      </c>
      <c r="I13" s="4" t="s">
        <v>4</v>
      </c>
      <c r="J13" s="4" t="s">
        <v>4</v>
      </c>
      <c r="K13" s="16"/>
    </row>
    <row r="14" spans="1:11" x14ac:dyDescent="0.3">
      <c r="A14" s="4" t="s">
        <v>11</v>
      </c>
      <c r="B14" s="5" t="s">
        <v>12</v>
      </c>
      <c r="C14" s="5" t="s">
        <v>13</v>
      </c>
      <c r="D14" s="6" t="s">
        <v>33</v>
      </c>
      <c r="E14" s="6" t="s">
        <v>34</v>
      </c>
      <c r="F14" s="6">
        <v>21987405755</v>
      </c>
      <c r="G14" s="1" t="s">
        <v>35</v>
      </c>
      <c r="H14" s="6" t="s">
        <v>18</v>
      </c>
      <c r="I14" s="4" t="s">
        <v>4</v>
      </c>
      <c r="J14" s="4" t="s">
        <v>4</v>
      </c>
      <c r="K14" s="16"/>
    </row>
    <row r="15" spans="1:11" x14ac:dyDescent="0.3">
      <c r="A15" s="4" t="s">
        <v>11</v>
      </c>
      <c r="B15" s="5" t="s">
        <v>12</v>
      </c>
      <c r="C15" s="5" t="s">
        <v>13</v>
      </c>
      <c r="D15" s="6" t="s">
        <v>33</v>
      </c>
      <c r="E15" s="6" t="s">
        <v>34</v>
      </c>
      <c r="F15" s="6">
        <v>21987405755</v>
      </c>
      <c r="G15" s="1" t="s">
        <v>35</v>
      </c>
      <c r="H15" s="6" t="s">
        <v>20</v>
      </c>
      <c r="I15" s="4" t="s">
        <v>4</v>
      </c>
      <c r="J15" s="4" t="s">
        <v>4</v>
      </c>
      <c r="K15" s="16"/>
    </row>
    <row r="16" spans="1:11" x14ac:dyDescent="0.3">
      <c r="A16" s="4" t="s">
        <v>11</v>
      </c>
      <c r="B16" s="5" t="s">
        <v>12</v>
      </c>
      <c r="C16" s="5" t="s">
        <v>13</v>
      </c>
      <c r="D16" s="6" t="s">
        <v>33</v>
      </c>
      <c r="E16" s="6" t="s">
        <v>34</v>
      </c>
      <c r="F16" s="6">
        <v>21987405755</v>
      </c>
      <c r="G16" s="1" t="s">
        <v>35</v>
      </c>
      <c r="H16" s="6" t="s">
        <v>23</v>
      </c>
      <c r="I16" s="4" t="s">
        <v>4</v>
      </c>
      <c r="J16" s="4" t="s">
        <v>4</v>
      </c>
      <c r="K16" s="16"/>
    </row>
    <row r="17" spans="1:11" x14ac:dyDescent="0.3">
      <c r="A17" s="4" t="s">
        <v>11</v>
      </c>
      <c r="B17" s="5" t="s">
        <v>12</v>
      </c>
      <c r="C17" s="5" t="s">
        <v>13</v>
      </c>
      <c r="D17" s="6" t="s">
        <v>33</v>
      </c>
      <c r="E17" s="6" t="s">
        <v>34</v>
      </c>
      <c r="F17" s="6">
        <v>21987405755</v>
      </c>
      <c r="G17" s="1" t="s">
        <v>35</v>
      </c>
      <c r="H17" s="6" t="s">
        <v>36</v>
      </c>
      <c r="I17" s="4" t="s">
        <v>4</v>
      </c>
      <c r="J17" s="9" t="s">
        <v>35</v>
      </c>
      <c r="K17" s="22">
        <f ca="1">VALUE(Tabela_query__15[[#This Row],[DATA E HORA AGENDAMENTO]])</f>
        <v>46210.375</v>
      </c>
    </row>
    <row r="18" spans="1:11" x14ac:dyDescent="0.3">
      <c r="A18" s="4" t="s">
        <v>11</v>
      </c>
      <c r="B18" s="5" t="s">
        <v>12</v>
      </c>
      <c r="C18" s="5" t="s">
        <v>13</v>
      </c>
      <c r="D18" s="6" t="s">
        <v>37</v>
      </c>
      <c r="E18" s="6" t="s">
        <v>38</v>
      </c>
      <c r="F18" s="6">
        <v>21964114857</v>
      </c>
      <c r="G18" s="6" t="s">
        <v>39</v>
      </c>
      <c r="H18" s="6" t="s">
        <v>23</v>
      </c>
      <c r="I18" s="4" t="s">
        <v>4</v>
      </c>
      <c r="J18" s="4" t="s">
        <v>4</v>
      </c>
      <c r="K18" s="16"/>
    </row>
    <row r="19" spans="1:11" x14ac:dyDescent="0.3">
      <c r="A19" s="4" t="s">
        <v>11</v>
      </c>
      <c r="B19" s="5" t="s">
        <v>12</v>
      </c>
      <c r="C19" s="5" t="s">
        <v>13</v>
      </c>
      <c r="D19" s="6" t="s">
        <v>40</v>
      </c>
      <c r="E19" s="6" t="s">
        <v>41</v>
      </c>
      <c r="F19" s="6">
        <v>22998457743</v>
      </c>
      <c r="G19" s="6" t="s">
        <v>42</v>
      </c>
      <c r="H19" s="6" t="s">
        <v>20</v>
      </c>
      <c r="I19" s="4" t="s">
        <v>4</v>
      </c>
      <c r="J19" s="4" t="s">
        <v>4</v>
      </c>
      <c r="K19" s="23" t="s">
        <v>239</v>
      </c>
    </row>
    <row r="20" spans="1:11" x14ac:dyDescent="0.3">
      <c r="A20" s="4" t="s">
        <v>11</v>
      </c>
      <c r="B20" s="5" t="s">
        <v>12</v>
      </c>
      <c r="C20" s="5" t="s">
        <v>13</v>
      </c>
      <c r="D20" s="6" t="s">
        <v>40</v>
      </c>
      <c r="E20" s="6" t="s">
        <v>41</v>
      </c>
      <c r="F20" s="6">
        <v>22998457743</v>
      </c>
      <c r="G20" s="6" t="s">
        <v>42</v>
      </c>
      <c r="H20" s="6" t="s">
        <v>23</v>
      </c>
      <c r="I20" s="4" t="s">
        <v>4</v>
      </c>
      <c r="J20" s="4" t="s">
        <v>4</v>
      </c>
      <c r="K20" s="23" t="s">
        <v>240</v>
      </c>
    </row>
    <row r="21" spans="1:11" x14ac:dyDescent="0.3">
      <c r="A21" s="4" t="s">
        <v>11</v>
      </c>
      <c r="B21" s="5" t="s">
        <v>12</v>
      </c>
      <c r="C21" s="5" t="s">
        <v>13</v>
      </c>
      <c r="D21" s="6" t="s">
        <v>43</v>
      </c>
      <c r="E21" s="6" t="s">
        <v>44</v>
      </c>
      <c r="F21" s="8" t="s">
        <v>45</v>
      </c>
      <c r="G21" s="6" t="s">
        <v>46</v>
      </c>
      <c r="H21" s="6" t="s">
        <v>20</v>
      </c>
      <c r="I21" s="4" t="s">
        <v>4</v>
      </c>
      <c r="J21" s="4" t="s">
        <v>4</v>
      </c>
      <c r="K21" s="16"/>
    </row>
    <row r="22" spans="1:11" x14ac:dyDescent="0.3">
      <c r="A22" s="4" t="s">
        <v>11</v>
      </c>
      <c r="B22" s="5" t="s">
        <v>12</v>
      </c>
      <c r="C22" s="5" t="s">
        <v>13</v>
      </c>
      <c r="D22" s="6" t="s">
        <v>43</v>
      </c>
      <c r="E22" s="6" t="s">
        <v>44</v>
      </c>
      <c r="F22" s="8" t="s">
        <v>45</v>
      </c>
      <c r="G22" s="6" t="s">
        <v>46</v>
      </c>
      <c r="H22" s="6" t="s">
        <v>22</v>
      </c>
      <c r="I22" s="4" t="s">
        <v>4</v>
      </c>
      <c r="J22" s="4" t="s">
        <v>4</v>
      </c>
      <c r="K22" s="16"/>
    </row>
    <row r="23" spans="1:11" x14ac:dyDescent="0.3">
      <c r="A23" s="4" t="s">
        <v>11</v>
      </c>
      <c r="B23" s="5" t="s">
        <v>12</v>
      </c>
      <c r="C23" s="5" t="s">
        <v>13</v>
      </c>
      <c r="D23" s="6" t="s">
        <v>43</v>
      </c>
      <c r="E23" s="6" t="s">
        <v>44</v>
      </c>
      <c r="F23" s="8" t="s">
        <v>45</v>
      </c>
      <c r="G23" s="6" t="s">
        <v>46</v>
      </c>
      <c r="H23" s="6" t="s">
        <v>23</v>
      </c>
      <c r="I23" s="4" t="s">
        <v>4</v>
      </c>
      <c r="J23" s="4" t="s">
        <v>4</v>
      </c>
      <c r="K23" s="16"/>
    </row>
    <row r="24" spans="1:11" x14ac:dyDescent="0.3">
      <c r="A24" s="4" t="s">
        <v>11</v>
      </c>
      <c r="B24" s="5" t="s">
        <v>12</v>
      </c>
      <c r="C24" s="5" t="s">
        <v>13</v>
      </c>
      <c r="D24" s="6" t="s">
        <v>43</v>
      </c>
      <c r="E24" s="6" t="s">
        <v>44</v>
      </c>
      <c r="F24" s="8" t="s">
        <v>45</v>
      </c>
      <c r="G24" s="6" t="s">
        <v>46</v>
      </c>
      <c r="H24" s="6" t="s">
        <v>36</v>
      </c>
      <c r="I24" s="4" t="s">
        <v>4</v>
      </c>
      <c r="J24" s="9">
        <v>0</v>
      </c>
      <c r="K24" s="17"/>
    </row>
    <row r="25" spans="1:11" x14ac:dyDescent="0.3">
      <c r="A25" s="4" t="s">
        <v>11</v>
      </c>
      <c r="B25" s="5" t="s">
        <v>12</v>
      </c>
      <c r="C25" s="5" t="s">
        <v>13</v>
      </c>
      <c r="D25" s="6" t="s">
        <v>47</v>
      </c>
      <c r="E25" s="6" t="s">
        <v>48</v>
      </c>
      <c r="F25" s="6" t="s">
        <v>49</v>
      </c>
      <c r="G25" s="6" t="s">
        <v>50</v>
      </c>
      <c r="H25" s="6" t="s">
        <v>18</v>
      </c>
      <c r="I25" s="4" t="s">
        <v>4</v>
      </c>
      <c r="J25" s="4" t="s">
        <v>4</v>
      </c>
      <c r="K25" s="16"/>
    </row>
    <row r="26" spans="1:11" x14ac:dyDescent="0.3">
      <c r="A26" s="4" t="s">
        <v>11</v>
      </c>
      <c r="B26" s="5" t="s">
        <v>12</v>
      </c>
      <c r="C26" s="5" t="s">
        <v>13</v>
      </c>
      <c r="D26" s="6" t="s">
        <v>47</v>
      </c>
      <c r="E26" s="6" t="s">
        <v>48</v>
      </c>
      <c r="F26" s="6" t="s">
        <v>51</v>
      </c>
      <c r="G26" s="6" t="s">
        <v>50</v>
      </c>
      <c r="H26" s="6" t="s">
        <v>20</v>
      </c>
      <c r="I26" s="4" t="s">
        <v>4</v>
      </c>
      <c r="J26" s="4" t="s">
        <v>4</v>
      </c>
      <c r="K26" s="16"/>
    </row>
    <row r="27" spans="1:11" x14ac:dyDescent="0.3">
      <c r="A27" s="4" t="s">
        <v>11</v>
      </c>
      <c r="B27" s="5" t="s">
        <v>12</v>
      </c>
      <c r="C27" s="5" t="s">
        <v>13</v>
      </c>
      <c r="D27" s="6" t="s">
        <v>47</v>
      </c>
      <c r="E27" s="6" t="s">
        <v>48</v>
      </c>
      <c r="F27" s="6" t="s">
        <v>52</v>
      </c>
      <c r="G27" s="6" t="s">
        <v>50</v>
      </c>
      <c r="H27" s="6" t="s">
        <v>22</v>
      </c>
      <c r="I27" s="4" t="s">
        <v>4</v>
      </c>
      <c r="J27" s="4" t="s">
        <v>4</v>
      </c>
      <c r="K27" s="16"/>
    </row>
    <row r="28" spans="1:11" x14ac:dyDescent="0.3">
      <c r="A28" s="4" t="s">
        <v>11</v>
      </c>
      <c r="B28" s="5" t="s">
        <v>12</v>
      </c>
      <c r="C28" s="5" t="s">
        <v>13</v>
      </c>
      <c r="D28" s="6" t="s">
        <v>47</v>
      </c>
      <c r="E28" s="6" t="s">
        <v>48</v>
      </c>
      <c r="F28" s="6" t="s">
        <v>53</v>
      </c>
      <c r="G28" s="6" t="s">
        <v>50</v>
      </c>
      <c r="H28" s="6" t="s">
        <v>36</v>
      </c>
      <c r="I28" s="4" t="s">
        <v>4</v>
      </c>
      <c r="J28" s="9">
        <v>0</v>
      </c>
      <c r="K28" s="17"/>
    </row>
    <row r="29" spans="1:11" x14ac:dyDescent="0.3">
      <c r="A29" s="4" t="s">
        <v>11</v>
      </c>
      <c r="B29" s="5" t="s">
        <v>12</v>
      </c>
      <c r="C29" s="5" t="s">
        <v>13</v>
      </c>
      <c r="D29" s="6" t="s">
        <v>54</v>
      </c>
      <c r="E29" s="6" t="s">
        <v>55</v>
      </c>
      <c r="F29" s="6" t="s">
        <v>56</v>
      </c>
      <c r="G29" s="6" t="s">
        <v>57</v>
      </c>
      <c r="H29" s="6" t="s">
        <v>20</v>
      </c>
      <c r="I29" s="4" t="s">
        <v>4</v>
      </c>
      <c r="J29" s="4" t="s">
        <v>4</v>
      </c>
      <c r="K29" s="16"/>
    </row>
    <row r="30" spans="1:11" x14ac:dyDescent="0.3">
      <c r="A30" s="4" t="s">
        <v>11</v>
      </c>
      <c r="B30" s="5" t="s">
        <v>12</v>
      </c>
      <c r="C30" s="5" t="s">
        <v>13</v>
      </c>
      <c r="D30" s="6" t="s">
        <v>54</v>
      </c>
      <c r="E30" s="6" t="s">
        <v>55</v>
      </c>
      <c r="F30" s="6" t="s">
        <v>58</v>
      </c>
      <c r="G30" s="6" t="s">
        <v>57</v>
      </c>
      <c r="H30" s="6" t="s">
        <v>23</v>
      </c>
      <c r="I30" s="4" t="s">
        <v>4</v>
      </c>
      <c r="J30" s="4" t="s">
        <v>4</v>
      </c>
      <c r="K30" s="16"/>
    </row>
    <row r="31" spans="1:11" x14ac:dyDescent="0.3">
      <c r="A31" s="4" t="s">
        <v>11</v>
      </c>
      <c r="B31" s="5" t="s">
        <v>12</v>
      </c>
      <c r="C31" s="5" t="s">
        <v>13</v>
      </c>
      <c r="D31" s="6" t="s">
        <v>59</v>
      </c>
      <c r="E31" s="6" t="s">
        <v>60</v>
      </c>
      <c r="F31" s="8" t="s">
        <v>61</v>
      </c>
      <c r="G31" s="6" t="s">
        <v>62</v>
      </c>
      <c r="H31" s="6" t="s">
        <v>18</v>
      </c>
      <c r="I31" s="4" t="s">
        <v>4</v>
      </c>
      <c r="J31" s="4" t="s">
        <v>4</v>
      </c>
      <c r="K31" s="16"/>
    </row>
    <row r="32" spans="1:11" x14ac:dyDescent="0.3">
      <c r="A32" s="4" t="s">
        <v>11</v>
      </c>
      <c r="B32" s="5" t="s">
        <v>12</v>
      </c>
      <c r="C32" s="5" t="s">
        <v>13</v>
      </c>
      <c r="D32" s="6" t="s">
        <v>59</v>
      </c>
      <c r="E32" s="6" t="s">
        <v>60</v>
      </c>
      <c r="F32" s="8" t="s">
        <v>61</v>
      </c>
      <c r="G32" s="6" t="s">
        <v>62</v>
      </c>
      <c r="H32" s="6" t="s">
        <v>19</v>
      </c>
      <c r="I32" s="4" t="s">
        <v>4</v>
      </c>
      <c r="J32" s="4" t="s">
        <v>4</v>
      </c>
      <c r="K32" s="16"/>
    </row>
    <row r="33" spans="1:11" x14ac:dyDescent="0.3">
      <c r="A33" s="4" t="s">
        <v>11</v>
      </c>
      <c r="B33" s="5" t="s">
        <v>12</v>
      </c>
      <c r="C33" s="5" t="s">
        <v>13</v>
      </c>
      <c r="D33" s="6" t="s">
        <v>59</v>
      </c>
      <c r="E33" s="6" t="s">
        <v>60</v>
      </c>
      <c r="F33" s="8" t="s">
        <v>61</v>
      </c>
      <c r="G33" s="6" t="s">
        <v>62</v>
      </c>
      <c r="H33" s="6" t="s">
        <v>20</v>
      </c>
      <c r="I33" s="4" t="s">
        <v>4</v>
      </c>
      <c r="J33" s="4" t="s">
        <v>4</v>
      </c>
      <c r="K33" s="16"/>
    </row>
    <row r="34" spans="1:11" x14ac:dyDescent="0.3">
      <c r="A34" s="4" t="s">
        <v>11</v>
      </c>
      <c r="B34" s="5" t="s">
        <v>12</v>
      </c>
      <c r="C34" s="5" t="s">
        <v>13</v>
      </c>
      <c r="D34" s="6" t="s">
        <v>59</v>
      </c>
      <c r="E34" s="6" t="s">
        <v>60</v>
      </c>
      <c r="F34" s="8" t="s">
        <v>61</v>
      </c>
      <c r="G34" s="6" t="s">
        <v>62</v>
      </c>
      <c r="H34" s="6" t="s">
        <v>21</v>
      </c>
      <c r="I34" s="4" t="s">
        <v>4</v>
      </c>
      <c r="J34" s="4" t="s">
        <v>4</v>
      </c>
      <c r="K34" s="16"/>
    </row>
    <row r="35" spans="1:11" x14ac:dyDescent="0.3">
      <c r="A35" s="4" t="s">
        <v>11</v>
      </c>
      <c r="B35" s="5" t="s">
        <v>12</v>
      </c>
      <c r="C35" s="5" t="s">
        <v>13</v>
      </c>
      <c r="D35" s="6" t="s">
        <v>59</v>
      </c>
      <c r="E35" s="6" t="s">
        <v>60</v>
      </c>
      <c r="F35" s="8" t="s">
        <v>61</v>
      </c>
      <c r="G35" s="6" t="s">
        <v>62</v>
      </c>
      <c r="H35" s="6" t="s">
        <v>22</v>
      </c>
      <c r="I35" s="4" t="s">
        <v>4</v>
      </c>
      <c r="J35" s="4" t="s">
        <v>4</v>
      </c>
      <c r="K35" s="16"/>
    </row>
    <row r="36" spans="1:11" x14ac:dyDescent="0.3">
      <c r="A36" s="4" t="s">
        <v>11</v>
      </c>
      <c r="B36" s="5" t="s">
        <v>12</v>
      </c>
      <c r="C36" s="5" t="s">
        <v>13</v>
      </c>
      <c r="D36" s="6" t="s">
        <v>59</v>
      </c>
      <c r="E36" s="6" t="s">
        <v>60</v>
      </c>
      <c r="F36" s="8" t="s">
        <v>61</v>
      </c>
      <c r="G36" s="6" t="s">
        <v>62</v>
      </c>
      <c r="H36" s="6" t="s">
        <v>36</v>
      </c>
      <c r="I36" s="4" t="s">
        <v>4</v>
      </c>
      <c r="J36" s="9">
        <v>0</v>
      </c>
      <c r="K36" s="17"/>
    </row>
    <row r="37" spans="1:11" x14ac:dyDescent="0.3">
      <c r="A37" s="4" t="s">
        <v>11</v>
      </c>
      <c r="B37" s="5" t="s">
        <v>12</v>
      </c>
      <c r="C37" s="5" t="s">
        <v>13</v>
      </c>
      <c r="D37" s="6" t="s">
        <v>63</v>
      </c>
      <c r="E37" s="6" t="s">
        <v>64</v>
      </c>
      <c r="F37" s="6">
        <v>21980852270</v>
      </c>
      <c r="G37" s="6" t="s">
        <v>65</v>
      </c>
      <c r="H37" s="6" t="s">
        <v>20</v>
      </c>
      <c r="I37" s="4" t="s">
        <v>4</v>
      </c>
      <c r="J37" s="4" t="s">
        <v>4</v>
      </c>
      <c r="K37" s="16">
        <v>46227.666666666664</v>
      </c>
    </row>
    <row r="38" spans="1:11" x14ac:dyDescent="0.3">
      <c r="A38" s="4" t="s">
        <v>11</v>
      </c>
      <c r="B38" s="5" t="s">
        <v>12</v>
      </c>
      <c r="C38" s="5" t="s">
        <v>13</v>
      </c>
      <c r="D38" s="6" t="s">
        <v>63</v>
      </c>
      <c r="E38" s="6" t="s">
        <v>64</v>
      </c>
      <c r="F38" s="6">
        <v>21980852270</v>
      </c>
      <c r="G38" s="6" t="s">
        <v>65</v>
      </c>
      <c r="H38" s="6" t="s">
        <v>32</v>
      </c>
      <c r="I38" s="4" t="s">
        <v>4</v>
      </c>
      <c r="J38" s="4" t="s">
        <v>4</v>
      </c>
      <c r="K38" s="16">
        <v>46225.666666666664</v>
      </c>
    </row>
    <row r="39" spans="1:11" x14ac:dyDescent="0.3">
      <c r="A39" s="4" t="s">
        <v>11</v>
      </c>
      <c r="B39" s="5" t="s">
        <v>12</v>
      </c>
      <c r="C39" s="5" t="s">
        <v>13</v>
      </c>
      <c r="D39" s="6" t="s">
        <v>63</v>
      </c>
      <c r="E39" s="6" t="s">
        <v>64</v>
      </c>
      <c r="F39" s="6">
        <v>21980852270</v>
      </c>
      <c r="G39" s="6" t="s">
        <v>65</v>
      </c>
      <c r="H39" s="6" t="s">
        <v>23</v>
      </c>
      <c r="I39" s="4" t="s">
        <v>4</v>
      </c>
      <c r="J39" s="4" t="s">
        <v>4</v>
      </c>
      <c r="K39" s="16">
        <v>46220.666666666664</v>
      </c>
    </row>
    <row r="40" spans="1:11" x14ac:dyDescent="0.3">
      <c r="A40" s="4" t="s">
        <v>11</v>
      </c>
      <c r="B40" s="5" t="s">
        <v>12</v>
      </c>
      <c r="C40" s="5" t="s">
        <v>13</v>
      </c>
      <c r="D40" s="6" t="s">
        <v>66</v>
      </c>
      <c r="E40" s="6" t="s">
        <v>67</v>
      </c>
      <c r="F40" s="6" t="s">
        <v>68</v>
      </c>
      <c r="G40" s="6" t="s">
        <v>69</v>
      </c>
      <c r="H40" s="6" t="s">
        <v>20</v>
      </c>
      <c r="I40" s="4" t="s">
        <v>4</v>
      </c>
      <c r="J40" s="4" t="s">
        <v>4</v>
      </c>
      <c r="K40" s="22">
        <f ca="1">VALUE(Tabela_query__15[[#This Row],[DATA E HORA AGENDAMENTO]])</f>
        <v>46213.5625</v>
      </c>
    </row>
    <row r="41" spans="1:11" x14ac:dyDescent="0.3">
      <c r="A41" s="4" t="s">
        <v>11</v>
      </c>
      <c r="B41" s="5" t="s">
        <v>12</v>
      </c>
      <c r="C41" s="5" t="s">
        <v>13</v>
      </c>
      <c r="D41" s="6" t="s">
        <v>70</v>
      </c>
      <c r="E41" s="6" t="s">
        <v>71</v>
      </c>
      <c r="F41" s="6"/>
      <c r="G41" s="6" t="s">
        <v>72</v>
      </c>
      <c r="H41" s="6" t="s">
        <v>18</v>
      </c>
      <c r="I41" s="4" t="s">
        <v>4</v>
      </c>
      <c r="J41" s="4" t="s">
        <v>4</v>
      </c>
      <c r="K41" s="16"/>
    </row>
    <row r="42" spans="1:11" x14ac:dyDescent="0.3">
      <c r="A42" s="4" t="s">
        <v>11</v>
      </c>
      <c r="B42" s="5" t="s">
        <v>12</v>
      </c>
      <c r="C42" s="5" t="s">
        <v>13</v>
      </c>
      <c r="D42" s="6" t="s">
        <v>70</v>
      </c>
      <c r="E42" s="6" t="s">
        <v>71</v>
      </c>
      <c r="F42" s="6"/>
      <c r="G42" s="6" t="s">
        <v>72</v>
      </c>
      <c r="H42" s="6" t="s">
        <v>21</v>
      </c>
      <c r="I42" s="4" t="s">
        <v>4</v>
      </c>
      <c r="J42" s="4" t="s">
        <v>4</v>
      </c>
      <c r="K42" s="16"/>
    </row>
    <row r="43" spans="1:11" x14ac:dyDescent="0.3">
      <c r="A43" s="4" t="s">
        <v>11</v>
      </c>
      <c r="B43" s="5" t="s">
        <v>12</v>
      </c>
      <c r="C43" s="5" t="s">
        <v>13</v>
      </c>
      <c r="D43" s="6" t="s">
        <v>73</v>
      </c>
      <c r="E43" s="6" t="s">
        <v>74</v>
      </c>
      <c r="F43" s="8" t="s">
        <v>75</v>
      </c>
      <c r="G43" s="6" t="s">
        <v>76</v>
      </c>
      <c r="H43" s="6" t="s">
        <v>19</v>
      </c>
      <c r="I43" s="4" t="s">
        <v>4</v>
      </c>
      <c r="J43" s="4" t="s">
        <v>4</v>
      </c>
      <c r="K43" s="16"/>
    </row>
    <row r="44" spans="1:11" x14ac:dyDescent="0.3">
      <c r="A44" s="4" t="s">
        <v>11</v>
      </c>
      <c r="B44" s="5" t="s">
        <v>12</v>
      </c>
      <c r="C44" s="5" t="s">
        <v>13</v>
      </c>
      <c r="D44" s="6" t="s">
        <v>77</v>
      </c>
      <c r="E44" s="6" t="s">
        <v>78</v>
      </c>
      <c r="F44" s="6">
        <v>21998485371</v>
      </c>
      <c r="G44" s="6" t="s">
        <v>79</v>
      </c>
      <c r="H44" s="6" t="s">
        <v>18</v>
      </c>
      <c r="I44" s="4" t="s">
        <v>4</v>
      </c>
      <c r="J44" s="4" t="s">
        <v>4</v>
      </c>
      <c r="K44" s="16"/>
    </row>
    <row r="45" spans="1:11" x14ac:dyDescent="0.3">
      <c r="A45" s="4" t="s">
        <v>11</v>
      </c>
      <c r="B45" s="5" t="s">
        <v>12</v>
      </c>
      <c r="C45" s="5" t="s">
        <v>13</v>
      </c>
      <c r="D45" s="6" t="s">
        <v>80</v>
      </c>
      <c r="E45" s="6" t="s">
        <v>81</v>
      </c>
      <c r="F45" s="10" t="s">
        <v>82</v>
      </c>
      <c r="G45" s="11" t="s">
        <v>83</v>
      </c>
      <c r="H45" s="6" t="s">
        <v>23</v>
      </c>
      <c r="I45" s="4" t="s">
        <v>4</v>
      </c>
      <c r="J45" s="11" t="s">
        <v>83</v>
      </c>
      <c r="K45" s="22">
        <f ca="1">VALUE(Tabela_query__15[[#This Row],[DATA E HORA AGENDAMENTO]])</f>
        <v>46209.375</v>
      </c>
    </row>
    <row r="46" spans="1:11" x14ac:dyDescent="0.3">
      <c r="A46" s="4" t="s">
        <v>11</v>
      </c>
      <c r="B46" s="5" t="s">
        <v>12</v>
      </c>
      <c r="C46" s="5" t="s">
        <v>13</v>
      </c>
      <c r="D46" s="6" t="s">
        <v>84</v>
      </c>
      <c r="E46" s="6" t="s">
        <v>85</v>
      </c>
      <c r="F46" s="6">
        <v>21995231064</v>
      </c>
      <c r="G46" s="6" t="s">
        <v>86</v>
      </c>
      <c r="H46" s="6" t="s">
        <v>23</v>
      </c>
      <c r="I46" s="4" t="s">
        <v>4</v>
      </c>
      <c r="J46" s="4" t="s">
        <v>4</v>
      </c>
      <c r="K46" s="16"/>
    </row>
    <row r="47" spans="1:11" x14ac:dyDescent="0.3">
      <c r="A47" s="4" t="s">
        <v>11</v>
      </c>
      <c r="B47" s="5" t="s">
        <v>12</v>
      </c>
      <c r="C47" s="5" t="s">
        <v>13</v>
      </c>
      <c r="D47" s="6" t="s">
        <v>87</v>
      </c>
      <c r="E47" s="6" t="s">
        <v>88</v>
      </c>
      <c r="F47" s="6">
        <v>22998207739</v>
      </c>
      <c r="G47" s="6" t="s">
        <v>89</v>
      </c>
      <c r="H47" s="6" t="s">
        <v>18</v>
      </c>
      <c r="I47" s="4" t="s">
        <v>4</v>
      </c>
      <c r="J47" s="4" t="s">
        <v>4</v>
      </c>
      <c r="K47" s="16"/>
    </row>
    <row r="48" spans="1:11" x14ac:dyDescent="0.3">
      <c r="A48" s="4" t="s">
        <v>11</v>
      </c>
      <c r="B48" s="5" t="s">
        <v>12</v>
      </c>
      <c r="C48" s="5" t="s">
        <v>13</v>
      </c>
      <c r="D48" s="6" t="s">
        <v>87</v>
      </c>
      <c r="E48" s="6" t="s">
        <v>88</v>
      </c>
      <c r="F48" s="6">
        <v>22998207739</v>
      </c>
      <c r="G48" s="6" t="s">
        <v>89</v>
      </c>
      <c r="H48" s="6" t="s">
        <v>20</v>
      </c>
      <c r="I48" s="4" t="s">
        <v>4</v>
      </c>
      <c r="J48" s="4" t="s">
        <v>4</v>
      </c>
      <c r="K48" s="16"/>
    </row>
    <row r="49" spans="1:11" x14ac:dyDescent="0.3">
      <c r="A49" s="4" t="s">
        <v>11</v>
      </c>
      <c r="B49" s="5" t="s">
        <v>12</v>
      </c>
      <c r="C49" s="5" t="s">
        <v>13</v>
      </c>
      <c r="D49" s="6" t="s">
        <v>87</v>
      </c>
      <c r="E49" s="6" t="s">
        <v>88</v>
      </c>
      <c r="F49" s="6" t="s">
        <v>90</v>
      </c>
      <c r="G49" s="6" t="s">
        <v>89</v>
      </c>
      <c r="H49" s="6" t="s">
        <v>22</v>
      </c>
      <c r="I49" s="4" t="s">
        <v>4</v>
      </c>
      <c r="J49" s="4" t="s">
        <v>4</v>
      </c>
      <c r="K49" s="16"/>
    </row>
    <row r="50" spans="1:11" x14ac:dyDescent="0.3">
      <c r="A50" s="4" t="s">
        <v>11</v>
      </c>
      <c r="B50" s="5" t="s">
        <v>12</v>
      </c>
      <c r="C50" s="5" t="s">
        <v>13</v>
      </c>
      <c r="D50" s="6" t="s">
        <v>87</v>
      </c>
      <c r="E50" s="6" t="s">
        <v>88</v>
      </c>
      <c r="F50" s="6">
        <v>22998207739</v>
      </c>
      <c r="G50" s="6" t="s">
        <v>89</v>
      </c>
      <c r="H50" s="6" t="s">
        <v>23</v>
      </c>
      <c r="I50" s="4" t="s">
        <v>4</v>
      </c>
      <c r="J50" s="4" t="s">
        <v>4</v>
      </c>
      <c r="K50" s="16"/>
    </row>
    <row r="51" spans="1:11" x14ac:dyDescent="0.3">
      <c r="A51" s="4" t="s">
        <v>11</v>
      </c>
      <c r="B51" s="5" t="s">
        <v>12</v>
      </c>
      <c r="C51" s="5" t="s">
        <v>13</v>
      </c>
      <c r="D51" s="6" t="s">
        <v>91</v>
      </c>
      <c r="E51" s="6" t="s">
        <v>92</v>
      </c>
      <c r="F51" s="6" t="s">
        <v>93</v>
      </c>
      <c r="G51" s="6" t="s">
        <v>94</v>
      </c>
      <c r="H51" s="6" t="s">
        <v>20</v>
      </c>
      <c r="I51" s="4" t="s">
        <v>4</v>
      </c>
      <c r="J51" s="4" t="s">
        <v>4</v>
      </c>
      <c r="K51" s="16"/>
    </row>
    <row r="52" spans="1:11" x14ac:dyDescent="0.3">
      <c r="A52" s="4" t="s">
        <v>11</v>
      </c>
      <c r="B52" s="5" t="s">
        <v>12</v>
      </c>
      <c r="C52" s="5" t="s">
        <v>13</v>
      </c>
      <c r="D52" s="6" t="s">
        <v>91</v>
      </c>
      <c r="E52" s="6" t="s">
        <v>92</v>
      </c>
      <c r="F52" s="6" t="s">
        <v>93</v>
      </c>
      <c r="G52" s="6" t="s">
        <v>94</v>
      </c>
      <c r="H52" s="6" t="s">
        <v>32</v>
      </c>
      <c r="I52" s="4" t="s">
        <v>4</v>
      </c>
      <c r="J52" s="4" t="s">
        <v>4</v>
      </c>
      <c r="K52" s="16"/>
    </row>
    <row r="53" spans="1:11" x14ac:dyDescent="0.3">
      <c r="A53" s="4" t="s">
        <v>11</v>
      </c>
      <c r="B53" s="5" t="s">
        <v>12</v>
      </c>
      <c r="C53" s="5" t="s">
        <v>13</v>
      </c>
      <c r="D53" s="6" t="s">
        <v>95</v>
      </c>
      <c r="E53" s="6" t="s">
        <v>96</v>
      </c>
      <c r="F53" s="6" t="s">
        <v>97</v>
      </c>
      <c r="G53" s="6" t="s">
        <v>98</v>
      </c>
      <c r="H53" s="6" t="s">
        <v>18</v>
      </c>
      <c r="I53" s="4" t="s">
        <v>4</v>
      </c>
      <c r="J53" s="4" t="s">
        <v>4</v>
      </c>
      <c r="K53" s="16"/>
    </row>
    <row r="54" spans="1:11" x14ac:dyDescent="0.3">
      <c r="A54" s="4" t="s">
        <v>11</v>
      </c>
      <c r="B54" s="5" t="s">
        <v>12</v>
      </c>
      <c r="C54" s="5" t="s">
        <v>13</v>
      </c>
      <c r="D54" s="6" t="s">
        <v>95</v>
      </c>
      <c r="E54" s="6" t="s">
        <v>96</v>
      </c>
      <c r="F54" s="6" t="s">
        <v>97</v>
      </c>
      <c r="G54" s="6" t="s">
        <v>98</v>
      </c>
      <c r="H54" s="6" t="s">
        <v>19</v>
      </c>
      <c r="I54" s="4" t="s">
        <v>4</v>
      </c>
      <c r="J54" s="4" t="s">
        <v>4</v>
      </c>
      <c r="K54" s="16"/>
    </row>
    <row r="55" spans="1:11" x14ac:dyDescent="0.3">
      <c r="A55" s="4" t="s">
        <v>11</v>
      </c>
      <c r="B55" s="5" t="s">
        <v>12</v>
      </c>
      <c r="C55" s="5" t="s">
        <v>13</v>
      </c>
      <c r="D55" s="6" t="s">
        <v>95</v>
      </c>
      <c r="E55" s="6" t="s">
        <v>96</v>
      </c>
      <c r="F55" s="6" t="s">
        <v>97</v>
      </c>
      <c r="G55" s="6" t="s">
        <v>98</v>
      </c>
      <c r="H55" s="6" t="s">
        <v>21</v>
      </c>
      <c r="I55" s="4" t="s">
        <v>4</v>
      </c>
      <c r="J55" s="4" t="s">
        <v>4</v>
      </c>
      <c r="K55" s="16"/>
    </row>
    <row r="56" spans="1:11" x14ac:dyDescent="0.3">
      <c r="A56" s="4" t="s">
        <v>11</v>
      </c>
      <c r="B56" s="5" t="s">
        <v>12</v>
      </c>
      <c r="C56" s="5" t="s">
        <v>13</v>
      </c>
      <c r="D56" s="6" t="s">
        <v>95</v>
      </c>
      <c r="E56" s="6" t="s">
        <v>96</v>
      </c>
      <c r="F56" s="6" t="s">
        <v>97</v>
      </c>
      <c r="G56" s="6" t="s">
        <v>98</v>
      </c>
      <c r="H56" s="6" t="s">
        <v>23</v>
      </c>
      <c r="I56" s="4" t="s">
        <v>4</v>
      </c>
      <c r="J56" s="4" t="s">
        <v>4</v>
      </c>
      <c r="K56" s="16"/>
    </row>
    <row r="57" spans="1:11" x14ac:dyDescent="0.3">
      <c r="A57" s="4" t="s">
        <v>11</v>
      </c>
      <c r="B57" s="5" t="s">
        <v>12</v>
      </c>
      <c r="C57" s="5" t="s">
        <v>13</v>
      </c>
      <c r="D57" s="6" t="s">
        <v>95</v>
      </c>
      <c r="E57" s="6" t="s">
        <v>96</v>
      </c>
      <c r="F57" s="6" t="s">
        <v>97</v>
      </c>
      <c r="G57" s="6" t="s">
        <v>98</v>
      </c>
      <c r="H57" s="6" t="s">
        <v>36</v>
      </c>
      <c r="I57" s="4" t="s">
        <v>4</v>
      </c>
      <c r="J57" s="9">
        <v>0</v>
      </c>
      <c r="K57" s="17"/>
    </row>
    <row r="58" spans="1:11" x14ac:dyDescent="0.3">
      <c r="A58" s="4" t="s">
        <v>11</v>
      </c>
      <c r="B58" s="5" t="s">
        <v>12</v>
      </c>
      <c r="C58" s="5" t="s">
        <v>13</v>
      </c>
      <c r="D58" s="6" t="s">
        <v>99</v>
      </c>
      <c r="E58" s="6" t="s">
        <v>100</v>
      </c>
      <c r="F58" s="6" t="s">
        <v>101</v>
      </c>
      <c r="G58" s="1" t="s">
        <v>102</v>
      </c>
      <c r="H58" s="6" t="s">
        <v>20</v>
      </c>
      <c r="I58" s="4" t="s">
        <v>4</v>
      </c>
      <c r="J58" s="4" t="s">
        <v>4</v>
      </c>
      <c r="K58" s="16"/>
    </row>
    <row r="59" spans="1:11" x14ac:dyDescent="0.3">
      <c r="A59" s="4" t="s">
        <v>11</v>
      </c>
      <c r="B59" s="5" t="s">
        <v>12</v>
      </c>
      <c r="C59" s="5" t="s">
        <v>13</v>
      </c>
      <c r="D59" s="6" t="s">
        <v>99</v>
      </c>
      <c r="E59" s="6" t="s">
        <v>100</v>
      </c>
      <c r="F59" s="6" t="s">
        <v>101</v>
      </c>
      <c r="G59" s="1" t="s">
        <v>102</v>
      </c>
      <c r="H59" s="6" t="s">
        <v>22</v>
      </c>
      <c r="I59" s="4" t="s">
        <v>4</v>
      </c>
      <c r="J59" s="4" t="s">
        <v>4</v>
      </c>
      <c r="K59" s="16"/>
    </row>
    <row r="60" spans="1:11" x14ac:dyDescent="0.3">
      <c r="A60" s="4" t="s">
        <v>11</v>
      </c>
      <c r="B60" s="5" t="s">
        <v>12</v>
      </c>
      <c r="C60" s="5" t="s">
        <v>13</v>
      </c>
      <c r="D60" s="6" t="s">
        <v>103</v>
      </c>
      <c r="E60" s="6" t="s">
        <v>104</v>
      </c>
      <c r="F60" s="6" t="s">
        <v>105</v>
      </c>
      <c r="G60" s="6"/>
      <c r="H60" s="6" t="s">
        <v>32</v>
      </c>
      <c r="I60" s="4" t="s">
        <v>4</v>
      </c>
      <c r="J60" s="4" t="s">
        <v>4</v>
      </c>
      <c r="K60" s="16"/>
    </row>
    <row r="61" spans="1:11" x14ac:dyDescent="0.3">
      <c r="A61" s="4" t="s">
        <v>11</v>
      </c>
      <c r="B61" s="5" t="s">
        <v>12</v>
      </c>
      <c r="C61" s="5" t="s">
        <v>13</v>
      </c>
      <c r="D61" s="6" t="s">
        <v>103</v>
      </c>
      <c r="E61" s="6" t="s">
        <v>104</v>
      </c>
      <c r="F61" s="6" t="s">
        <v>105</v>
      </c>
      <c r="G61" s="6"/>
      <c r="H61" s="6" t="s">
        <v>22</v>
      </c>
      <c r="I61" s="4" t="s">
        <v>4</v>
      </c>
      <c r="J61" s="4" t="s">
        <v>4</v>
      </c>
      <c r="K61" s="16"/>
    </row>
    <row r="62" spans="1:11" x14ac:dyDescent="0.3">
      <c r="A62" s="4" t="s">
        <v>11</v>
      </c>
      <c r="B62" s="5" t="s">
        <v>12</v>
      </c>
      <c r="C62" s="5" t="s">
        <v>13</v>
      </c>
      <c r="D62" s="6" t="s">
        <v>103</v>
      </c>
      <c r="E62" s="6" t="s">
        <v>104</v>
      </c>
      <c r="F62" s="6" t="s">
        <v>105</v>
      </c>
      <c r="G62" s="6"/>
      <c r="H62" s="6" t="s">
        <v>36</v>
      </c>
      <c r="I62" s="4" t="s">
        <v>4</v>
      </c>
      <c r="J62" s="4" t="s">
        <v>4</v>
      </c>
      <c r="K62" s="16"/>
    </row>
    <row r="63" spans="1:11" x14ac:dyDescent="0.3">
      <c r="A63" s="4" t="s">
        <v>11</v>
      </c>
      <c r="B63" s="5" t="s">
        <v>12</v>
      </c>
      <c r="C63" s="5" t="s">
        <v>13</v>
      </c>
      <c r="D63" s="6" t="s">
        <v>106</v>
      </c>
      <c r="E63" s="6" t="s">
        <v>107</v>
      </c>
      <c r="F63" s="6" t="s">
        <v>108</v>
      </c>
      <c r="G63" s="1" t="s">
        <v>109</v>
      </c>
      <c r="H63" s="6" t="s">
        <v>18</v>
      </c>
      <c r="I63" s="4" t="s">
        <v>4</v>
      </c>
      <c r="J63" s="4" t="s">
        <v>4</v>
      </c>
      <c r="K63" s="22">
        <f ca="1">VALUE(Tabela_query__15[[#This Row],[DATA E HORA AGENDAMENTO]])</f>
        <v>46211.4375</v>
      </c>
    </row>
    <row r="64" spans="1:11" x14ac:dyDescent="0.3">
      <c r="A64" s="4" t="s">
        <v>11</v>
      </c>
      <c r="B64" s="5" t="s">
        <v>12</v>
      </c>
      <c r="C64" s="5" t="s">
        <v>13</v>
      </c>
      <c r="D64" s="6" t="s">
        <v>106</v>
      </c>
      <c r="E64" s="6" t="s">
        <v>107</v>
      </c>
      <c r="F64" s="6" t="s">
        <v>108</v>
      </c>
      <c r="G64" s="1" t="s">
        <v>109</v>
      </c>
      <c r="H64" s="6" t="s">
        <v>32</v>
      </c>
      <c r="I64" s="4" t="s">
        <v>4</v>
      </c>
      <c r="J64" s="4" t="s">
        <v>4</v>
      </c>
      <c r="K64" s="16"/>
    </row>
    <row r="65" spans="1:11" x14ac:dyDescent="0.3">
      <c r="A65" s="4" t="s">
        <v>11</v>
      </c>
      <c r="B65" s="5" t="s">
        <v>12</v>
      </c>
      <c r="C65" s="5" t="s">
        <v>13</v>
      </c>
      <c r="D65" s="6" t="s">
        <v>106</v>
      </c>
      <c r="E65" s="6" t="s">
        <v>107</v>
      </c>
      <c r="F65" s="6" t="s">
        <v>108</v>
      </c>
      <c r="G65" s="1" t="s">
        <v>109</v>
      </c>
      <c r="H65" s="6" t="s">
        <v>23</v>
      </c>
      <c r="I65" s="4" t="s">
        <v>4</v>
      </c>
      <c r="J65" s="4" t="s">
        <v>4</v>
      </c>
      <c r="K65" s="16"/>
    </row>
    <row r="66" spans="1:11" x14ac:dyDescent="0.3">
      <c r="A66" s="4" t="s">
        <v>11</v>
      </c>
      <c r="B66" s="5" t="s">
        <v>12</v>
      </c>
      <c r="C66" s="5" t="s">
        <v>13</v>
      </c>
      <c r="D66" s="6" t="s">
        <v>110</v>
      </c>
      <c r="E66" s="6" t="s">
        <v>111</v>
      </c>
      <c r="F66" s="6">
        <v>21972105016</v>
      </c>
      <c r="G66" s="6" t="s">
        <v>112</v>
      </c>
      <c r="H66" s="6" t="s">
        <v>18</v>
      </c>
      <c r="I66" s="4" t="s">
        <v>4</v>
      </c>
      <c r="J66" s="4" t="s">
        <v>4</v>
      </c>
      <c r="K66" s="16"/>
    </row>
    <row r="67" spans="1:11" x14ac:dyDescent="0.3">
      <c r="A67" s="4" t="s">
        <v>11</v>
      </c>
      <c r="B67" s="5" t="s">
        <v>12</v>
      </c>
      <c r="C67" s="5" t="s">
        <v>13</v>
      </c>
      <c r="D67" s="6" t="s">
        <v>110</v>
      </c>
      <c r="E67" s="6" t="s">
        <v>111</v>
      </c>
      <c r="F67" s="6">
        <v>21972105016</v>
      </c>
      <c r="G67" s="6" t="s">
        <v>112</v>
      </c>
      <c r="H67" s="6" t="s">
        <v>20</v>
      </c>
      <c r="I67" s="4" t="s">
        <v>4</v>
      </c>
      <c r="J67" s="4" t="s">
        <v>4</v>
      </c>
      <c r="K67" s="16"/>
    </row>
    <row r="68" spans="1:11" x14ac:dyDescent="0.3">
      <c r="A68" s="4" t="s">
        <v>11</v>
      </c>
      <c r="B68" s="5" t="s">
        <v>12</v>
      </c>
      <c r="C68" s="5" t="s">
        <v>13</v>
      </c>
      <c r="D68" s="6" t="s">
        <v>110</v>
      </c>
      <c r="E68" s="6" t="s">
        <v>111</v>
      </c>
      <c r="F68" s="6">
        <v>21972105016</v>
      </c>
      <c r="G68" s="6" t="s">
        <v>112</v>
      </c>
      <c r="H68" s="6" t="s">
        <v>23</v>
      </c>
      <c r="I68" s="4" t="s">
        <v>4</v>
      </c>
      <c r="J68" s="4" t="s">
        <v>4</v>
      </c>
      <c r="K68" s="16"/>
    </row>
    <row r="69" spans="1:11" x14ac:dyDescent="0.3">
      <c r="A69" s="4" t="s">
        <v>11</v>
      </c>
      <c r="B69" s="5" t="s">
        <v>12</v>
      </c>
      <c r="C69" s="5" t="s">
        <v>13</v>
      </c>
      <c r="D69" s="6" t="s">
        <v>113</v>
      </c>
      <c r="E69" s="6" t="s">
        <v>114</v>
      </c>
      <c r="F69" s="6">
        <v>21983902515</v>
      </c>
      <c r="G69" s="6" t="s">
        <v>115</v>
      </c>
      <c r="H69" s="6" t="s">
        <v>20</v>
      </c>
      <c r="I69" s="4" t="s">
        <v>4</v>
      </c>
      <c r="J69" s="4" t="s">
        <v>4</v>
      </c>
      <c r="K69" s="16">
        <v>46217.5625</v>
      </c>
    </row>
    <row r="70" spans="1:11" x14ac:dyDescent="0.3">
      <c r="A70" s="4" t="s">
        <v>11</v>
      </c>
      <c r="B70" s="5" t="s">
        <v>12</v>
      </c>
      <c r="C70" s="5" t="s">
        <v>13</v>
      </c>
      <c r="D70" s="6" t="s">
        <v>116</v>
      </c>
      <c r="E70" s="6" t="s">
        <v>117</v>
      </c>
      <c r="F70" s="6" t="s">
        <v>118</v>
      </c>
      <c r="G70" s="12" t="s">
        <v>119</v>
      </c>
      <c r="H70" s="6" t="s">
        <v>18</v>
      </c>
      <c r="I70" s="4" t="s">
        <v>4</v>
      </c>
      <c r="J70" s="4" t="s">
        <v>4</v>
      </c>
      <c r="K70" s="22">
        <f ca="1">VALUE(Tabela_query__15[[#This Row],[DATA E HORA AGENDAMENTO]])</f>
        <v>46220.604166666664</v>
      </c>
    </row>
    <row r="71" spans="1:11" x14ac:dyDescent="0.3">
      <c r="A71" s="4" t="s">
        <v>11</v>
      </c>
      <c r="B71" s="5" t="s">
        <v>12</v>
      </c>
      <c r="C71" s="5" t="s">
        <v>13</v>
      </c>
      <c r="D71" s="6" t="s">
        <v>116</v>
      </c>
      <c r="E71" s="6" t="s">
        <v>117</v>
      </c>
      <c r="F71" s="6">
        <v>24993052569</v>
      </c>
      <c r="G71" s="12" t="s">
        <v>119</v>
      </c>
      <c r="H71" s="6" t="s">
        <v>19</v>
      </c>
      <c r="I71" s="4" t="s">
        <v>4</v>
      </c>
      <c r="J71" s="4" t="s">
        <v>4</v>
      </c>
      <c r="K71" s="22">
        <f ca="1">VALUE(Tabela_query__15[[#This Row],[DATA E HORA AGENDAMENTO]])</f>
        <v>46220.583333333336</v>
      </c>
    </row>
    <row r="72" spans="1:11" x14ac:dyDescent="0.3">
      <c r="A72" s="4" t="s">
        <v>11</v>
      </c>
      <c r="B72" s="5" t="s">
        <v>12</v>
      </c>
      <c r="C72" s="5" t="s">
        <v>13</v>
      </c>
      <c r="D72" s="6" t="s">
        <v>116</v>
      </c>
      <c r="E72" s="6" t="s">
        <v>117</v>
      </c>
      <c r="F72" s="6" t="s">
        <v>118</v>
      </c>
      <c r="G72" s="6" t="s">
        <v>119</v>
      </c>
      <c r="H72" s="6" t="s">
        <v>20</v>
      </c>
      <c r="I72" s="4" t="s">
        <v>4</v>
      </c>
      <c r="J72" s="4" t="s">
        <v>4</v>
      </c>
      <c r="K72" s="22">
        <f ca="1">VALUE(Tabela_query__15[[#This Row],[DATA E HORA AGENDAMENTO]])</f>
        <v>46213.479166666664</v>
      </c>
    </row>
    <row r="73" spans="1:11" x14ac:dyDescent="0.3">
      <c r="A73" s="4" t="s">
        <v>11</v>
      </c>
      <c r="B73" s="5" t="s">
        <v>12</v>
      </c>
      <c r="C73" s="5" t="s">
        <v>13</v>
      </c>
      <c r="D73" s="6" t="s">
        <v>116</v>
      </c>
      <c r="E73" s="6" t="s">
        <v>117</v>
      </c>
      <c r="F73" s="6">
        <v>24993052569</v>
      </c>
      <c r="G73" s="12" t="s">
        <v>119</v>
      </c>
      <c r="H73" s="6" t="s">
        <v>22</v>
      </c>
      <c r="I73" s="4" t="s">
        <v>4</v>
      </c>
      <c r="J73" s="4" t="s">
        <v>4</v>
      </c>
      <c r="K73" s="22">
        <f ca="1">VALUE(Tabela_query__15[[#This Row],[DATA E HORA AGENDAMENTO]])</f>
        <v>46213.458333333336</v>
      </c>
    </row>
    <row r="74" spans="1:11" x14ac:dyDescent="0.3">
      <c r="A74" s="4" t="s">
        <v>11</v>
      </c>
      <c r="B74" s="5" t="s">
        <v>12</v>
      </c>
      <c r="C74" s="5" t="s">
        <v>13</v>
      </c>
      <c r="D74" s="6" t="s">
        <v>116</v>
      </c>
      <c r="E74" s="6" t="s">
        <v>117</v>
      </c>
      <c r="F74" s="6">
        <v>24993052569</v>
      </c>
      <c r="G74" s="12" t="s">
        <v>119</v>
      </c>
      <c r="H74" s="6" t="s">
        <v>23</v>
      </c>
      <c r="I74" s="4" t="s">
        <v>4</v>
      </c>
      <c r="J74" s="4" t="s">
        <v>4</v>
      </c>
      <c r="K74" s="22">
        <f ca="1">VALUE(Tabela_query__15[[#This Row],[DATA E HORA AGENDAMENTO]])</f>
        <v>46209.4375</v>
      </c>
    </row>
    <row r="75" spans="1:11" x14ac:dyDescent="0.3">
      <c r="A75" s="4" t="s">
        <v>11</v>
      </c>
      <c r="B75" s="5" t="s">
        <v>12</v>
      </c>
      <c r="C75" s="5" t="s">
        <v>13</v>
      </c>
      <c r="D75" s="6" t="s">
        <v>120</v>
      </c>
      <c r="E75" s="6" t="s">
        <v>121</v>
      </c>
      <c r="F75" s="6" t="s">
        <v>122</v>
      </c>
      <c r="G75" s="6" t="s">
        <v>123</v>
      </c>
      <c r="H75" s="6" t="s">
        <v>18</v>
      </c>
      <c r="I75" s="4" t="s">
        <v>4</v>
      </c>
      <c r="J75" s="4" t="s">
        <v>4</v>
      </c>
      <c r="K75" s="16"/>
    </row>
    <row r="76" spans="1:11" x14ac:dyDescent="0.3">
      <c r="A76" s="4" t="s">
        <v>11</v>
      </c>
      <c r="B76" s="5" t="s">
        <v>12</v>
      </c>
      <c r="C76" s="5" t="s">
        <v>13</v>
      </c>
      <c r="D76" s="6" t="s">
        <v>120</v>
      </c>
      <c r="E76" s="6" t="s">
        <v>121</v>
      </c>
      <c r="F76" s="6" t="s">
        <v>122</v>
      </c>
      <c r="G76" s="1" t="s">
        <v>123</v>
      </c>
      <c r="H76" s="6" t="s">
        <v>19</v>
      </c>
      <c r="I76" s="4" t="s">
        <v>4</v>
      </c>
      <c r="J76" s="4" t="s">
        <v>4</v>
      </c>
      <c r="K76" s="16"/>
    </row>
    <row r="77" spans="1:11" x14ac:dyDescent="0.3">
      <c r="A77" s="4" t="s">
        <v>11</v>
      </c>
      <c r="B77" s="5" t="s">
        <v>12</v>
      </c>
      <c r="C77" s="5" t="s">
        <v>13</v>
      </c>
      <c r="D77" s="6" t="s">
        <v>120</v>
      </c>
      <c r="E77" s="6" t="s">
        <v>121</v>
      </c>
      <c r="F77" s="6" t="s">
        <v>122</v>
      </c>
      <c r="G77" s="6" t="s">
        <v>123</v>
      </c>
      <c r="H77" s="6" t="s">
        <v>20</v>
      </c>
      <c r="I77" s="4" t="s">
        <v>4</v>
      </c>
      <c r="J77" s="4" t="s">
        <v>4</v>
      </c>
      <c r="K77" s="16"/>
    </row>
    <row r="78" spans="1:11" x14ac:dyDescent="0.3">
      <c r="A78" s="4" t="s">
        <v>11</v>
      </c>
      <c r="B78" s="5" t="s">
        <v>12</v>
      </c>
      <c r="C78" s="5" t="s">
        <v>13</v>
      </c>
      <c r="D78" s="6" t="s">
        <v>120</v>
      </c>
      <c r="E78" s="6" t="s">
        <v>121</v>
      </c>
      <c r="F78" s="6" t="s">
        <v>122</v>
      </c>
      <c r="G78" s="6" t="s">
        <v>123</v>
      </c>
      <c r="H78" s="6" t="s">
        <v>32</v>
      </c>
      <c r="I78" s="4" t="s">
        <v>4</v>
      </c>
      <c r="J78" s="4" t="s">
        <v>4</v>
      </c>
      <c r="K78" s="16"/>
    </row>
    <row r="79" spans="1:11" x14ac:dyDescent="0.3">
      <c r="A79" s="4" t="s">
        <v>11</v>
      </c>
      <c r="B79" s="5" t="s">
        <v>12</v>
      </c>
      <c r="C79" s="5" t="s">
        <v>13</v>
      </c>
      <c r="D79" s="6" t="s">
        <v>120</v>
      </c>
      <c r="E79" s="6" t="s">
        <v>121</v>
      </c>
      <c r="F79" s="6" t="s">
        <v>122</v>
      </c>
      <c r="G79" s="6" t="s">
        <v>123</v>
      </c>
      <c r="H79" s="6" t="s">
        <v>22</v>
      </c>
      <c r="I79" s="4" t="s">
        <v>4</v>
      </c>
      <c r="J79" s="4" t="s">
        <v>4</v>
      </c>
      <c r="K79" s="16"/>
    </row>
    <row r="80" spans="1:11" x14ac:dyDescent="0.3">
      <c r="A80" s="4" t="s">
        <v>11</v>
      </c>
      <c r="B80" s="5" t="s">
        <v>12</v>
      </c>
      <c r="C80" s="5" t="s">
        <v>13</v>
      </c>
      <c r="D80" s="6" t="s">
        <v>120</v>
      </c>
      <c r="E80" s="6" t="s">
        <v>121</v>
      </c>
      <c r="F80" s="6" t="s">
        <v>122</v>
      </c>
      <c r="G80" s="6" t="s">
        <v>123</v>
      </c>
      <c r="H80" s="6" t="s">
        <v>23</v>
      </c>
      <c r="I80" s="4" t="s">
        <v>4</v>
      </c>
      <c r="J80" s="4" t="s">
        <v>4</v>
      </c>
      <c r="K80" s="16"/>
    </row>
    <row r="81" spans="1:11" x14ac:dyDescent="0.3">
      <c r="A81" s="4" t="s">
        <v>11</v>
      </c>
      <c r="B81" s="5" t="s">
        <v>12</v>
      </c>
      <c r="C81" s="5" t="s">
        <v>13</v>
      </c>
      <c r="D81" s="6" t="s">
        <v>124</v>
      </c>
      <c r="E81" s="6" t="s">
        <v>125</v>
      </c>
      <c r="F81" s="6">
        <v>21979985990</v>
      </c>
      <c r="G81" s="6" t="s">
        <v>126</v>
      </c>
      <c r="H81" s="6" t="s">
        <v>23</v>
      </c>
      <c r="I81" s="4" t="s">
        <v>4</v>
      </c>
      <c r="J81" s="4" t="s">
        <v>4</v>
      </c>
      <c r="K81" s="23" t="s">
        <v>241</v>
      </c>
    </row>
    <row r="82" spans="1:11" x14ac:dyDescent="0.3">
      <c r="A82" s="4" t="s">
        <v>11</v>
      </c>
      <c r="B82" s="5" t="s">
        <v>12</v>
      </c>
      <c r="C82" s="5" t="s">
        <v>13</v>
      </c>
      <c r="D82" s="6" t="s">
        <v>127</v>
      </c>
      <c r="E82" s="6" t="s">
        <v>128</v>
      </c>
      <c r="F82" s="8" t="s">
        <v>129</v>
      </c>
      <c r="G82" s="1" t="s">
        <v>130</v>
      </c>
      <c r="H82" s="6" t="s">
        <v>36</v>
      </c>
      <c r="I82" s="4" t="s">
        <v>4</v>
      </c>
      <c r="J82" s="9">
        <v>0</v>
      </c>
      <c r="K82" s="17"/>
    </row>
    <row r="83" spans="1:11" x14ac:dyDescent="0.3">
      <c r="A83" s="4" t="s">
        <v>11</v>
      </c>
      <c r="B83" s="5" t="s">
        <v>12</v>
      </c>
      <c r="C83" s="5" t="s">
        <v>13</v>
      </c>
      <c r="D83" s="6" t="s">
        <v>131</v>
      </c>
      <c r="E83" s="6" t="s">
        <v>132</v>
      </c>
      <c r="F83" s="8" t="s">
        <v>133</v>
      </c>
      <c r="G83" s="6" t="s">
        <v>134</v>
      </c>
      <c r="H83" s="6" t="s">
        <v>18</v>
      </c>
      <c r="I83" s="4" t="s">
        <v>4</v>
      </c>
      <c r="J83" s="4" t="s">
        <v>4</v>
      </c>
      <c r="K83" s="16"/>
    </row>
    <row r="84" spans="1:11" x14ac:dyDescent="0.3">
      <c r="A84" s="4" t="s">
        <v>11</v>
      </c>
      <c r="B84" s="5" t="s">
        <v>12</v>
      </c>
      <c r="C84" s="5" t="s">
        <v>13</v>
      </c>
      <c r="D84" s="6" t="s">
        <v>131</v>
      </c>
      <c r="E84" s="6" t="s">
        <v>132</v>
      </c>
      <c r="F84" s="8" t="s">
        <v>133</v>
      </c>
      <c r="G84" s="6" t="s">
        <v>134</v>
      </c>
      <c r="H84" s="6" t="s">
        <v>20</v>
      </c>
      <c r="I84" s="4" t="s">
        <v>4</v>
      </c>
      <c r="J84" s="4" t="s">
        <v>4</v>
      </c>
      <c r="K84" s="16"/>
    </row>
    <row r="85" spans="1:11" x14ac:dyDescent="0.3">
      <c r="A85" s="4" t="s">
        <v>11</v>
      </c>
      <c r="B85" s="5" t="s">
        <v>12</v>
      </c>
      <c r="C85" s="5" t="s">
        <v>13</v>
      </c>
      <c r="D85" s="6" t="s">
        <v>131</v>
      </c>
      <c r="E85" s="6" t="s">
        <v>132</v>
      </c>
      <c r="F85" s="8" t="s">
        <v>133</v>
      </c>
      <c r="G85" s="6" t="s">
        <v>134</v>
      </c>
      <c r="H85" s="6" t="s">
        <v>22</v>
      </c>
      <c r="I85" s="4" t="s">
        <v>4</v>
      </c>
      <c r="J85" s="4" t="s">
        <v>4</v>
      </c>
      <c r="K85" s="16"/>
    </row>
    <row r="86" spans="1:11" x14ac:dyDescent="0.3">
      <c r="A86" s="4" t="s">
        <v>11</v>
      </c>
      <c r="B86" s="5" t="s">
        <v>12</v>
      </c>
      <c r="C86" s="5" t="s">
        <v>13</v>
      </c>
      <c r="D86" s="6" t="s">
        <v>131</v>
      </c>
      <c r="E86" s="6" t="s">
        <v>132</v>
      </c>
      <c r="F86" s="8" t="s">
        <v>133</v>
      </c>
      <c r="G86" s="6" t="s">
        <v>134</v>
      </c>
      <c r="H86" s="6" t="s">
        <v>23</v>
      </c>
      <c r="I86" s="4" t="s">
        <v>4</v>
      </c>
      <c r="J86" s="4" t="s">
        <v>4</v>
      </c>
      <c r="K86" s="16"/>
    </row>
    <row r="87" spans="1:11" x14ac:dyDescent="0.3">
      <c r="A87" s="4" t="s">
        <v>11</v>
      </c>
      <c r="B87" s="5" t="s">
        <v>12</v>
      </c>
      <c r="C87" s="5" t="s">
        <v>13</v>
      </c>
      <c r="D87" s="6" t="s">
        <v>135</v>
      </c>
      <c r="E87" s="6" t="s">
        <v>136</v>
      </c>
      <c r="F87" s="6" t="s">
        <v>137</v>
      </c>
      <c r="G87" s="6"/>
      <c r="H87" s="6" t="s">
        <v>20</v>
      </c>
      <c r="I87" s="4" t="s">
        <v>4</v>
      </c>
      <c r="J87" s="4" t="s">
        <v>4</v>
      </c>
      <c r="K87" s="16"/>
    </row>
    <row r="88" spans="1:11" x14ac:dyDescent="0.3">
      <c r="A88" s="4" t="s">
        <v>11</v>
      </c>
      <c r="B88" s="5" t="s">
        <v>12</v>
      </c>
      <c r="C88" s="5" t="s">
        <v>13</v>
      </c>
      <c r="D88" s="6" t="s">
        <v>138</v>
      </c>
      <c r="E88" s="6" t="s">
        <v>139</v>
      </c>
      <c r="F88" s="6">
        <v>21997784887</v>
      </c>
      <c r="G88" s="6" t="s">
        <v>140</v>
      </c>
      <c r="H88" s="6" t="s">
        <v>20</v>
      </c>
      <c r="I88" s="4" t="s">
        <v>4</v>
      </c>
      <c r="J88" s="4" t="s">
        <v>4</v>
      </c>
      <c r="K88" s="16">
        <v>46217.666666666664</v>
      </c>
    </row>
    <row r="89" spans="1:11" x14ac:dyDescent="0.3">
      <c r="A89" s="4" t="s">
        <v>11</v>
      </c>
      <c r="B89" s="5" t="s">
        <v>12</v>
      </c>
      <c r="C89" s="5" t="s">
        <v>13</v>
      </c>
      <c r="D89" s="6" t="s">
        <v>141</v>
      </c>
      <c r="E89" s="6" t="s">
        <v>142</v>
      </c>
      <c r="F89" s="6">
        <v>21995470259</v>
      </c>
      <c r="G89" s="12" t="s">
        <v>143</v>
      </c>
      <c r="H89" s="6" t="s">
        <v>20</v>
      </c>
      <c r="I89" s="4" t="s">
        <v>4</v>
      </c>
      <c r="J89" s="4" t="s">
        <v>4</v>
      </c>
      <c r="K89" s="22">
        <f ca="1">VALUE(Tabela_query__15[[#This Row],[DATA E HORA AGENDAMENTO]])</f>
        <v>46218.645833333336</v>
      </c>
    </row>
    <row r="90" spans="1:11" x14ac:dyDescent="0.3">
      <c r="A90" s="4" t="s">
        <v>11</v>
      </c>
      <c r="B90" s="5" t="s">
        <v>12</v>
      </c>
      <c r="C90" s="5" t="s">
        <v>13</v>
      </c>
      <c r="D90" s="6" t="s">
        <v>144</v>
      </c>
      <c r="E90" s="6" t="s">
        <v>145</v>
      </c>
      <c r="F90" s="6">
        <v>21999958091</v>
      </c>
      <c r="G90" s="6" t="s">
        <v>146</v>
      </c>
      <c r="H90" s="6" t="s">
        <v>22</v>
      </c>
      <c r="I90" s="4" t="s">
        <v>4</v>
      </c>
      <c r="J90" s="4" t="s">
        <v>4</v>
      </c>
      <c r="K90" s="16"/>
    </row>
    <row r="91" spans="1:11" x14ac:dyDescent="0.3">
      <c r="A91" s="4" t="s">
        <v>11</v>
      </c>
      <c r="B91" s="5" t="s">
        <v>12</v>
      </c>
      <c r="C91" s="5" t="s">
        <v>13</v>
      </c>
      <c r="D91" s="6" t="s">
        <v>147</v>
      </c>
      <c r="E91" s="6" t="s">
        <v>148</v>
      </c>
      <c r="F91" s="6" t="s">
        <v>149</v>
      </c>
      <c r="G91" s="1" t="s">
        <v>150</v>
      </c>
      <c r="H91" s="6" t="s">
        <v>20</v>
      </c>
      <c r="I91" s="4" t="s">
        <v>4</v>
      </c>
      <c r="J91" s="4" t="s">
        <v>4</v>
      </c>
      <c r="K91" s="16"/>
    </row>
    <row r="92" spans="1:11" x14ac:dyDescent="0.3">
      <c r="A92" s="4" t="s">
        <v>11</v>
      </c>
      <c r="B92" s="5" t="s">
        <v>12</v>
      </c>
      <c r="C92" s="5" t="s">
        <v>13</v>
      </c>
      <c r="D92" s="6" t="s">
        <v>147</v>
      </c>
      <c r="E92" s="6" t="s">
        <v>148</v>
      </c>
      <c r="F92" s="6" t="s">
        <v>149</v>
      </c>
      <c r="G92" s="1" t="s">
        <v>150</v>
      </c>
      <c r="H92" s="6" t="s">
        <v>22</v>
      </c>
      <c r="I92" s="4" t="s">
        <v>4</v>
      </c>
      <c r="J92" s="4" t="s">
        <v>4</v>
      </c>
      <c r="K92" s="16"/>
    </row>
    <row r="93" spans="1:11" x14ac:dyDescent="0.3">
      <c r="A93" s="4" t="s">
        <v>11</v>
      </c>
      <c r="B93" s="5" t="s">
        <v>12</v>
      </c>
      <c r="C93" s="5" t="s">
        <v>13</v>
      </c>
      <c r="D93" s="6" t="s">
        <v>151</v>
      </c>
      <c r="E93" s="6" t="s">
        <v>152</v>
      </c>
      <c r="F93" s="6">
        <v>21983398133</v>
      </c>
      <c r="G93" s="6" t="s">
        <v>153</v>
      </c>
      <c r="H93" s="6" t="s">
        <v>19</v>
      </c>
      <c r="I93" s="4" t="s">
        <v>4</v>
      </c>
      <c r="J93" s="4" t="s">
        <v>4</v>
      </c>
      <c r="K93" s="16"/>
    </row>
    <row r="94" spans="1:11" x14ac:dyDescent="0.3">
      <c r="A94" s="4" t="s">
        <v>11</v>
      </c>
      <c r="B94" s="5" t="s">
        <v>12</v>
      </c>
      <c r="C94" s="5" t="s">
        <v>13</v>
      </c>
      <c r="D94" s="6" t="s">
        <v>151</v>
      </c>
      <c r="E94" s="6" t="s">
        <v>152</v>
      </c>
      <c r="F94" s="6">
        <v>21983398133</v>
      </c>
      <c r="G94" s="6" t="s">
        <v>153</v>
      </c>
      <c r="H94" s="6" t="s">
        <v>32</v>
      </c>
      <c r="I94" s="4" t="s">
        <v>4</v>
      </c>
      <c r="J94" s="4" t="s">
        <v>4</v>
      </c>
      <c r="K94" s="16"/>
    </row>
    <row r="95" spans="1:11" x14ac:dyDescent="0.3">
      <c r="A95" s="4" t="s">
        <v>11</v>
      </c>
      <c r="B95" s="5" t="s">
        <v>12</v>
      </c>
      <c r="C95" s="5" t="s">
        <v>13</v>
      </c>
      <c r="D95" s="6" t="s">
        <v>154</v>
      </c>
      <c r="E95" s="6" t="s">
        <v>155</v>
      </c>
      <c r="F95" s="6">
        <v>24999823135</v>
      </c>
      <c r="G95" s="6" t="s">
        <v>156</v>
      </c>
      <c r="H95" s="6" t="s">
        <v>18</v>
      </c>
      <c r="I95" s="4" t="s">
        <v>4</v>
      </c>
      <c r="J95" s="4" t="s">
        <v>4</v>
      </c>
      <c r="K95" s="16"/>
    </row>
    <row r="96" spans="1:11" x14ac:dyDescent="0.3">
      <c r="A96" s="4" t="s">
        <v>11</v>
      </c>
      <c r="B96" s="5" t="s">
        <v>12</v>
      </c>
      <c r="C96" s="5" t="s">
        <v>13</v>
      </c>
      <c r="D96" s="6" t="s">
        <v>154</v>
      </c>
      <c r="E96" s="6" t="s">
        <v>155</v>
      </c>
      <c r="F96" s="6">
        <v>24999823135</v>
      </c>
      <c r="G96" s="6" t="s">
        <v>156</v>
      </c>
      <c r="H96" s="6" t="s">
        <v>20</v>
      </c>
      <c r="I96" s="4" t="s">
        <v>4</v>
      </c>
      <c r="J96" s="4" t="s">
        <v>4</v>
      </c>
      <c r="K96" s="16"/>
    </row>
    <row r="97" spans="1:11" x14ac:dyDescent="0.3">
      <c r="A97" s="4" t="s">
        <v>11</v>
      </c>
      <c r="B97" s="5" t="s">
        <v>12</v>
      </c>
      <c r="C97" s="5" t="s">
        <v>13</v>
      </c>
      <c r="D97" s="6" t="s">
        <v>154</v>
      </c>
      <c r="E97" s="6" t="s">
        <v>155</v>
      </c>
      <c r="F97" s="6" t="s">
        <v>157</v>
      </c>
      <c r="G97" s="6" t="s">
        <v>156</v>
      </c>
      <c r="H97" s="6" t="s">
        <v>32</v>
      </c>
      <c r="I97" s="4" t="s">
        <v>4</v>
      </c>
      <c r="J97" s="4" t="s">
        <v>4</v>
      </c>
      <c r="K97" s="16"/>
    </row>
    <row r="98" spans="1:11" x14ac:dyDescent="0.3">
      <c r="A98" s="4" t="s">
        <v>11</v>
      </c>
      <c r="B98" s="5" t="s">
        <v>12</v>
      </c>
      <c r="C98" s="5" t="s">
        <v>13</v>
      </c>
      <c r="D98" s="6" t="s">
        <v>154</v>
      </c>
      <c r="E98" s="6" t="s">
        <v>155</v>
      </c>
      <c r="F98" s="6">
        <v>24999823135</v>
      </c>
      <c r="G98" s="6" t="s">
        <v>156</v>
      </c>
      <c r="H98" s="6" t="s">
        <v>23</v>
      </c>
      <c r="I98" s="4" t="s">
        <v>4</v>
      </c>
      <c r="J98" s="4" t="s">
        <v>4</v>
      </c>
      <c r="K98" s="16"/>
    </row>
    <row r="99" spans="1:11" x14ac:dyDescent="0.3">
      <c r="A99" s="4" t="s">
        <v>11</v>
      </c>
      <c r="B99" s="5" t="s">
        <v>12</v>
      </c>
      <c r="C99" s="5" t="s">
        <v>13</v>
      </c>
      <c r="D99" s="6" t="s">
        <v>158</v>
      </c>
      <c r="E99" s="6" t="s">
        <v>159</v>
      </c>
      <c r="F99" s="8" t="s">
        <v>160</v>
      </c>
      <c r="G99" s="6" t="s">
        <v>161</v>
      </c>
      <c r="H99" s="6" t="s">
        <v>20</v>
      </c>
      <c r="I99" s="4" t="s">
        <v>4</v>
      </c>
      <c r="J99" s="4" t="s">
        <v>4</v>
      </c>
      <c r="K99" s="16"/>
    </row>
    <row r="100" spans="1:11" x14ac:dyDescent="0.3">
      <c r="A100" s="4" t="s">
        <v>11</v>
      </c>
      <c r="B100" s="5" t="s">
        <v>12</v>
      </c>
      <c r="C100" s="5" t="s">
        <v>13</v>
      </c>
      <c r="D100" s="6" t="s">
        <v>162</v>
      </c>
      <c r="E100" s="6" t="s">
        <v>163</v>
      </c>
      <c r="F100" s="6" t="s">
        <v>164</v>
      </c>
      <c r="G100" s="6" t="s">
        <v>165</v>
      </c>
      <c r="H100" s="6" t="s">
        <v>18</v>
      </c>
      <c r="I100" s="4" t="s">
        <v>4</v>
      </c>
      <c r="J100" s="4" t="s">
        <v>4</v>
      </c>
      <c r="K100" s="16"/>
    </row>
    <row r="101" spans="1:11" x14ac:dyDescent="0.3">
      <c r="A101" s="4" t="s">
        <v>11</v>
      </c>
      <c r="B101" s="5" t="s">
        <v>12</v>
      </c>
      <c r="C101" s="5" t="s">
        <v>13</v>
      </c>
      <c r="D101" s="6" t="s">
        <v>162</v>
      </c>
      <c r="E101" s="6" t="s">
        <v>163</v>
      </c>
      <c r="F101" s="6" t="s">
        <v>164</v>
      </c>
      <c r="G101" s="6" t="s">
        <v>165</v>
      </c>
      <c r="H101" s="6" t="s">
        <v>20</v>
      </c>
      <c r="I101" s="4" t="s">
        <v>4</v>
      </c>
      <c r="J101" s="4" t="s">
        <v>4</v>
      </c>
      <c r="K101" s="16"/>
    </row>
    <row r="102" spans="1:11" x14ac:dyDescent="0.3">
      <c r="A102" s="4" t="s">
        <v>11</v>
      </c>
      <c r="B102" s="5" t="s">
        <v>12</v>
      </c>
      <c r="C102" s="5" t="s">
        <v>13</v>
      </c>
      <c r="D102" s="6" t="s">
        <v>162</v>
      </c>
      <c r="E102" s="6" t="s">
        <v>163</v>
      </c>
      <c r="F102" s="6" t="s">
        <v>164</v>
      </c>
      <c r="G102" s="6" t="s">
        <v>165</v>
      </c>
      <c r="H102" s="6" t="s">
        <v>22</v>
      </c>
      <c r="I102" s="4" t="s">
        <v>4</v>
      </c>
      <c r="J102" s="4" t="s">
        <v>4</v>
      </c>
      <c r="K102" s="16"/>
    </row>
    <row r="103" spans="1:11" x14ac:dyDescent="0.3">
      <c r="A103" s="4" t="s">
        <v>11</v>
      </c>
      <c r="B103" s="5" t="s">
        <v>12</v>
      </c>
      <c r="C103" s="5" t="s">
        <v>13</v>
      </c>
      <c r="D103" s="6" t="s">
        <v>162</v>
      </c>
      <c r="E103" s="6" t="s">
        <v>163</v>
      </c>
      <c r="F103" s="6" t="s">
        <v>164</v>
      </c>
      <c r="G103" s="6" t="s">
        <v>165</v>
      </c>
      <c r="H103" s="6" t="s">
        <v>23</v>
      </c>
      <c r="I103" s="4" t="s">
        <v>4</v>
      </c>
      <c r="J103" s="4" t="s">
        <v>4</v>
      </c>
      <c r="K103" s="16"/>
    </row>
    <row r="104" spans="1:11" x14ac:dyDescent="0.3">
      <c r="A104" s="4" t="s">
        <v>11</v>
      </c>
      <c r="B104" s="5" t="s">
        <v>12</v>
      </c>
      <c r="C104" s="5" t="s">
        <v>13</v>
      </c>
      <c r="D104" s="6" t="s">
        <v>162</v>
      </c>
      <c r="E104" s="6" t="s">
        <v>163</v>
      </c>
      <c r="F104" s="6" t="s">
        <v>164</v>
      </c>
      <c r="G104" s="6" t="s">
        <v>165</v>
      </c>
      <c r="H104" s="6" t="s">
        <v>36</v>
      </c>
      <c r="I104" s="4" t="s">
        <v>4</v>
      </c>
      <c r="J104" s="9">
        <v>0</v>
      </c>
      <c r="K104" s="17"/>
    </row>
    <row r="105" spans="1:11" x14ac:dyDescent="0.3">
      <c r="A105" s="4" t="s">
        <v>11</v>
      </c>
      <c r="B105" s="5" t="s">
        <v>12</v>
      </c>
      <c r="C105" s="5" t="s">
        <v>13</v>
      </c>
      <c r="D105" s="6" t="s">
        <v>166</v>
      </c>
      <c r="E105" s="6" t="s">
        <v>167</v>
      </c>
      <c r="F105" s="6">
        <v>22998004793</v>
      </c>
      <c r="G105" s="6" t="s">
        <v>168</v>
      </c>
      <c r="H105" s="6" t="s">
        <v>20</v>
      </c>
      <c r="I105" s="4" t="s">
        <v>4</v>
      </c>
      <c r="J105" s="4" t="s">
        <v>4</v>
      </c>
      <c r="K105" s="16"/>
    </row>
    <row r="106" spans="1:11" x14ac:dyDescent="0.3">
      <c r="A106" s="4" t="s">
        <v>11</v>
      </c>
      <c r="B106" s="5" t="s">
        <v>12</v>
      </c>
      <c r="C106" s="5" t="s">
        <v>13</v>
      </c>
      <c r="D106" s="6" t="s">
        <v>169</v>
      </c>
      <c r="E106" s="6" t="s">
        <v>170</v>
      </c>
      <c r="F106" s="6">
        <v>21993719168</v>
      </c>
      <c r="G106" s="6" t="s">
        <v>171</v>
      </c>
      <c r="H106" s="6" t="s">
        <v>22</v>
      </c>
      <c r="I106" s="4" t="s">
        <v>4</v>
      </c>
      <c r="J106" s="4" t="s">
        <v>4</v>
      </c>
      <c r="K106" s="16"/>
    </row>
    <row r="107" spans="1:11" x14ac:dyDescent="0.3">
      <c r="A107" s="4" t="s">
        <v>11</v>
      </c>
      <c r="B107" s="5" t="s">
        <v>12</v>
      </c>
      <c r="C107" s="5" t="s">
        <v>13</v>
      </c>
      <c r="D107" s="6" t="s">
        <v>172</v>
      </c>
      <c r="E107" s="6" t="s">
        <v>173</v>
      </c>
      <c r="F107" s="6" t="s">
        <v>174</v>
      </c>
      <c r="G107" s="6" t="s">
        <v>175</v>
      </c>
      <c r="H107" s="6" t="s">
        <v>18</v>
      </c>
      <c r="I107" s="4" t="s">
        <v>4</v>
      </c>
      <c r="J107" s="4" t="s">
        <v>4</v>
      </c>
      <c r="K107" s="22">
        <f ca="1">VALUE(Tabela_query__15[[#This Row],[DATA E HORA AGENDAMENTO]])</f>
        <v>46212.5625</v>
      </c>
    </row>
    <row r="108" spans="1:11" x14ac:dyDescent="0.3">
      <c r="A108" s="4" t="s">
        <v>11</v>
      </c>
      <c r="B108" s="5" t="s">
        <v>12</v>
      </c>
      <c r="C108" s="5" t="s">
        <v>13</v>
      </c>
      <c r="D108" s="6" t="s">
        <v>172</v>
      </c>
      <c r="E108" s="6" t="s">
        <v>173</v>
      </c>
      <c r="F108" s="6" t="s">
        <v>174</v>
      </c>
      <c r="G108" s="6" t="s">
        <v>175</v>
      </c>
      <c r="H108" s="6" t="s">
        <v>20</v>
      </c>
      <c r="I108" s="4" t="s">
        <v>4</v>
      </c>
      <c r="J108" s="4" t="s">
        <v>4</v>
      </c>
      <c r="K108" s="16"/>
    </row>
    <row r="109" spans="1:11" x14ac:dyDescent="0.3">
      <c r="A109" s="4" t="s">
        <v>11</v>
      </c>
      <c r="B109" s="5" t="s">
        <v>12</v>
      </c>
      <c r="C109" s="5" t="s">
        <v>13</v>
      </c>
      <c r="D109" s="6" t="s">
        <v>172</v>
      </c>
      <c r="E109" s="6" t="s">
        <v>173</v>
      </c>
      <c r="F109" s="6" t="s">
        <v>174</v>
      </c>
      <c r="G109" s="6" t="s">
        <v>175</v>
      </c>
      <c r="H109" s="6" t="s">
        <v>32</v>
      </c>
      <c r="I109" s="4" t="s">
        <v>4</v>
      </c>
      <c r="J109" s="4" t="s">
        <v>4</v>
      </c>
      <c r="K109" s="16"/>
    </row>
    <row r="110" spans="1:11" x14ac:dyDescent="0.3">
      <c r="A110" s="4" t="s">
        <v>11</v>
      </c>
      <c r="B110" s="5" t="s">
        <v>12</v>
      </c>
      <c r="C110" s="5" t="s">
        <v>13</v>
      </c>
      <c r="D110" s="6" t="s">
        <v>172</v>
      </c>
      <c r="E110" s="6" t="s">
        <v>173</v>
      </c>
      <c r="F110" s="6" t="s">
        <v>174</v>
      </c>
      <c r="G110" s="6" t="s">
        <v>175</v>
      </c>
      <c r="H110" s="6" t="s">
        <v>23</v>
      </c>
      <c r="I110" s="4" t="s">
        <v>4</v>
      </c>
      <c r="J110" s="4" t="s">
        <v>4</v>
      </c>
      <c r="K110" s="16"/>
    </row>
    <row r="111" spans="1:11" x14ac:dyDescent="0.3">
      <c r="A111" s="4" t="s">
        <v>11</v>
      </c>
      <c r="B111" s="5" t="s">
        <v>12</v>
      </c>
      <c r="C111" s="5" t="s">
        <v>13</v>
      </c>
      <c r="D111" s="6" t="s">
        <v>176</v>
      </c>
      <c r="E111" s="6" t="s">
        <v>177</v>
      </c>
      <c r="F111" s="6" t="s">
        <v>178</v>
      </c>
      <c r="G111" s="12" t="s">
        <v>179</v>
      </c>
      <c r="H111" s="6" t="s">
        <v>18</v>
      </c>
      <c r="I111" s="4" t="s">
        <v>4</v>
      </c>
      <c r="J111" s="4" t="s">
        <v>4</v>
      </c>
      <c r="K111" s="22">
        <f ca="1">VALUE(Tabela_query__15[[#This Row],[DATA E HORA AGENDAMENTO]])</f>
        <v>46217.458333333336</v>
      </c>
    </row>
    <row r="112" spans="1:11" x14ac:dyDescent="0.3">
      <c r="A112" s="4" t="s">
        <v>11</v>
      </c>
      <c r="B112" s="5" t="s">
        <v>12</v>
      </c>
      <c r="C112" s="5" t="s">
        <v>13</v>
      </c>
      <c r="D112" s="6" t="s">
        <v>176</v>
      </c>
      <c r="E112" s="6" t="s">
        <v>177</v>
      </c>
      <c r="F112" s="6" t="s">
        <v>178</v>
      </c>
      <c r="G112" s="12" t="s">
        <v>179</v>
      </c>
      <c r="H112" s="6" t="s">
        <v>36</v>
      </c>
      <c r="I112" s="4" t="s">
        <v>4</v>
      </c>
      <c r="J112" s="9">
        <v>0</v>
      </c>
      <c r="K112" s="22">
        <f ca="1">VALUE(Tabela_query__15[[#This Row],[DATA E HORA AGENDAMENTO]])</f>
        <v>46217.479166666664</v>
      </c>
    </row>
    <row r="113" spans="1:11" x14ac:dyDescent="0.3">
      <c r="A113" s="4" t="s">
        <v>11</v>
      </c>
      <c r="B113" s="5" t="s">
        <v>12</v>
      </c>
      <c r="C113" s="5" t="s">
        <v>13</v>
      </c>
      <c r="D113" s="6" t="s">
        <v>180</v>
      </c>
      <c r="E113" s="6" t="s">
        <v>181</v>
      </c>
      <c r="F113" s="6">
        <v>24999353145</v>
      </c>
      <c r="G113" s="6" t="s">
        <v>182</v>
      </c>
      <c r="H113" s="6" t="s">
        <v>22</v>
      </c>
      <c r="I113" s="4" t="s">
        <v>4</v>
      </c>
      <c r="J113" s="4" t="s">
        <v>4</v>
      </c>
      <c r="K113" s="16"/>
    </row>
    <row r="114" spans="1:11" x14ac:dyDescent="0.3">
      <c r="A114" s="4" t="s">
        <v>11</v>
      </c>
      <c r="B114" s="5" t="s">
        <v>12</v>
      </c>
      <c r="C114" s="5" t="s">
        <v>13</v>
      </c>
      <c r="D114" s="6" t="s">
        <v>180</v>
      </c>
      <c r="E114" s="6" t="s">
        <v>181</v>
      </c>
      <c r="F114" s="6">
        <v>24999353145</v>
      </c>
      <c r="G114" s="6" t="s">
        <v>182</v>
      </c>
      <c r="H114" s="6" t="s">
        <v>36</v>
      </c>
      <c r="I114" s="4" t="s">
        <v>4</v>
      </c>
      <c r="J114" s="9">
        <v>0</v>
      </c>
      <c r="K114" s="17"/>
    </row>
    <row r="115" spans="1:11" x14ac:dyDescent="0.3">
      <c r="A115" s="4" t="s">
        <v>11</v>
      </c>
      <c r="B115" s="5" t="s">
        <v>12</v>
      </c>
      <c r="C115" s="5" t="s">
        <v>13</v>
      </c>
      <c r="D115" s="6" t="s">
        <v>183</v>
      </c>
      <c r="E115" s="6" t="s">
        <v>184</v>
      </c>
      <c r="F115" s="6">
        <v>21969131587</v>
      </c>
      <c r="G115" s="6" t="s">
        <v>185</v>
      </c>
      <c r="H115" s="6" t="s">
        <v>20</v>
      </c>
      <c r="I115" s="4" t="s">
        <v>4</v>
      </c>
      <c r="J115" s="4" t="s">
        <v>4</v>
      </c>
      <c r="K115" s="16"/>
    </row>
    <row r="116" spans="1:11" x14ac:dyDescent="0.3">
      <c r="A116" s="4" t="s">
        <v>11</v>
      </c>
      <c r="B116" s="5" t="s">
        <v>12</v>
      </c>
      <c r="C116" s="5" t="s">
        <v>13</v>
      </c>
      <c r="D116" s="6" t="s">
        <v>186</v>
      </c>
      <c r="E116" s="6" t="s">
        <v>187</v>
      </c>
      <c r="F116" s="6" t="s">
        <v>188</v>
      </c>
      <c r="G116" s="6" t="s">
        <v>189</v>
      </c>
      <c r="H116" s="6" t="s">
        <v>22</v>
      </c>
      <c r="I116" s="4" t="s">
        <v>4</v>
      </c>
      <c r="J116" s="4" t="s">
        <v>4</v>
      </c>
      <c r="K116" s="16"/>
    </row>
    <row r="117" spans="1:11" x14ac:dyDescent="0.3">
      <c r="A117" s="4" t="s">
        <v>11</v>
      </c>
      <c r="B117" s="5" t="s">
        <v>12</v>
      </c>
      <c r="C117" s="5" t="s">
        <v>13</v>
      </c>
      <c r="D117" s="6" t="s">
        <v>190</v>
      </c>
      <c r="E117" s="6" t="s">
        <v>191</v>
      </c>
      <c r="F117" s="6">
        <v>21993074494</v>
      </c>
      <c r="G117" s="6" t="s">
        <v>192</v>
      </c>
      <c r="H117" s="6" t="s">
        <v>20</v>
      </c>
      <c r="I117" s="4" t="s">
        <v>4</v>
      </c>
      <c r="J117" s="4" t="s">
        <v>4</v>
      </c>
      <c r="K117" s="23" t="s">
        <v>235</v>
      </c>
    </row>
    <row r="118" spans="1:11" x14ac:dyDescent="0.3">
      <c r="A118" s="4" t="s">
        <v>11</v>
      </c>
      <c r="B118" s="5" t="s">
        <v>12</v>
      </c>
      <c r="C118" s="5" t="s">
        <v>13</v>
      </c>
      <c r="D118" s="6" t="s">
        <v>190</v>
      </c>
      <c r="E118" s="6" t="s">
        <v>191</v>
      </c>
      <c r="F118" s="6">
        <v>21993074494</v>
      </c>
      <c r="G118" s="6" t="s">
        <v>192</v>
      </c>
      <c r="H118" s="6" t="s">
        <v>22</v>
      </c>
      <c r="I118" s="4" t="s">
        <v>4</v>
      </c>
      <c r="J118" s="4" t="s">
        <v>4</v>
      </c>
      <c r="K118" s="23" t="s">
        <v>236</v>
      </c>
    </row>
    <row r="119" spans="1:11" x14ac:dyDescent="0.3">
      <c r="A119" s="4" t="s">
        <v>11</v>
      </c>
      <c r="B119" s="5" t="s">
        <v>12</v>
      </c>
      <c r="C119" s="5" t="s">
        <v>13</v>
      </c>
      <c r="D119" s="6" t="s">
        <v>190</v>
      </c>
      <c r="E119" s="6" t="s">
        <v>191</v>
      </c>
      <c r="F119" s="6">
        <v>21993074494</v>
      </c>
      <c r="G119" s="6" t="s">
        <v>192</v>
      </c>
      <c r="H119" s="6" t="s">
        <v>23</v>
      </c>
      <c r="I119" s="4" t="s">
        <v>4</v>
      </c>
      <c r="J119" s="4" t="s">
        <v>4</v>
      </c>
      <c r="K119" s="23" t="s">
        <v>237</v>
      </c>
    </row>
    <row r="120" spans="1:11" x14ac:dyDescent="0.3">
      <c r="A120" s="4" t="s">
        <v>11</v>
      </c>
      <c r="B120" s="5" t="s">
        <v>12</v>
      </c>
      <c r="C120" s="5" t="s">
        <v>13</v>
      </c>
      <c r="D120" s="6" t="s">
        <v>190</v>
      </c>
      <c r="E120" s="6" t="s">
        <v>191</v>
      </c>
      <c r="F120" s="6">
        <v>21993074494</v>
      </c>
      <c r="G120" s="6" t="s">
        <v>192</v>
      </c>
      <c r="H120" s="6" t="s">
        <v>36</v>
      </c>
      <c r="I120" s="4" t="s">
        <v>4</v>
      </c>
      <c r="J120" s="9">
        <v>0</v>
      </c>
      <c r="K120" s="23" t="s">
        <v>238</v>
      </c>
    </row>
    <row r="121" spans="1:11" x14ac:dyDescent="0.3">
      <c r="A121" s="4" t="s">
        <v>11</v>
      </c>
      <c r="B121" s="5" t="s">
        <v>12</v>
      </c>
      <c r="C121" s="5" t="s">
        <v>13</v>
      </c>
      <c r="D121" s="6" t="s">
        <v>193</v>
      </c>
      <c r="E121" s="6" t="s">
        <v>194</v>
      </c>
      <c r="F121" s="6" t="s">
        <v>195</v>
      </c>
      <c r="G121" s="6"/>
      <c r="H121" s="6" t="s">
        <v>18</v>
      </c>
      <c r="I121" s="4" t="s">
        <v>4</v>
      </c>
      <c r="J121" s="4" t="s">
        <v>4</v>
      </c>
      <c r="K121" s="16"/>
    </row>
    <row r="122" spans="1:11" x14ac:dyDescent="0.3">
      <c r="A122" s="4" t="s">
        <v>11</v>
      </c>
      <c r="B122" s="5" t="s">
        <v>12</v>
      </c>
      <c r="C122" s="5" t="s">
        <v>13</v>
      </c>
      <c r="D122" s="6" t="s">
        <v>193</v>
      </c>
      <c r="E122" s="6" t="s">
        <v>194</v>
      </c>
      <c r="F122" s="6" t="s">
        <v>195</v>
      </c>
      <c r="G122" s="6"/>
      <c r="H122" s="6" t="s">
        <v>21</v>
      </c>
      <c r="I122" s="4" t="s">
        <v>4</v>
      </c>
      <c r="J122" s="4" t="s">
        <v>4</v>
      </c>
      <c r="K122" s="16"/>
    </row>
    <row r="123" spans="1:11" x14ac:dyDescent="0.3">
      <c r="A123" s="4" t="s">
        <v>11</v>
      </c>
      <c r="B123" s="5" t="s">
        <v>12</v>
      </c>
      <c r="C123" s="5" t="s">
        <v>13</v>
      </c>
      <c r="D123" s="6" t="s">
        <v>196</v>
      </c>
      <c r="E123" s="6" t="s">
        <v>197</v>
      </c>
      <c r="F123" s="6" t="s">
        <v>198</v>
      </c>
      <c r="G123" s="1" t="s">
        <v>199</v>
      </c>
      <c r="H123" s="6" t="s">
        <v>18</v>
      </c>
      <c r="I123" s="4" t="s">
        <v>4</v>
      </c>
      <c r="J123" s="9" t="s">
        <v>200</v>
      </c>
      <c r="K123" s="22">
        <f ca="1">VALUE(Tabela_query__15[[#This Row],[DATA E HORA AGENDAMENTO]])</f>
        <v>46217.416666666664</v>
      </c>
    </row>
    <row r="124" spans="1:11" x14ac:dyDescent="0.3">
      <c r="A124" s="4" t="s">
        <v>11</v>
      </c>
      <c r="B124" s="5" t="s">
        <v>12</v>
      </c>
      <c r="C124" s="5" t="s">
        <v>13</v>
      </c>
      <c r="D124" s="6" t="s">
        <v>196</v>
      </c>
      <c r="E124" s="6" t="s">
        <v>197</v>
      </c>
      <c r="F124" s="6" t="s">
        <v>198</v>
      </c>
      <c r="G124" s="1" t="s">
        <v>199</v>
      </c>
      <c r="H124" s="6" t="s">
        <v>19</v>
      </c>
      <c r="I124" s="4" t="s">
        <v>4</v>
      </c>
      <c r="J124" s="4" t="s">
        <v>4</v>
      </c>
      <c r="K124" s="16"/>
    </row>
    <row r="125" spans="1:11" x14ac:dyDescent="0.3">
      <c r="A125" s="4" t="s">
        <v>11</v>
      </c>
      <c r="B125" s="5" t="s">
        <v>12</v>
      </c>
      <c r="C125" s="5" t="s">
        <v>13</v>
      </c>
      <c r="D125" s="6" t="s">
        <v>196</v>
      </c>
      <c r="E125" s="6" t="s">
        <v>197</v>
      </c>
      <c r="F125" s="6" t="s">
        <v>198</v>
      </c>
      <c r="G125" s="1" t="s">
        <v>199</v>
      </c>
      <c r="H125" s="6" t="s">
        <v>21</v>
      </c>
      <c r="I125" s="4" t="s">
        <v>4</v>
      </c>
      <c r="J125" s="4" t="s">
        <v>4</v>
      </c>
      <c r="K125" s="16"/>
    </row>
    <row r="126" spans="1:11" x14ac:dyDescent="0.3">
      <c r="A126" s="4" t="s">
        <v>11</v>
      </c>
      <c r="B126" s="5" t="s">
        <v>12</v>
      </c>
      <c r="C126" s="5" t="s">
        <v>13</v>
      </c>
      <c r="D126" s="6" t="s">
        <v>196</v>
      </c>
      <c r="E126" s="6" t="s">
        <v>197</v>
      </c>
      <c r="F126" s="6" t="s">
        <v>198</v>
      </c>
      <c r="G126" s="1" t="s">
        <v>199</v>
      </c>
      <c r="H126" s="6" t="s">
        <v>22</v>
      </c>
      <c r="I126" s="4" t="s">
        <v>4</v>
      </c>
      <c r="J126" s="4" t="s">
        <v>4</v>
      </c>
      <c r="K126" s="16"/>
    </row>
    <row r="127" spans="1:11" x14ac:dyDescent="0.3">
      <c r="A127" s="4" t="s">
        <v>11</v>
      </c>
      <c r="B127" s="5" t="s">
        <v>12</v>
      </c>
      <c r="C127" s="5" t="s">
        <v>13</v>
      </c>
      <c r="D127" s="6" t="s">
        <v>196</v>
      </c>
      <c r="E127" s="6" t="s">
        <v>197</v>
      </c>
      <c r="F127" s="6" t="s">
        <v>198</v>
      </c>
      <c r="G127" s="1" t="s">
        <v>199</v>
      </c>
      <c r="H127" s="6" t="s">
        <v>36</v>
      </c>
      <c r="I127" s="4" t="s">
        <v>4</v>
      </c>
      <c r="J127" s="9">
        <v>0</v>
      </c>
      <c r="K127" s="17"/>
    </row>
    <row r="128" spans="1:11" x14ac:dyDescent="0.3">
      <c r="A128" s="4" t="s">
        <v>11</v>
      </c>
      <c r="B128" s="5" t="s">
        <v>12</v>
      </c>
      <c r="C128" s="5" t="s">
        <v>13</v>
      </c>
      <c r="D128" s="6" t="s">
        <v>201</v>
      </c>
      <c r="E128" s="6" t="s">
        <v>202</v>
      </c>
      <c r="F128" s="6">
        <v>22988247841</v>
      </c>
      <c r="G128" s="6" t="s">
        <v>203</v>
      </c>
      <c r="H128" s="6" t="s">
        <v>19</v>
      </c>
      <c r="I128" s="4" t="s">
        <v>4</v>
      </c>
      <c r="J128" s="4" t="s">
        <v>4</v>
      </c>
      <c r="K128" s="16"/>
    </row>
    <row r="129" spans="1:11" x14ac:dyDescent="0.3">
      <c r="A129" s="4" t="s">
        <v>11</v>
      </c>
      <c r="B129" s="5" t="s">
        <v>12</v>
      </c>
      <c r="C129" s="5" t="s">
        <v>13</v>
      </c>
      <c r="D129" s="6" t="s">
        <v>201</v>
      </c>
      <c r="E129" s="6" t="s">
        <v>202</v>
      </c>
      <c r="F129" s="6">
        <v>22988247841</v>
      </c>
      <c r="G129" s="6" t="s">
        <v>203</v>
      </c>
      <c r="H129" s="6" t="s">
        <v>20</v>
      </c>
      <c r="I129" s="4" t="s">
        <v>4</v>
      </c>
      <c r="J129" s="4" t="s">
        <v>4</v>
      </c>
      <c r="K129" s="16"/>
    </row>
    <row r="130" spans="1:11" x14ac:dyDescent="0.3">
      <c r="A130" s="4" t="s">
        <v>11</v>
      </c>
      <c r="B130" s="5" t="s">
        <v>12</v>
      </c>
      <c r="C130" s="5" t="s">
        <v>13</v>
      </c>
      <c r="D130" s="6" t="s">
        <v>201</v>
      </c>
      <c r="E130" s="6" t="s">
        <v>202</v>
      </c>
      <c r="F130" s="6">
        <v>22988247841</v>
      </c>
      <c r="G130" s="6" t="s">
        <v>203</v>
      </c>
      <c r="H130" s="6" t="s">
        <v>22</v>
      </c>
      <c r="I130" s="4" t="s">
        <v>4</v>
      </c>
      <c r="J130" s="4" t="s">
        <v>4</v>
      </c>
      <c r="K130" s="16"/>
    </row>
    <row r="131" spans="1:11" x14ac:dyDescent="0.3">
      <c r="A131" s="4" t="s">
        <v>11</v>
      </c>
      <c r="B131" s="5" t="s">
        <v>12</v>
      </c>
      <c r="C131" s="5" t="s">
        <v>13</v>
      </c>
      <c r="D131" s="13" t="s">
        <v>201</v>
      </c>
      <c r="E131" s="13" t="s">
        <v>202</v>
      </c>
      <c r="F131" s="6">
        <v>22988247841</v>
      </c>
      <c r="G131" s="6" t="s">
        <v>203</v>
      </c>
      <c r="H131" s="6" t="s">
        <v>23</v>
      </c>
      <c r="I131" s="4" t="s">
        <v>4</v>
      </c>
      <c r="J131" s="4" t="s">
        <v>4</v>
      </c>
      <c r="K131" s="16"/>
    </row>
    <row r="132" spans="1:11" x14ac:dyDescent="0.3">
      <c r="A132" s="4" t="s">
        <v>11</v>
      </c>
      <c r="B132" s="5" t="s">
        <v>12</v>
      </c>
      <c r="C132" s="5" t="s">
        <v>13</v>
      </c>
      <c r="D132" s="6" t="s">
        <v>204</v>
      </c>
      <c r="E132" s="6" t="s">
        <v>205</v>
      </c>
      <c r="F132" s="6" t="s">
        <v>206</v>
      </c>
      <c r="G132" s="6" t="s">
        <v>207</v>
      </c>
      <c r="H132" s="6" t="s">
        <v>18</v>
      </c>
      <c r="I132" s="4" t="s">
        <v>4</v>
      </c>
      <c r="J132" s="4" t="s">
        <v>4</v>
      </c>
      <c r="K132" s="22">
        <f ca="1">VALUE(Tabela_query__15[[#This Row],[DATA E HORA AGENDAMENTO]])</f>
        <v>46211.458333333336</v>
      </c>
    </row>
    <row r="133" spans="1:11" x14ac:dyDescent="0.3">
      <c r="A133" s="4" t="s">
        <v>11</v>
      </c>
      <c r="B133" s="5" t="s">
        <v>12</v>
      </c>
      <c r="C133" s="5" t="s">
        <v>13</v>
      </c>
      <c r="D133" s="6" t="s">
        <v>204</v>
      </c>
      <c r="E133" s="6" t="s">
        <v>205</v>
      </c>
      <c r="F133" s="6" t="s">
        <v>206</v>
      </c>
      <c r="G133" s="6" t="s">
        <v>207</v>
      </c>
      <c r="H133" s="6" t="s">
        <v>20</v>
      </c>
      <c r="I133" s="4" t="s">
        <v>4</v>
      </c>
      <c r="J133" s="4" t="s">
        <v>4</v>
      </c>
      <c r="K133" s="16"/>
    </row>
    <row r="134" spans="1:11" x14ac:dyDescent="0.3">
      <c r="A134" s="4" t="s">
        <v>11</v>
      </c>
      <c r="B134" s="5" t="s">
        <v>12</v>
      </c>
      <c r="C134" s="5" t="s">
        <v>13</v>
      </c>
      <c r="D134" s="6" t="s">
        <v>204</v>
      </c>
      <c r="E134" s="6" t="s">
        <v>205</v>
      </c>
      <c r="F134" s="6" t="s">
        <v>206</v>
      </c>
      <c r="G134" s="6" t="s">
        <v>207</v>
      </c>
      <c r="H134" s="6" t="s">
        <v>22</v>
      </c>
      <c r="I134" s="4" t="s">
        <v>4</v>
      </c>
      <c r="J134" s="4" t="s">
        <v>4</v>
      </c>
      <c r="K134" s="16"/>
    </row>
    <row r="135" spans="1:11" x14ac:dyDescent="0.3">
      <c r="A135" s="4" t="s">
        <v>11</v>
      </c>
      <c r="B135" s="5" t="s">
        <v>12</v>
      </c>
      <c r="C135" s="5" t="s">
        <v>13</v>
      </c>
      <c r="D135" s="6" t="s">
        <v>204</v>
      </c>
      <c r="E135" s="6" t="s">
        <v>205</v>
      </c>
      <c r="F135" s="6" t="s">
        <v>206</v>
      </c>
      <c r="G135" s="6" t="s">
        <v>207</v>
      </c>
      <c r="H135" s="6" t="s">
        <v>23</v>
      </c>
      <c r="I135" s="4" t="s">
        <v>4</v>
      </c>
      <c r="J135" s="4" t="s">
        <v>4</v>
      </c>
      <c r="K135" s="16"/>
    </row>
    <row r="136" spans="1:11" x14ac:dyDescent="0.3">
      <c r="A136" s="4" t="s">
        <v>11</v>
      </c>
      <c r="B136" s="5" t="s">
        <v>12</v>
      </c>
      <c r="C136" s="5" t="s">
        <v>13</v>
      </c>
      <c r="D136" s="6" t="s">
        <v>204</v>
      </c>
      <c r="E136" s="6" t="s">
        <v>205</v>
      </c>
      <c r="F136" s="6" t="s">
        <v>206</v>
      </c>
      <c r="G136" s="6" t="s">
        <v>207</v>
      </c>
      <c r="H136" s="6" t="s">
        <v>36</v>
      </c>
      <c r="I136" s="4" t="s">
        <v>4</v>
      </c>
      <c r="J136" s="9">
        <v>0</v>
      </c>
      <c r="K136" s="17"/>
    </row>
    <row r="137" spans="1:11" x14ac:dyDescent="0.3">
      <c r="A137" s="4" t="s">
        <v>11</v>
      </c>
      <c r="B137" s="5" t="s">
        <v>12</v>
      </c>
      <c r="C137" s="5" t="s">
        <v>13</v>
      </c>
      <c r="D137" s="6" t="s">
        <v>208</v>
      </c>
      <c r="E137" s="6" t="s">
        <v>209</v>
      </c>
      <c r="F137" s="6" t="s">
        <v>210</v>
      </c>
      <c r="G137" s="6" t="s">
        <v>211</v>
      </c>
      <c r="H137" s="6" t="s">
        <v>18</v>
      </c>
      <c r="I137" s="4" t="s">
        <v>4</v>
      </c>
      <c r="J137" s="4" t="s">
        <v>4</v>
      </c>
      <c r="K137" s="16"/>
    </row>
    <row r="138" spans="1:11" x14ac:dyDescent="0.3">
      <c r="A138" s="4" t="s">
        <v>11</v>
      </c>
      <c r="B138" s="5" t="s">
        <v>12</v>
      </c>
      <c r="C138" s="5" t="s">
        <v>13</v>
      </c>
      <c r="D138" s="6" t="s">
        <v>208</v>
      </c>
      <c r="E138" s="6" t="s">
        <v>209</v>
      </c>
      <c r="F138" s="6" t="s">
        <v>210</v>
      </c>
      <c r="G138" s="6" t="s">
        <v>211</v>
      </c>
      <c r="H138" s="6" t="s">
        <v>32</v>
      </c>
      <c r="I138" s="4" t="s">
        <v>4</v>
      </c>
      <c r="J138" s="4" t="s">
        <v>4</v>
      </c>
      <c r="K138" s="16"/>
    </row>
    <row r="139" spans="1:11" x14ac:dyDescent="0.3">
      <c r="A139" s="4" t="s">
        <v>11</v>
      </c>
      <c r="B139" s="5" t="s">
        <v>12</v>
      </c>
      <c r="C139" s="5" t="s">
        <v>13</v>
      </c>
      <c r="D139" s="6" t="s">
        <v>212</v>
      </c>
      <c r="E139" s="6" t="s">
        <v>213</v>
      </c>
      <c r="F139" s="6" t="s">
        <v>214</v>
      </c>
      <c r="G139" s="6" t="s">
        <v>215</v>
      </c>
      <c r="H139" s="6" t="s">
        <v>18</v>
      </c>
      <c r="I139" s="4" t="s">
        <v>4</v>
      </c>
      <c r="J139" s="4" t="s">
        <v>4</v>
      </c>
      <c r="K139" s="16"/>
    </row>
    <row r="140" spans="1:11" x14ac:dyDescent="0.3">
      <c r="A140" s="4" t="s">
        <v>11</v>
      </c>
      <c r="B140" s="5" t="s">
        <v>12</v>
      </c>
      <c r="C140" s="5" t="s">
        <v>13</v>
      </c>
      <c r="D140" s="6" t="s">
        <v>212</v>
      </c>
      <c r="E140" s="6" t="s">
        <v>213</v>
      </c>
      <c r="F140" s="6">
        <v>21997396252</v>
      </c>
      <c r="G140" s="6" t="s">
        <v>215</v>
      </c>
      <c r="H140" s="6" t="s">
        <v>20</v>
      </c>
      <c r="I140" s="4" t="s">
        <v>4</v>
      </c>
      <c r="J140" s="4" t="s">
        <v>4</v>
      </c>
      <c r="K140" s="16"/>
    </row>
    <row r="141" spans="1:11" x14ac:dyDescent="0.3">
      <c r="A141" s="4" t="s">
        <v>11</v>
      </c>
      <c r="B141" s="5" t="s">
        <v>12</v>
      </c>
      <c r="C141" s="5" t="s">
        <v>13</v>
      </c>
      <c r="D141" s="6" t="s">
        <v>212</v>
      </c>
      <c r="E141" s="6" t="s">
        <v>213</v>
      </c>
      <c r="F141" s="6">
        <v>21997396252</v>
      </c>
      <c r="G141" s="6" t="s">
        <v>215</v>
      </c>
      <c r="H141" s="6" t="s">
        <v>32</v>
      </c>
      <c r="I141" s="4" t="s">
        <v>4</v>
      </c>
      <c r="J141" s="4" t="s">
        <v>4</v>
      </c>
      <c r="K141" s="16"/>
    </row>
    <row r="142" spans="1:11" x14ac:dyDescent="0.3">
      <c r="A142" s="4" t="s">
        <v>11</v>
      </c>
      <c r="B142" s="5" t="s">
        <v>12</v>
      </c>
      <c r="C142" s="5" t="s">
        <v>13</v>
      </c>
      <c r="D142" s="6" t="s">
        <v>212</v>
      </c>
      <c r="E142" s="6" t="s">
        <v>213</v>
      </c>
      <c r="F142" s="6">
        <v>21997396252</v>
      </c>
      <c r="G142" s="6" t="s">
        <v>215</v>
      </c>
      <c r="H142" s="6" t="s">
        <v>23</v>
      </c>
      <c r="I142" s="4" t="s">
        <v>4</v>
      </c>
      <c r="J142" s="4" t="s">
        <v>4</v>
      </c>
      <c r="K142" s="16"/>
    </row>
    <row r="143" spans="1:11" x14ac:dyDescent="0.3">
      <c r="A143" s="4" t="s">
        <v>11</v>
      </c>
      <c r="B143" s="5" t="s">
        <v>12</v>
      </c>
      <c r="C143" s="5" t="s">
        <v>13</v>
      </c>
      <c r="D143" s="6" t="s">
        <v>212</v>
      </c>
      <c r="E143" s="6" t="s">
        <v>213</v>
      </c>
      <c r="F143" s="6" t="s">
        <v>214</v>
      </c>
      <c r="G143" s="6" t="s">
        <v>215</v>
      </c>
      <c r="H143" s="6" t="s">
        <v>36</v>
      </c>
      <c r="I143" s="4" t="s">
        <v>4</v>
      </c>
      <c r="J143" s="9">
        <v>0</v>
      </c>
      <c r="K143" s="17"/>
    </row>
    <row r="144" spans="1:11" x14ac:dyDescent="0.3">
      <c r="A144" s="4" t="s">
        <v>11</v>
      </c>
      <c r="B144" s="5" t="s">
        <v>12</v>
      </c>
      <c r="C144" s="5" t="s">
        <v>13</v>
      </c>
      <c r="D144" s="6" t="s">
        <v>216</v>
      </c>
      <c r="E144" s="6" t="s">
        <v>217</v>
      </c>
      <c r="F144" s="6">
        <v>21998805967</v>
      </c>
      <c r="G144" s="6" t="s">
        <v>218</v>
      </c>
      <c r="H144" s="6" t="s">
        <v>22</v>
      </c>
      <c r="I144" s="4" t="s">
        <v>4</v>
      </c>
      <c r="J144" s="4" t="s">
        <v>4</v>
      </c>
      <c r="K144" s="16">
        <v>46218.479166666664</v>
      </c>
    </row>
    <row r="145" spans="1:11" x14ac:dyDescent="0.3">
      <c r="A145" s="4" t="s">
        <v>11</v>
      </c>
      <c r="B145" s="5" t="s">
        <v>12</v>
      </c>
      <c r="C145" s="5" t="s">
        <v>13</v>
      </c>
      <c r="D145" s="6" t="s">
        <v>219</v>
      </c>
      <c r="E145" s="6" t="s">
        <v>220</v>
      </c>
      <c r="F145" s="6" t="s">
        <v>221</v>
      </c>
      <c r="G145" s="6" t="s">
        <v>222</v>
      </c>
      <c r="H145" s="6" t="s">
        <v>18</v>
      </c>
      <c r="I145" s="4" t="s">
        <v>4</v>
      </c>
      <c r="J145" s="4" t="s">
        <v>4</v>
      </c>
      <c r="K145" s="16"/>
    </row>
    <row r="146" spans="1:11" x14ac:dyDescent="0.3">
      <c r="A146" s="4" t="s">
        <v>11</v>
      </c>
      <c r="B146" s="5" t="s">
        <v>12</v>
      </c>
      <c r="C146" s="5" t="s">
        <v>13</v>
      </c>
      <c r="D146" s="6" t="s">
        <v>219</v>
      </c>
      <c r="E146" s="6" t="s">
        <v>220</v>
      </c>
      <c r="F146" s="6" t="s">
        <v>221</v>
      </c>
      <c r="G146" s="6" t="s">
        <v>222</v>
      </c>
      <c r="H146" s="6" t="s">
        <v>19</v>
      </c>
      <c r="I146" s="4" t="s">
        <v>4</v>
      </c>
      <c r="J146" s="4" t="s">
        <v>4</v>
      </c>
      <c r="K146" s="16"/>
    </row>
    <row r="147" spans="1:11" x14ac:dyDescent="0.3">
      <c r="A147" s="4" t="s">
        <v>11</v>
      </c>
      <c r="B147" s="5" t="s">
        <v>12</v>
      </c>
      <c r="C147" s="5" t="s">
        <v>13</v>
      </c>
      <c r="D147" s="6" t="s">
        <v>219</v>
      </c>
      <c r="E147" s="6" t="s">
        <v>220</v>
      </c>
      <c r="F147" s="6" t="s">
        <v>221</v>
      </c>
      <c r="G147" s="6" t="s">
        <v>222</v>
      </c>
      <c r="H147" s="6" t="s">
        <v>20</v>
      </c>
      <c r="I147" s="4" t="s">
        <v>4</v>
      </c>
      <c r="J147" s="4" t="s">
        <v>4</v>
      </c>
      <c r="K147" s="16"/>
    </row>
    <row r="148" spans="1:11" x14ac:dyDescent="0.3">
      <c r="A148" s="4" t="s">
        <v>11</v>
      </c>
      <c r="B148" s="5" t="s">
        <v>12</v>
      </c>
      <c r="C148" s="5" t="s">
        <v>13</v>
      </c>
      <c r="D148" s="6" t="s">
        <v>219</v>
      </c>
      <c r="E148" s="6" t="s">
        <v>220</v>
      </c>
      <c r="F148" s="6" t="s">
        <v>221</v>
      </c>
      <c r="G148" s="6" t="s">
        <v>222</v>
      </c>
      <c r="H148" s="6" t="s">
        <v>32</v>
      </c>
      <c r="I148" s="4" t="s">
        <v>4</v>
      </c>
      <c r="J148" s="4" t="s">
        <v>4</v>
      </c>
      <c r="K148" s="16"/>
    </row>
    <row r="149" spans="1:11" x14ac:dyDescent="0.3">
      <c r="A149" s="4" t="s">
        <v>11</v>
      </c>
      <c r="B149" s="5" t="s">
        <v>12</v>
      </c>
      <c r="C149" s="5" t="s">
        <v>13</v>
      </c>
      <c r="D149" s="6" t="s">
        <v>219</v>
      </c>
      <c r="E149" s="6" t="s">
        <v>220</v>
      </c>
      <c r="F149" s="6" t="s">
        <v>221</v>
      </c>
      <c r="G149" s="6" t="s">
        <v>222</v>
      </c>
      <c r="H149" s="6" t="s">
        <v>21</v>
      </c>
      <c r="I149" s="4" t="s">
        <v>4</v>
      </c>
      <c r="J149" s="4" t="s">
        <v>4</v>
      </c>
      <c r="K149" s="16"/>
    </row>
    <row r="150" spans="1:11" x14ac:dyDescent="0.3">
      <c r="A150" s="4" t="s">
        <v>11</v>
      </c>
      <c r="B150" s="5" t="s">
        <v>12</v>
      </c>
      <c r="C150" s="5" t="s">
        <v>13</v>
      </c>
      <c r="D150" s="6" t="s">
        <v>219</v>
      </c>
      <c r="E150" s="6" t="s">
        <v>220</v>
      </c>
      <c r="F150" s="6" t="s">
        <v>221</v>
      </c>
      <c r="G150" s="6" t="s">
        <v>222</v>
      </c>
      <c r="H150" s="6" t="s">
        <v>22</v>
      </c>
      <c r="I150" s="4" t="s">
        <v>4</v>
      </c>
      <c r="J150" s="4" t="s">
        <v>4</v>
      </c>
      <c r="K150" s="16"/>
    </row>
    <row r="151" spans="1:11" x14ac:dyDescent="0.3">
      <c r="A151" s="4" t="s">
        <v>11</v>
      </c>
      <c r="B151" s="5" t="s">
        <v>12</v>
      </c>
      <c r="C151" s="5" t="s">
        <v>13</v>
      </c>
      <c r="D151" s="6" t="s">
        <v>219</v>
      </c>
      <c r="E151" s="6" t="s">
        <v>220</v>
      </c>
      <c r="F151" s="6" t="s">
        <v>221</v>
      </c>
      <c r="G151" s="6" t="s">
        <v>222</v>
      </c>
      <c r="H151" s="6" t="s">
        <v>23</v>
      </c>
      <c r="I151" s="4" t="s">
        <v>4</v>
      </c>
      <c r="J151" s="4" t="s">
        <v>4</v>
      </c>
      <c r="K151" s="16"/>
    </row>
    <row r="152" spans="1:11" x14ac:dyDescent="0.3">
      <c r="A152" s="4" t="s">
        <v>11</v>
      </c>
      <c r="B152" s="5" t="s">
        <v>12</v>
      </c>
      <c r="C152" s="5" t="s">
        <v>13</v>
      </c>
      <c r="D152" s="6" t="s">
        <v>219</v>
      </c>
      <c r="E152" s="6" t="s">
        <v>220</v>
      </c>
      <c r="F152" s="6" t="s">
        <v>221</v>
      </c>
      <c r="G152" s="6" t="s">
        <v>222</v>
      </c>
      <c r="H152" s="6" t="s">
        <v>36</v>
      </c>
      <c r="I152" s="4" t="s">
        <v>4</v>
      </c>
      <c r="J152" s="14">
        <v>0</v>
      </c>
      <c r="K152" s="18"/>
    </row>
    <row r="153" spans="1:11" x14ac:dyDescent="0.3">
      <c r="A153" s="4" t="s">
        <v>11</v>
      </c>
      <c r="B153" s="5" t="s">
        <v>12</v>
      </c>
      <c r="C153" s="5" t="s">
        <v>13</v>
      </c>
      <c r="D153" s="6" t="s">
        <v>223</v>
      </c>
      <c r="E153" s="6" t="s">
        <v>224</v>
      </c>
      <c r="F153" s="8" t="s">
        <v>225</v>
      </c>
      <c r="G153" s="6" t="s">
        <v>226</v>
      </c>
      <c r="H153" s="6" t="s">
        <v>18</v>
      </c>
      <c r="I153" s="4" t="s">
        <v>4</v>
      </c>
      <c r="J153" s="7" t="s">
        <v>4</v>
      </c>
      <c r="K153" s="19"/>
    </row>
    <row r="154" spans="1:11" x14ac:dyDescent="0.3">
      <c r="A154" s="4" t="s">
        <v>11</v>
      </c>
      <c r="B154" s="5" t="s">
        <v>12</v>
      </c>
      <c r="C154" s="5" t="s">
        <v>13</v>
      </c>
      <c r="D154" s="6" t="s">
        <v>223</v>
      </c>
      <c r="E154" s="6" t="s">
        <v>224</v>
      </c>
      <c r="F154" s="8" t="s">
        <v>225</v>
      </c>
      <c r="G154" s="6" t="s">
        <v>226</v>
      </c>
      <c r="H154" s="6" t="s">
        <v>19</v>
      </c>
      <c r="I154" s="4" t="s">
        <v>4</v>
      </c>
      <c r="J154" s="7" t="s">
        <v>4</v>
      </c>
      <c r="K154" s="19"/>
    </row>
    <row r="155" spans="1:11" x14ac:dyDescent="0.3">
      <c r="A155" s="4" t="s">
        <v>11</v>
      </c>
      <c r="B155" s="5" t="s">
        <v>12</v>
      </c>
      <c r="C155" s="5" t="s">
        <v>13</v>
      </c>
      <c r="D155" s="6" t="s">
        <v>223</v>
      </c>
      <c r="E155" s="6" t="s">
        <v>224</v>
      </c>
      <c r="F155" s="8" t="s">
        <v>225</v>
      </c>
      <c r="G155" s="6" t="s">
        <v>226</v>
      </c>
      <c r="H155" s="6" t="s">
        <v>20</v>
      </c>
      <c r="I155" s="4" t="s">
        <v>4</v>
      </c>
      <c r="J155" s="7" t="s">
        <v>4</v>
      </c>
      <c r="K155" s="19"/>
    </row>
    <row r="156" spans="1:11" x14ac:dyDescent="0.3">
      <c r="A156" s="4" t="s">
        <v>11</v>
      </c>
      <c r="B156" s="5" t="s">
        <v>12</v>
      </c>
      <c r="C156" s="5" t="s">
        <v>13</v>
      </c>
      <c r="D156" s="6" t="s">
        <v>223</v>
      </c>
      <c r="E156" s="6" t="s">
        <v>224</v>
      </c>
      <c r="F156" s="8" t="s">
        <v>225</v>
      </c>
      <c r="G156" s="6" t="s">
        <v>226</v>
      </c>
      <c r="H156" s="6" t="s">
        <v>32</v>
      </c>
      <c r="I156" s="4" t="s">
        <v>4</v>
      </c>
      <c r="J156" s="7" t="s">
        <v>4</v>
      </c>
      <c r="K156" s="19"/>
    </row>
    <row r="157" spans="1:11" x14ac:dyDescent="0.3">
      <c r="A157" s="4" t="s">
        <v>11</v>
      </c>
      <c r="B157" s="5" t="s">
        <v>12</v>
      </c>
      <c r="C157" s="5" t="s">
        <v>13</v>
      </c>
      <c r="D157" s="6" t="s">
        <v>223</v>
      </c>
      <c r="E157" s="6" t="s">
        <v>224</v>
      </c>
      <c r="F157" s="8" t="s">
        <v>225</v>
      </c>
      <c r="G157" s="6" t="s">
        <v>226</v>
      </c>
      <c r="H157" s="6" t="s">
        <v>21</v>
      </c>
      <c r="I157" s="4" t="s">
        <v>4</v>
      </c>
      <c r="J157" s="7" t="s">
        <v>4</v>
      </c>
      <c r="K157" s="19"/>
    </row>
    <row r="158" spans="1:11" x14ac:dyDescent="0.3">
      <c r="A158" s="4" t="s">
        <v>11</v>
      </c>
      <c r="B158" s="5" t="s">
        <v>12</v>
      </c>
      <c r="C158" s="5" t="s">
        <v>13</v>
      </c>
      <c r="D158" s="6" t="s">
        <v>223</v>
      </c>
      <c r="E158" s="6" t="s">
        <v>224</v>
      </c>
      <c r="F158" s="8" t="s">
        <v>225</v>
      </c>
      <c r="G158" s="6" t="s">
        <v>226</v>
      </c>
      <c r="H158" s="6" t="s">
        <v>22</v>
      </c>
      <c r="I158" s="4" t="s">
        <v>4</v>
      </c>
      <c r="J158" s="7" t="s">
        <v>4</v>
      </c>
      <c r="K158" s="19"/>
    </row>
    <row r="159" spans="1:11" x14ac:dyDescent="0.3">
      <c r="A159" s="4" t="s">
        <v>11</v>
      </c>
      <c r="B159" s="5" t="s">
        <v>12</v>
      </c>
      <c r="C159" s="5" t="s">
        <v>13</v>
      </c>
      <c r="D159" s="6" t="s">
        <v>223</v>
      </c>
      <c r="E159" s="6" t="s">
        <v>224</v>
      </c>
      <c r="F159" s="8" t="s">
        <v>225</v>
      </c>
      <c r="G159" s="6" t="s">
        <v>226</v>
      </c>
      <c r="H159" s="6" t="s">
        <v>23</v>
      </c>
      <c r="I159" s="4" t="s">
        <v>4</v>
      </c>
      <c r="J159" s="7" t="s">
        <v>4</v>
      </c>
      <c r="K159" s="19"/>
    </row>
    <row r="160" spans="1:11" x14ac:dyDescent="0.3">
      <c r="A160" s="4" t="s">
        <v>11</v>
      </c>
      <c r="B160" s="5" t="s">
        <v>12</v>
      </c>
      <c r="C160" s="5" t="s">
        <v>13</v>
      </c>
      <c r="D160" s="6" t="s">
        <v>223</v>
      </c>
      <c r="E160" s="6" t="s">
        <v>224</v>
      </c>
      <c r="F160" s="8" t="s">
        <v>225</v>
      </c>
      <c r="G160" s="6" t="s">
        <v>226</v>
      </c>
      <c r="H160" s="6" t="s">
        <v>36</v>
      </c>
      <c r="I160" s="4" t="s">
        <v>4</v>
      </c>
      <c r="J160" s="14">
        <v>0</v>
      </c>
      <c r="K160" s="18"/>
    </row>
    <row r="161" spans="1:11" x14ac:dyDescent="0.3">
      <c r="A161" s="4" t="s">
        <v>11</v>
      </c>
      <c r="B161" s="5" t="s">
        <v>12</v>
      </c>
      <c r="C161" s="5" t="s">
        <v>13</v>
      </c>
      <c r="D161" s="6" t="s">
        <v>227</v>
      </c>
      <c r="E161" s="6" t="s">
        <v>228</v>
      </c>
      <c r="F161" s="6">
        <v>24988338809</v>
      </c>
      <c r="G161" s="6" t="s">
        <v>229</v>
      </c>
      <c r="H161" s="6" t="s">
        <v>18</v>
      </c>
      <c r="I161" s="4" t="s">
        <v>4</v>
      </c>
      <c r="J161" s="7" t="s">
        <v>4</v>
      </c>
      <c r="K161" s="22">
        <f ca="1">VALUE(Tabela_query__15[[#This Row],[DATA E HORA AGENDAMENTO]])</f>
        <v>46212.416666666664</v>
      </c>
    </row>
    <row r="162" spans="1:11" x14ac:dyDescent="0.3">
      <c r="A162" s="4" t="s">
        <v>11</v>
      </c>
      <c r="B162" s="5" t="s">
        <v>12</v>
      </c>
      <c r="C162" s="5" t="s">
        <v>13</v>
      </c>
      <c r="D162" s="6" t="s">
        <v>227</v>
      </c>
      <c r="E162" s="6" t="s">
        <v>228</v>
      </c>
      <c r="F162" s="6">
        <v>24988338809</v>
      </c>
      <c r="G162" s="12" t="s">
        <v>229</v>
      </c>
      <c r="H162" s="6" t="s">
        <v>19</v>
      </c>
      <c r="I162" s="4" t="s">
        <v>4</v>
      </c>
      <c r="J162" s="7" t="s">
        <v>4</v>
      </c>
      <c r="K162" s="22">
        <f ca="1">VALUE(Tabela_query__15[[#This Row],[DATA E HORA AGENDAMENTO]])</f>
        <v>46211.479166666664</v>
      </c>
    </row>
    <row r="163" spans="1:11" x14ac:dyDescent="0.3">
      <c r="A163" s="4" t="s">
        <v>11</v>
      </c>
      <c r="B163" s="5" t="s">
        <v>12</v>
      </c>
      <c r="C163" s="5" t="s">
        <v>13</v>
      </c>
      <c r="D163" s="6" t="s">
        <v>227</v>
      </c>
      <c r="E163" s="6" t="s">
        <v>228</v>
      </c>
      <c r="F163" s="6">
        <v>24988338809</v>
      </c>
      <c r="G163" s="6" t="s">
        <v>229</v>
      </c>
      <c r="H163" s="6" t="s">
        <v>21</v>
      </c>
      <c r="I163" s="4" t="s">
        <v>4</v>
      </c>
      <c r="J163" s="7" t="s">
        <v>4</v>
      </c>
      <c r="K163" s="22">
        <f ca="1">VALUE(Tabela_query__15[[#This Row],[DATA E HORA AGENDAMENTO]])</f>
        <v>46209.5625</v>
      </c>
    </row>
    <row r="164" spans="1:11" x14ac:dyDescent="0.3">
      <c r="A164" s="4" t="s">
        <v>11</v>
      </c>
      <c r="B164" s="5" t="s">
        <v>12</v>
      </c>
      <c r="C164" s="5" t="s">
        <v>13</v>
      </c>
      <c r="D164" s="6" t="s">
        <v>227</v>
      </c>
      <c r="E164" s="6" t="s">
        <v>228</v>
      </c>
      <c r="F164" s="6">
        <v>24988338809</v>
      </c>
      <c r="G164" s="12" t="s">
        <v>229</v>
      </c>
      <c r="H164" s="6" t="s">
        <v>22</v>
      </c>
      <c r="I164" s="4" t="s">
        <v>4</v>
      </c>
      <c r="J164" s="7" t="s">
        <v>4</v>
      </c>
      <c r="K164" s="22">
        <f ca="1">VALUE(Tabela_query__15[[#This Row],[DATA E HORA AGENDAMENTO]])</f>
        <v>46211.583333333336</v>
      </c>
    </row>
    <row r="165" spans="1:11" x14ac:dyDescent="0.3">
      <c r="A165" s="4" t="s">
        <v>11</v>
      </c>
      <c r="B165" s="5" t="s">
        <v>12</v>
      </c>
      <c r="C165" s="5" t="s">
        <v>13</v>
      </c>
      <c r="D165" s="6" t="s">
        <v>227</v>
      </c>
      <c r="E165" s="6" t="s">
        <v>228</v>
      </c>
      <c r="F165" s="6">
        <v>24988338809</v>
      </c>
      <c r="G165" s="6" t="s">
        <v>229</v>
      </c>
      <c r="H165" s="6" t="s">
        <v>23</v>
      </c>
      <c r="I165" s="4" t="s">
        <v>4</v>
      </c>
      <c r="J165" s="7" t="s">
        <v>4</v>
      </c>
      <c r="K165" s="22">
        <f ca="1">VALUE(Tabela_query__15[[#This Row],[DATA E HORA AGENDAMENTO]])</f>
        <v>46209.604166666664</v>
      </c>
    </row>
    <row r="166" spans="1:11" x14ac:dyDescent="0.3">
      <c r="A166" s="4" t="s">
        <v>11</v>
      </c>
      <c r="B166" s="5" t="s">
        <v>12</v>
      </c>
      <c r="C166" s="5" t="s">
        <v>13</v>
      </c>
      <c r="D166" s="6" t="s">
        <v>227</v>
      </c>
      <c r="E166" s="6" t="s">
        <v>228</v>
      </c>
      <c r="F166" s="6">
        <v>24988338809</v>
      </c>
      <c r="G166" s="12" t="s">
        <v>229</v>
      </c>
      <c r="H166" s="6" t="s">
        <v>36</v>
      </c>
      <c r="I166" s="4" t="s">
        <v>4</v>
      </c>
      <c r="J166" s="14">
        <v>0</v>
      </c>
      <c r="K166" s="22">
        <f ca="1">VALUE(Tabela_query__15[[#This Row],[DATA E HORA AGENDAMENTO]])</f>
        <v>46209.395833333336</v>
      </c>
    </row>
    <row r="167" spans="1:11" x14ac:dyDescent="0.3">
      <c r="A167" s="4" t="s">
        <v>11</v>
      </c>
      <c r="B167" s="5" t="s">
        <v>12</v>
      </c>
      <c r="C167" s="5" t="s">
        <v>13</v>
      </c>
      <c r="D167" s="15" t="s">
        <v>230</v>
      </c>
      <c r="E167" s="15" t="s">
        <v>231</v>
      </c>
      <c r="F167" s="15" t="s">
        <v>232</v>
      </c>
      <c r="G167" s="2" t="s">
        <v>233</v>
      </c>
      <c r="H167" s="15" t="s">
        <v>19</v>
      </c>
      <c r="I167" s="4" t="s">
        <v>4</v>
      </c>
      <c r="J167" s="7" t="s">
        <v>4</v>
      </c>
      <c r="K167" s="19"/>
    </row>
  </sheetData>
  <dataValidations count="1">
    <dataValidation type="list" allowBlank="1" showInputMessage="1" showErrorMessage="1" sqref="H2:H167" xr:uid="{1B707FA7-B4D1-4F32-BC93-9986ADE596C3}">
      <formula1>#REF!</formula1>
    </dataValidation>
  </dataValidations>
  <hyperlinks>
    <hyperlink ref="G123" r:id="rId1" xr:uid="{E67D7FE7-59E5-4EB5-A52A-65268E868C80}"/>
    <hyperlink ref="G167" r:id="rId2" xr:uid="{9106F15E-4412-4AAB-85EF-18EE7FE5EDE6}"/>
    <hyperlink ref="G124" r:id="rId3" xr:uid="{15CA9407-5A01-4045-9E1C-0E437D5E9026}"/>
    <hyperlink ref="G2" r:id="rId4" xr:uid="{8B02F4EC-FD96-4A13-8C46-9D05731599B9}"/>
    <hyperlink ref="G14" r:id="rId5" xr:uid="{4DD3E3FE-47BD-43BB-8EEA-2A225C75B973}"/>
    <hyperlink ref="G63" r:id="rId6" xr:uid="{CF9604D4-B3C6-4DC4-A81D-7D7D81AABF9D}"/>
    <hyperlink ref="G76" r:id="rId7" xr:uid="{D81594DD-443E-474F-84FF-7140C9896381}"/>
    <hyperlink ref="G3" r:id="rId8" xr:uid="{B1D2E88F-C406-4071-98E4-F3352AF53065}"/>
    <hyperlink ref="G58" r:id="rId9" xr:uid="{1DCE4106-700F-4655-AEDC-0AC976555F8D}"/>
    <hyperlink ref="G11" r:id="rId10" xr:uid="{4BB0C103-701E-48F5-BB95-6F1F17C5953D}"/>
    <hyperlink ref="G12" r:id="rId11" xr:uid="{82CF0F03-D51E-402D-8228-1BF1C24EC6E3}"/>
    <hyperlink ref="G4" r:id="rId12" xr:uid="{2A2D09EF-8DFF-47D8-A72F-67B4FD27F9F4}"/>
    <hyperlink ref="G15" r:id="rId13" xr:uid="{768CDAD7-8DF4-4DDB-89D5-507E4266A0EC}"/>
    <hyperlink ref="G91" r:id="rId14" xr:uid="{03DB0E17-08E7-4F4C-BA3F-617A16B4AF49}"/>
    <hyperlink ref="G64" r:id="rId15" xr:uid="{5D3397AB-98DC-4604-BF31-56B5A0E1CBBD}"/>
    <hyperlink ref="G125" r:id="rId16" xr:uid="{98C4DF10-9C37-495D-9CA4-6D74A41735BA}"/>
    <hyperlink ref="G126" r:id="rId17" xr:uid="{0284E09C-D591-4E68-AA95-AE9F2367BD54}"/>
    <hyperlink ref="G59" r:id="rId18" xr:uid="{0C5DFA5E-80FD-4E7F-B913-EB949507285E}"/>
    <hyperlink ref="G13" r:id="rId19" xr:uid="{BE7EB77E-8732-4F53-8220-8F2A1E747AA0}"/>
    <hyperlink ref="G6" r:id="rId20" xr:uid="{FE19F48B-F04C-44D2-89AC-8863A1B4DDBC}"/>
    <hyperlink ref="G5" r:id="rId21" xr:uid="{8381FE51-77F3-4920-BFA3-801C05804EA0}"/>
    <hyperlink ref="G92" r:id="rId22" xr:uid="{DA02C807-97C9-45B2-B54B-58EB9EA0695D}"/>
    <hyperlink ref="G7" r:id="rId23" xr:uid="{4CABCFC4-DE59-4045-AACC-F6911AE06563}"/>
    <hyperlink ref="G16" r:id="rId24" xr:uid="{D73B2148-27A8-47E4-840C-E2AF49CBCC3E}"/>
    <hyperlink ref="G65" r:id="rId25" xr:uid="{B6A6BFB9-0D2F-4F30-918F-4F3574D6E308}"/>
    <hyperlink ref="G127" r:id="rId26" xr:uid="{4561708A-734C-480C-82BC-194C8CABF9C3}"/>
    <hyperlink ref="G82" r:id="rId27" xr:uid="{ECA58596-913F-4DD0-B4CF-E6D869A16D9C}"/>
    <hyperlink ref="G17" r:id="rId28" xr:uid="{6B7409A7-E63E-4BF9-90F6-DBD9EF7BF54A}"/>
    <hyperlink ref="G45" r:id="rId29" xr:uid="{ECB85FBE-11A3-4894-A2E7-E49E48B5AF51}"/>
    <hyperlink ref="J45" r:id="rId30" xr:uid="{AE32EF42-F4CE-4BC8-A191-5B12A90DA8EB}"/>
    <hyperlink ref="G74" r:id="rId31" xr:uid="{5F73DD82-C67A-47A1-8414-B58C14965373}"/>
    <hyperlink ref="G73" r:id="rId32" xr:uid="{73567F5C-6968-4F2A-8C17-CBC3410E2528}"/>
    <hyperlink ref="G71" r:id="rId33" xr:uid="{CCEA9B6B-1EC0-4A02-956B-F683E9DFDD68}"/>
    <hyperlink ref="G70" r:id="rId34" xr:uid="{1F735624-1D0F-4B38-B870-8C864B0E75B5}"/>
    <hyperlink ref="G166" r:id="rId35" xr:uid="{2EF51064-FAE2-4F8B-85C9-FE9E4AAA319D}"/>
    <hyperlink ref="G164" r:id="rId36" xr:uid="{0E3FA8C7-3B1B-4872-9840-7E68743AE85F}"/>
    <hyperlink ref="G162" r:id="rId37" xr:uid="{362F3480-FAD7-4D0B-8384-EF68E8A8DBD3}"/>
    <hyperlink ref="G89" r:id="rId38" xr:uid="{0AB1FE32-D8DF-48CA-AA73-B9EFF5BAF74E}"/>
    <hyperlink ref="G111" r:id="rId39" xr:uid="{97938B4D-500E-4EE8-A8DD-837CB458031F}"/>
    <hyperlink ref="G112" r:id="rId40" xr:uid="{FDFA6EE9-E6C8-4695-AC4B-C21D79134191}"/>
  </hyperlinks>
  <pageMargins left="0.511811024" right="0.511811024" top="0.78740157499999996" bottom="0.78740157499999996" header="0.31496062000000002" footer="0.31496062000000002"/>
  <pageSetup paperSize="9" orientation="portrait" r:id="rId41"/>
  <tableParts count="1">
    <tablePart r:id="rId4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B4820CFA9404E9EE2CB0E98AA8C81" ma:contentTypeVersion="10" ma:contentTypeDescription="Create a new document." ma:contentTypeScope="" ma:versionID="405ac023b8c35b28dd141f5a02842260">
  <xsd:schema xmlns:xsd="http://www.w3.org/2001/XMLSchema" xmlns:xs="http://www.w3.org/2001/XMLSchema" xmlns:p="http://schemas.microsoft.com/office/2006/metadata/properties" xmlns:ns3="27b77106-2af4-4f3b-914e-46aa1512cd5d" targetNamespace="http://schemas.microsoft.com/office/2006/metadata/properties" ma:root="true" ma:fieldsID="b2c83184e05df2d4ed63a4b0756c24b7" ns3:_="">
    <xsd:import namespace="27b77106-2af4-4f3b-914e-46aa1512cd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77106-2af4-4f3b-914e-46aa1512cd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b77106-2af4-4f3b-914e-46aa1512cd5d" xsi:nil="true"/>
  </documentManagement>
</p:properties>
</file>

<file path=customXml/itemProps1.xml><?xml version="1.0" encoding="utf-8"?>
<ds:datastoreItem xmlns:ds="http://schemas.openxmlformats.org/officeDocument/2006/customXml" ds:itemID="{7DE7121F-B6C3-4147-9F67-4EFA37257C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9E2A1-0194-4AFC-8098-A1E7A84EA0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b77106-2af4-4f3b-914e-46aa1512cd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59BDFF-9A50-4CA1-A7E7-6C52B5B34A3B}">
  <ds:schemaRefs>
    <ds:schemaRef ds:uri="http://schemas.microsoft.com/office/2006/metadata/properties"/>
    <ds:schemaRef ds:uri="http://schemas.microsoft.com/office/infopath/2007/PartnerControls"/>
    <ds:schemaRef ds:uri="27b77106-2af4-4f3b-914e-46aa1512cd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Denise Santos</dc:creator>
  <cp:keywords/>
  <dc:description/>
  <cp:lastModifiedBy>Ingrid Chaves</cp:lastModifiedBy>
  <cp:revision/>
  <dcterms:created xsi:type="dcterms:W3CDTF">2026-07-02T16:49:27Z</dcterms:created>
  <dcterms:modified xsi:type="dcterms:W3CDTF">2026-07-16T21:03:51Z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0x0101006E2B4820CFA9404E9EE2CB0E98AA8C81</vt:lpwstr>
  </property>
</Properties>
</file>