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.Monteiro\Desktop\dashboard-firjan\Arquivos\nao_atualizaveis\Ativo_Smart_Factory\"/>
    </mc:Choice>
  </mc:AlternateContent>
  <xr:revisionPtr revIDLastSave="0" documentId="13_ncr:1_{4E22EF51-9FB3-48E0-A49E-EA24D676BBFB}" xr6:coauthVersionLast="47" xr6:coauthVersionMax="47" xr10:uidLastSave="{00000000-0000-0000-0000-000000000000}"/>
  <bookViews>
    <workbookView xWindow="10140" yWindow="0" windowWidth="10455" windowHeight="10905" firstSheet="1" activeTab="1" xr2:uid="{B20507DA-672C-42C6-A438-4ECE1383B53D}"/>
  </bookViews>
  <sheets>
    <sheet name="Planilha2" sheetId="3" r:id="rId1"/>
    <sheet name="chamadas_22-04-2026_165407" sheetId="1" r:id="rId2"/>
    <sheet name="Planilha1" sheetId="2" r:id="rId3"/>
  </sheets>
  <definedNames>
    <definedName name="_xlnm._FilterDatabase" localSheetId="1" hidden="1">'chamadas_22-04-2026_165407'!$A$1:$S$3226</definedName>
    <definedName name="_xlnm._FilterDatabase" localSheetId="2" hidden="1">Planilha1!$A$1:$F$15</definedName>
  </definedNames>
  <calcPr calcId="181029"/>
  <pivotCaches>
    <pivotCache cacheId="0" r:id="rId4"/>
  </pivotCaches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C3" i="2"/>
  <c r="C4" i="2"/>
  <c r="C5" i="2"/>
  <c r="F4" i="2" s="1"/>
  <c r="C6" i="2"/>
  <c r="C7" i="2"/>
  <c r="C8" i="2"/>
  <c r="C9" i="2"/>
  <c r="C10" i="2"/>
  <c r="C11" i="2"/>
  <c r="C12" i="2"/>
  <c r="C13" i="2"/>
  <c r="C14" i="2"/>
  <c r="C15" i="2"/>
  <c r="C2" i="2"/>
  <c r="F3" i="2" l="1"/>
  <c r="F6" i="2"/>
  <c r="F5" i="2"/>
  <c r="F7" i="2" l="1"/>
</calcChain>
</file>

<file path=xl/sharedStrings.xml><?xml version="1.0" encoding="utf-8"?>
<sst xmlns="http://schemas.openxmlformats.org/spreadsheetml/2006/main" count="28791" uniqueCount="660">
  <si>
    <t>DATA</t>
  </si>
  <si>
    <t>FILA</t>
  </si>
  <si>
    <t>AGENTE</t>
  </si>
  <si>
    <t>IDCRM</t>
  </si>
  <si>
    <t>DOC</t>
  </si>
  <si>
    <t>IDDISCADOR</t>
  </si>
  <si>
    <t>UNIQUEID</t>
  </si>
  <si>
    <t>ORIGEM</t>
  </si>
  <si>
    <t>DESTINO</t>
  </si>
  <si>
    <t>TIPO</t>
  </si>
  <si>
    <t>STATUS</t>
  </si>
  <si>
    <t>STATUS_NEGOCIO</t>
  </si>
  <si>
    <t>MAILING</t>
  </si>
  <si>
    <t>DESLIGADOPOR</t>
  </si>
  <si>
    <t>ISDN_CODE</t>
  </si>
  <si>
    <t>AGENDAMENTO</t>
  </si>
  <si>
    <t>CPF/CNPJ COLETADO</t>
  </si>
  <si>
    <t>TEMPO_CONECTADO</t>
  </si>
  <si>
    <t>TEMPO_DE_CONVERSACAO</t>
  </si>
  <si>
    <t>3003 - FirjanAtivo</t>
  </si>
  <si>
    <t>6052-Marcia Lima Peixoto</t>
  </si>
  <si>
    <t>(21) 97424-1466</t>
  </si>
  <si>
    <t>Discador</t>
  </si>
  <si>
    <t>Atendido</t>
  </si>
  <si>
    <t>Engano</t>
  </si>
  <si>
    <t>BPATIVO20042026</t>
  </si>
  <si>
    <t>Cliente</t>
  </si>
  <si>
    <t>6044-Roseli Honorato Dos Santos</t>
  </si>
  <si>
    <t>(21) 2038-4382</t>
  </si>
  <si>
    <t>(21) 98474-3198</t>
  </si>
  <si>
    <t>Sainte</t>
  </si>
  <si>
    <t>Fora de Area / Cx de Mensagens</t>
  </si>
  <si>
    <t>Agente</t>
  </si>
  <si>
    <t>(21) 99983-6949</t>
  </si>
  <si>
    <t>(24) 99821-8454</t>
  </si>
  <si>
    <t>(21) 96998-5832</t>
  </si>
  <si>
    <t>Não Atendeu</t>
  </si>
  <si>
    <t>---</t>
  </si>
  <si>
    <t>(22) 99983-1403</t>
  </si>
  <si>
    <t>(22) 98824-6019</t>
  </si>
  <si>
    <t>Enviar E-mail</t>
  </si>
  <si>
    <t>(22) 99824-9393</t>
  </si>
  <si>
    <t>(21) 98173-3400</t>
  </si>
  <si>
    <t>(22) 99940-4118</t>
  </si>
  <si>
    <t>Tel Não Atende / Ocupado</t>
  </si>
  <si>
    <t>(22) 99741-1201</t>
  </si>
  <si>
    <t>(24) 99291-9252</t>
  </si>
  <si>
    <t>(24) 98824-1512</t>
  </si>
  <si>
    <t>(22) 99964-1421</t>
  </si>
  <si>
    <t>(21) 98478-1854</t>
  </si>
  <si>
    <t>renataalvarengasilvagmailcom</t>
  </si>
  <si>
    <t>comercialdegustogmailcom</t>
  </si>
  <si>
    <t>Falha</t>
  </si>
  <si>
    <t>--</t>
  </si>
  <si>
    <t>janayravisgueiracostagmaicom</t>
  </si>
  <si>
    <t>(21) 99860-2307</t>
  </si>
  <si>
    <t>aetaetsolutionscombr</t>
  </si>
  <si>
    <t>(21) 99955-4108</t>
  </si>
  <si>
    <t>(24) 99999-7466</t>
  </si>
  <si>
    <t>(21) 96454-0641</t>
  </si>
  <si>
    <t>(21) 96418-6340</t>
  </si>
  <si>
    <t>(24) 98143-3043</t>
  </si>
  <si>
    <t>Ocupado</t>
  </si>
  <si>
    <t>(22) 99773-7282</t>
  </si>
  <si>
    <t>(22) 98171-0088</t>
  </si>
  <si>
    <t>(21) 96461-8814</t>
  </si>
  <si>
    <t>(24) 97404-3002</t>
  </si>
  <si>
    <t>(22) 98137-3174</t>
  </si>
  <si>
    <t>(24) 98117-4443</t>
  </si>
  <si>
    <t>(22) 98832-5157</t>
  </si>
  <si>
    <t>(21) 98241-6981</t>
  </si>
  <si>
    <t>(22) 98141-8451</t>
  </si>
  <si>
    <t>(22) 99956-6724</t>
  </si>
  <si>
    <t>(21) 99204-5800</t>
  </si>
  <si>
    <t>(22) 98144-5335</t>
  </si>
  <si>
    <t>(24) 97402-3050</t>
  </si>
  <si>
    <t>(22) 99946-8260</t>
  </si>
  <si>
    <t>(21) 99557-6215</t>
  </si>
  <si>
    <t>(22) 99845-7743</t>
  </si>
  <si>
    <t>(22) 98101-2296</t>
  </si>
  <si>
    <t>(21) 98320-0043</t>
  </si>
  <si>
    <t>(22) 99287-8450</t>
  </si>
  <si>
    <t>(21) 98740-5755</t>
  </si>
  <si>
    <t>(11) 93286-8636</t>
  </si>
  <si>
    <t>(24) 99969-6999</t>
  </si>
  <si>
    <t>(22) 99971-7111</t>
  </si>
  <si>
    <t>(55) 22998-5655</t>
  </si>
  <si>
    <t>(22) 99978-6797</t>
  </si>
  <si>
    <t>(24) 98105-1508</t>
  </si>
  <si>
    <t>(24) 98802-4342</t>
  </si>
  <si>
    <t>(24) 99998-4972</t>
  </si>
  <si>
    <t>(22) 99916-6709</t>
  </si>
  <si>
    <t>(24) 99269-7184</t>
  </si>
  <si>
    <t>(24) 98181-0528</t>
  </si>
  <si>
    <t>(24) 99850-0155</t>
  </si>
  <si>
    <t>Retornar</t>
  </si>
  <si>
    <t>(24) 99275-6001</t>
  </si>
  <si>
    <t>(21) 99618-6412</t>
  </si>
  <si>
    <t>(22) 99737-2827</t>
  </si>
  <si>
    <t>(21) 98496-8854</t>
  </si>
  <si>
    <t>Formulário Preenchido</t>
  </si>
  <si>
    <t>(24) 99219-2552</t>
  </si>
  <si>
    <t>(21) 99547-0259</t>
  </si>
  <si>
    <t>(21) 98160-0166</t>
  </si>
  <si>
    <t>(21) 99311-4206</t>
  </si>
  <si>
    <t>(21) 97917-3000</t>
  </si>
  <si>
    <t>INFORMADO</t>
  </si>
  <si>
    <t>(24) 99956-1607</t>
  </si>
  <si>
    <t>(24) 98881-1715</t>
  </si>
  <si>
    <t>(24) 99911-7945</t>
  </si>
  <si>
    <t>(22) 98802-7200</t>
  </si>
  <si>
    <t>(21) 99389-7077</t>
  </si>
  <si>
    <t>(22) 99758-9897</t>
  </si>
  <si>
    <t>(21) 99222-1872</t>
  </si>
  <si>
    <t>(22) 99943-2820</t>
  </si>
  <si>
    <t>(24) 99201-1676</t>
  </si>
  <si>
    <t>(24) 99983-2975</t>
  </si>
  <si>
    <t>(22) 99211-2929</t>
  </si>
  <si>
    <t>(21) 99859-0081</t>
  </si>
  <si>
    <t>(21) 96444-6445</t>
  </si>
  <si>
    <t>(24) 99992-8114</t>
  </si>
  <si>
    <t>(21) 99872-9283</t>
  </si>
  <si>
    <t>(21) 98790-3656</t>
  </si>
  <si>
    <t>(22) 99208-2905</t>
  </si>
  <si>
    <t>(21) 99911-8911</t>
  </si>
  <si>
    <t>(22) 99877-5886</t>
  </si>
  <si>
    <t>(21) 96410-8682</t>
  </si>
  <si>
    <t>(24) 98158-8077</t>
  </si>
  <si>
    <t>Recado</t>
  </si>
  <si>
    <t>(24) 99229-0708</t>
  </si>
  <si>
    <t>(22) 99977-7097</t>
  </si>
  <si>
    <t>(24) 97102-4094</t>
  </si>
  <si>
    <t>(24) 99215-4041</t>
  </si>
  <si>
    <t>(22) 99243-7328</t>
  </si>
  <si>
    <t>Falhou</t>
  </si>
  <si>
    <t>(22) 99999-7377</t>
  </si>
  <si>
    <t>(21) 99422-6728</t>
  </si>
  <si>
    <t>(21) 99805-2224</t>
  </si>
  <si>
    <t>(24) 98119-5740</t>
  </si>
  <si>
    <t>(24) 98801-4316</t>
  </si>
  <si>
    <t>(21) 96459-7496</t>
  </si>
  <si>
    <t>(24) 98855-7362</t>
  </si>
  <si>
    <t>(24) 99832-6585</t>
  </si>
  <si>
    <t>(22) 99830-2885</t>
  </si>
  <si>
    <t>(21) 98782-4932</t>
  </si>
  <si>
    <t>(24) 99999-2670</t>
  </si>
  <si>
    <t>(21) 97046-3961</t>
  </si>
  <si>
    <t>(22) 99266-1893</t>
  </si>
  <si>
    <t>(22) 99825-5226</t>
  </si>
  <si>
    <t>(21) 97637-8052</t>
  </si>
  <si>
    <t>(24) 99395-1979</t>
  </si>
  <si>
    <t>(21) 99443-9630</t>
  </si>
  <si>
    <t>Não tem interesse</t>
  </si>
  <si>
    <t>(21) 99540-3710</t>
  </si>
  <si>
    <t>(24) 98182-0794</t>
  </si>
  <si>
    <t>(22) 99760-7085</t>
  </si>
  <si>
    <t>(22) 99831-5390</t>
  </si>
  <si>
    <t>(21) 98153-2533</t>
  </si>
  <si>
    <t>(24) 99999-0507</t>
  </si>
  <si>
    <t>(21) 98133-4719</t>
  </si>
  <si>
    <t>(21) 99830-0303</t>
  </si>
  <si>
    <t>(24) 3326-4426</t>
  </si>
  <si>
    <t>(21) 98355-1840</t>
  </si>
  <si>
    <t>(22) 99871-5643</t>
  </si>
  <si>
    <t>(24) 99909-7084</t>
  </si>
  <si>
    <t>(21) 99252-0142</t>
  </si>
  <si>
    <t>(21) 99461-8114</t>
  </si>
  <si>
    <t>(21) 99362-9689</t>
  </si>
  <si>
    <t>(21) 99769-9629</t>
  </si>
  <si>
    <t>(22) 99844-3236</t>
  </si>
  <si>
    <t>(21) 98181-2633</t>
  </si>
  <si>
    <t>(22) 99908-3911</t>
  </si>
  <si>
    <t>(22) 98145-7887</t>
  </si>
  <si>
    <t>(21) 99816-0402</t>
  </si>
  <si>
    <t>(21) 99701-8990</t>
  </si>
  <si>
    <t>(21) 96838-2404</t>
  </si>
  <si>
    <t>(22) 98864-2310</t>
  </si>
  <si>
    <t>(24) 99257-7591</t>
  </si>
  <si>
    <t>(24) 99294-8155</t>
  </si>
  <si>
    <t>(22) 98115-4179</t>
  </si>
  <si>
    <t>(21) 99859-4453</t>
  </si>
  <si>
    <t>(22) 99253-8503</t>
  </si>
  <si>
    <t>(21) 99959-4772</t>
  </si>
  <si>
    <t>(22) 99278-8136</t>
  </si>
  <si>
    <t>(22) 99833-4300</t>
  </si>
  <si>
    <t>(22) 99872-7233</t>
  </si>
  <si>
    <t>(24) 99263-7785</t>
  </si>
  <si>
    <t>(22) 99951-5253</t>
  </si>
  <si>
    <t>(22) 99787-8564</t>
  </si>
  <si>
    <t>(21) 99059-1533</t>
  </si>
  <si>
    <t>(21) 98208-3907</t>
  </si>
  <si>
    <t>(22) 98179-0794</t>
  </si>
  <si>
    <t>(22) 99861-2688</t>
  </si>
  <si>
    <t>(24) 97401-6335</t>
  </si>
  <si>
    <t>(22) 99893-3832</t>
  </si>
  <si>
    <t>(21) 98840-4874</t>
  </si>
  <si>
    <t>(24) 99856-6729</t>
  </si>
  <si>
    <t>(22) 98831-8446</t>
  </si>
  <si>
    <t>(24) 98802-0549</t>
  </si>
  <si>
    <t>(21) 96433-0092</t>
  </si>
  <si>
    <t>(21) 99493-8431</t>
  </si>
  <si>
    <t>(21) 98558-0743</t>
  </si>
  <si>
    <t>(22) 98157-2161</t>
  </si>
  <si>
    <t>(21) 98857-5898</t>
  </si>
  <si>
    <t>(21) 97014-6423</t>
  </si>
  <si>
    <t>(22) 99766-2198</t>
  </si>
  <si>
    <t>(21) 97996-9313</t>
  </si>
  <si>
    <t>(21) 98485-8817</t>
  </si>
  <si>
    <t>(21) 99953-1528</t>
  </si>
  <si>
    <t>(22) 99998-9777</t>
  </si>
  <si>
    <t>(21) 96484-9137</t>
  </si>
  <si>
    <t>(24) 99317-4693</t>
  </si>
  <si>
    <t>(24) 99996-6765</t>
  </si>
  <si>
    <t>(21) 98180-4876</t>
  </si>
  <si>
    <t>(21) 98415-6846</t>
  </si>
  <si>
    <t>(21) 99797-6969</t>
  </si>
  <si>
    <t>(22) 99826-2171</t>
  </si>
  <si>
    <t>(22) 98801-4950</t>
  </si>
  <si>
    <t>(21) 99649-7854</t>
  </si>
  <si>
    <t>Cliente Desligou</t>
  </si>
  <si>
    <t>(21) 97352-7818</t>
  </si>
  <si>
    <t>(24) 99241-4636</t>
  </si>
  <si>
    <t>(22) 99493-5166</t>
  </si>
  <si>
    <t>(21) 96524-8339</t>
  </si>
  <si>
    <t>(21) 97029-1984</t>
  </si>
  <si>
    <t>11973-5599</t>
  </si>
  <si>
    <t>(22) 99999-9418</t>
  </si>
  <si>
    <t>(67) 09157-8769</t>
  </si>
  <si>
    <t>(11) 9973-5599</t>
  </si>
  <si>
    <t>(24) 97401-7156</t>
  </si>
  <si>
    <t>(21) 99351-8317</t>
  </si>
  <si>
    <t>(21) 99944-3033</t>
  </si>
  <si>
    <t>(24) 99228-2119</t>
  </si>
  <si>
    <t>(22) 99821-9454</t>
  </si>
  <si>
    <t>(21) 99157-7864</t>
  </si>
  <si>
    <t>(24) 99824-1721</t>
  </si>
  <si>
    <t>(24) 98113-0734</t>
  </si>
  <si>
    <t>(21) 99727-3393</t>
  </si>
  <si>
    <t>(24) 98107-8254</t>
  </si>
  <si>
    <t>(24) 99880-1181</t>
  </si>
  <si>
    <t>(21) 99888-3881</t>
  </si>
  <si>
    <t>adielmoreiraportescombr</t>
  </si>
  <si>
    <t>(24) 99292-4768</t>
  </si>
  <si>
    <t>(21) 99383-9327</t>
  </si>
  <si>
    <t>(21) 96477-2797</t>
  </si>
  <si>
    <t>(21) 98048-1098</t>
  </si>
  <si>
    <t>(21) 98085-2270</t>
  </si>
  <si>
    <t>(24) 98828-2932</t>
  </si>
  <si>
    <t>(22) 99916-0097</t>
  </si>
  <si>
    <t>(21) 96500-6500</t>
  </si>
  <si>
    <t>BPAtivo2</t>
  </si>
  <si>
    <t>(24) 97402-9988</t>
  </si>
  <si>
    <t>(21) 99965-1697</t>
  </si>
  <si>
    <t>(21) 96418-1480</t>
  </si>
  <si>
    <t>(22) 99832-5437</t>
  </si>
  <si>
    <t>(24) 98145-4441</t>
  </si>
  <si>
    <t>(21) 99107-8734</t>
  </si>
  <si>
    <t>(24) 98818-1800</t>
  </si>
  <si>
    <t>(21) 98249-3809</t>
  </si>
  <si>
    <t>(21) 96487-8084</t>
  </si>
  <si>
    <t>(21) 98497-4387</t>
  </si>
  <si>
    <t>(21) 96423-1738</t>
  </si>
  <si>
    <t>(21) 96458-5784</t>
  </si>
  <si>
    <t>(22) 98170-0037</t>
  </si>
  <si>
    <t>(21) 97294-8230</t>
  </si>
  <si>
    <t>Ligação Muda</t>
  </si>
  <si>
    <t>(21) 99713-8364</t>
  </si>
  <si>
    <t>(21) 97033-9066</t>
  </si>
  <si>
    <t>(21) 96416-6361</t>
  </si>
  <si>
    <t>(21) 96462-0377</t>
  </si>
  <si>
    <t>(24) 98846-4510</t>
  </si>
  <si>
    <t>(24) 99996-0011</t>
  </si>
  <si>
    <t>(21) 99106-1939</t>
  </si>
  <si>
    <t>(24) 99965-7390</t>
  </si>
  <si>
    <t>(21) 99254-1190</t>
  </si>
  <si>
    <t>(24) 98114-1571</t>
  </si>
  <si>
    <t>(21) 99220-8286</t>
  </si>
  <si>
    <t>(91) 99210-2542</t>
  </si>
  <si>
    <t>(24) 98806-6006</t>
  </si>
  <si>
    <t>(24) 99212-2215</t>
  </si>
  <si>
    <t>(21) 98743-4530</t>
  </si>
  <si>
    <t>(22) 99944-4350</t>
  </si>
  <si>
    <t>(22) 99205-3561</t>
  </si>
  <si>
    <t>(21) 98461-8480</t>
  </si>
  <si>
    <t>BPATIVO22042026</t>
  </si>
  <si>
    <t>(22) 99941-8171</t>
  </si>
  <si>
    <t>(22) 98824-7841</t>
  </si>
  <si>
    <t>(21) 99983-2180</t>
  </si>
  <si>
    <t>(21) 99890-8170</t>
  </si>
  <si>
    <t>(24) 99942-3948</t>
  </si>
  <si>
    <t>(24) 98135-5351</t>
  </si>
  <si>
    <t>(21) 99118-6778</t>
  </si>
  <si>
    <t>(21) 97998-5990</t>
  </si>
  <si>
    <t>(24) 98114-1403</t>
  </si>
  <si>
    <t>(21) 97033-4306</t>
  </si>
  <si>
    <t>(21) 98741-1184</t>
  </si>
  <si>
    <t>(21) 97655-1215</t>
  </si>
  <si>
    <t>(22) 98123-3894</t>
  </si>
  <si>
    <t>(21) 99989-9107</t>
  </si>
  <si>
    <t>(22) 97401-1109</t>
  </si>
  <si>
    <t>(24) 99913-4064</t>
  </si>
  <si>
    <t>(21) 98142-5542</t>
  </si>
  <si>
    <t>(22) 99969-6384</t>
  </si>
  <si>
    <t>(24) 98131-6800</t>
  </si>
  <si>
    <t>(22) 98177-7615</t>
  </si>
  <si>
    <t>(22) 99954-8034</t>
  </si>
  <si>
    <t>(21) 96526-2338</t>
  </si>
  <si>
    <t>(22) 99899-1590</t>
  </si>
  <si>
    <t>(21) 98187-7389</t>
  </si>
  <si>
    <t>(22) 99799-0091</t>
  </si>
  <si>
    <t>(21) 98739-2818</t>
  </si>
  <si>
    <t>(21) 96736-1113</t>
  </si>
  <si>
    <t>(22) 99708-9429</t>
  </si>
  <si>
    <t>(21) 96857-9179</t>
  </si>
  <si>
    <t>(21) 98835-0209</t>
  </si>
  <si>
    <t>(22) 98819-8325</t>
  </si>
  <si>
    <t>(22) 99936-5457</t>
  </si>
  <si>
    <t>(21) 97123-0789</t>
  </si>
  <si>
    <t>(22) 99965-1018</t>
  </si>
  <si>
    <t>(21) 99371-9168</t>
  </si>
  <si>
    <t>(21) 98225-7925</t>
  </si>
  <si>
    <t>(22) 99835-0275</t>
  </si>
  <si>
    <t>(21) 98882-5678</t>
  </si>
  <si>
    <t>(21) 99335-6612</t>
  </si>
  <si>
    <t>(21) 99999-7075</t>
  </si>
  <si>
    <t>(81) 99651-3130</t>
  </si>
  <si>
    <t>(21) 96769-1155</t>
  </si>
  <si>
    <t>(22) 99780-6677</t>
  </si>
  <si>
    <t>(22) 99278-4839</t>
  </si>
  <si>
    <t>(22) 98115-0323</t>
  </si>
  <si>
    <t>(55) 21998-9106</t>
  </si>
  <si>
    <t>(24) 99277-7697</t>
  </si>
  <si>
    <t>(21) 96459-2050</t>
  </si>
  <si>
    <t>(55) 21969-7751</t>
  </si>
  <si>
    <t>(24) 99926-5520</t>
  </si>
  <si>
    <t>(22) 99883-6782</t>
  </si>
  <si>
    <t>(21) 96452-4707</t>
  </si>
  <si>
    <t>(21) 97041-6197</t>
  </si>
  <si>
    <t>(21) 98309-1696</t>
  </si>
  <si>
    <t>(21) 96011-4588</t>
  </si>
  <si>
    <t>(22) 99218-1454</t>
  </si>
  <si>
    <t>(21) 97390-5049</t>
  </si>
  <si>
    <t>(22) 99924-1184</t>
  </si>
  <si>
    <t>(24) 93500-0794</t>
  </si>
  <si>
    <t>(22) 98819-2826</t>
  </si>
  <si>
    <t>(24) 98133-2595</t>
  </si>
  <si>
    <t>(21) 99989-1606</t>
  </si>
  <si>
    <t>(21) 98636-6416</t>
  </si>
  <si>
    <t>(24) 99855-1317</t>
  </si>
  <si>
    <t>(24) 98122-9498</t>
  </si>
  <si>
    <t>(21) 99188-7464</t>
  </si>
  <si>
    <t>(21) 99635-8899</t>
  </si>
  <si>
    <t>(24) 98814-9282</t>
  </si>
  <si>
    <t>(22) 99265-6123</t>
  </si>
  <si>
    <t>(21) 97113-1928</t>
  </si>
  <si>
    <t>(21) 99951-7659</t>
  </si>
  <si>
    <t>(21) 99465-4272</t>
  </si>
  <si>
    <t>(21) 99752-2322</t>
  </si>
  <si>
    <t>(22) 99959-3764</t>
  </si>
  <si>
    <t>(24) 99860-5231</t>
  </si>
  <si>
    <t>(21) 97990-0311</t>
  </si>
  <si>
    <t>(21) 97672-6902</t>
  </si>
  <si>
    <t>(24) 98881-0368</t>
  </si>
  <si>
    <t>(21) 97213-5109</t>
  </si>
  <si>
    <t>(21) 98141-4410</t>
  </si>
  <si>
    <t>(22) 98120-3199</t>
  </si>
  <si>
    <t>(32) 98406-8132</t>
  </si>
  <si>
    <t>(24) 99839-8875</t>
  </si>
  <si>
    <t>(21) 99819-6787</t>
  </si>
  <si>
    <t>(21) 99567-2008</t>
  </si>
  <si>
    <t>(22) 98177-0430</t>
  </si>
  <si>
    <t>(22) 98169-6637</t>
  </si>
  <si>
    <t>(24) 99941-8760</t>
  </si>
  <si>
    <t>(24) 98803-7230</t>
  </si>
  <si>
    <t>(22) 99212-8517</t>
  </si>
  <si>
    <t>(21) 98204-7322</t>
  </si>
  <si>
    <t>(21) 98808-8807</t>
  </si>
  <si>
    <t>(21) 96475-7007</t>
  </si>
  <si>
    <t>(21) 96496-7261</t>
  </si>
  <si>
    <t>(22) 99261-9760</t>
  </si>
  <si>
    <t>(24) 99303-9157</t>
  </si>
  <si>
    <t>(22) 99909-4860</t>
  </si>
  <si>
    <t>(21) 96448-2900</t>
  </si>
  <si>
    <t>(24) 99904-2812</t>
  </si>
  <si>
    <t>(24) 99825-7296</t>
  </si>
  <si>
    <t>(24) 99227-1713</t>
  </si>
  <si>
    <t>(21) 99623-4556</t>
  </si>
  <si>
    <t>(22) 99941-7995</t>
  </si>
  <si>
    <t>(21) 99849-4691</t>
  </si>
  <si>
    <t>(21) 99642-7042</t>
  </si>
  <si>
    <t>(21) 98168-0021</t>
  </si>
  <si>
    <t>(21) 99513-2211</t>
  </si>
  <si>
    <t>(24) 98838-5385</t>
  </si>
  <si>
    <t>(24) 99231-6184</t>
  </si>
  <si>
    <t>(21) 99611-8161</t>
  </si>
  <si>
    <t>(24) 99835-7233</t>
  </si>
  <si>
    <t>(32) 99940-5619</t>
  </si>
  <si>
    <t>(21) 99259-5895</t>
  </si>
  <si>
    <t>(21) 99210-9372</t>
  </si>
  <si>
    <t>(21) 98392-8488</t>
  </si>
  <si>
    <t>(21) 99243-2774</t>
  </si>
  <si>
    <t>(24) 98838-1296</t>
  </si>
  <si>
    <t>(21) 96430-2632</t>
  </si>
  <si>
    <t>(22) 99881-2910</t>
  </si>
  <si>
    <t>(24) 99300-3717</t>
  </si>
  <si>
    <t>(21) 2782-1128</t>
  </si>
  <si>
    <t>(21) 98685-2819</t>
  </si>
  <si>
    <t>(24) 98821-1173</t>
  </si>
  <si>
    <t>(22) 98809-0123</t>
  </si>
  <si>
    <t>(22) 99836-4439</t>
  </si>
  <si>
    <t>(21) 98216-5600</t>
  </si>
  <si>
    <t>(21) 99756-9477</t>
  </si>
  <si>
    <t>(24) 97404-2474</t>
  </si>
  <si>
    <t>(22) 99701-6593</t>
  </si>
  <si>
    <t>(21) 99998-7595</t>
  </si>
  <si>
    <t>(22) 99841-1422</t>
  </si>
  <si>
    <t>(24) 99228-2708</t>
  </si>
  <si>
    <t>(21) 99856-3613</t>
  </si>
  <si>
    <t>(21) 99581-3916</t>
  </si>
  <si>
    <t>(21) 96711-7352</t>
  </si>
  <si>
    <t>(21) 98187-0621</t>
  </si>
  <si>
    <t>(22) 99925-4022</t>
  </si>
  <si>
    <t>(21) 98848-1808</t>
  </si>
  <si>
    <t>(24) 99968-3020</t>
  </si>
  <si>
    <t>(21) 96752-4211</t>
  </si>
  <si>
    <t>(21) 99195-9811</t>
  </si>
  <si>
    <t>(21) 99307-4494</t>
  </si>
  <si>
    <t>(21) 98565-1370</t>
  </si>
  <si>
    <t>(21) 99143-0008</t>
  </si>
  <si>
    <t>(21) 99684-1455</t>
  </si>
  <si>
    <t>(55) 11973-5599</t>
  </si>
  <si>
    <t>(21) 98451-9051</t>
  </si>
  <si>
    <t>(22) 99214-5801</t>
  </si>
  <si>
    <t>(21) 98047-6688</t>
  </si>
  <si>
    <t>(24) 99961-3121</t>
  </si>
  <si>
    <t>(21) 2660-5797</t>
  </si>
  <si>
    <t>(21) 99585-8360</t>
  </si>
  <si>
    <t>(21) 97428-3682</t>
  </si>
  <si>
    <t>(21) 96466-0980</t>
  </si>
  <si>
    <t>(21) 97601-6865</t>
  </si>
  <si>
    <t>(21) 96409-3114</t>
  </si>
  <si>
    <t>(22) 99857-4420</t>
  </si>
  <si>
    <t>(21) 99967-7868</t>
  </si>
  <si>
    <t>(24) 98831-8333</t>
  </si>
  <si>
    <t>(21) 97272-8752</t>
  </si>
  <si>
    <t>(24) 98152-0014</t>
  </si>
  <si>
    <t>(24) 99940-0691</t>
  </si>
  <si>
    <t>(21) 98627-3567</t>
  </si>
  <si>
    <t>(22) 99848-2315</t>
  </si>
  <si>
    <t>(24) 98831-6867</t>
  </si>
  <si>
    <t>(24) 99217-7731</t>
  </si>
  <si>
    <t>(22) 98181-7677</t>
  </si>
  <si>
    <t>(21) 99523-1064</t>
  </si>
  <si>
    <t>(22) 99720-7021</t>
  </si>
  <si>
    <t>(22) 99727-6428</t>
  </si>
  <si>
    <t>(21) 19829-6975</t>
  </si>
  <si>
    <t>(21) 99726-2983</t>
  </si>
  <si>
    <t>(24) 99305-2569</t>
  </si>
  <si>
    <t>(22) 99905-4326</t>
  </si>
  <si>
    <t>(21) 99222-4008</t>
  </si>
  <si>
    <t>(24) 97402-5814</t>
  </si>
  <si>
    <t>(21) 99297-2181</t>
  </si>
  <si>
    <t>(22) 99265-3401</t>
  </si>
  <si>
    <t>(21) 96468-1358</t>
  </si>
  <si>
    <t>(22) 99744-0953</t>
  </si>
  <si>
    <t>(21) 98131-3334</t>
  </si>
  <si>
    <t>(21) 99649-2814</t>
  </si>
  <si>
    <t>(21) 97021-2590</t>
  </si>
  <si>
    <t>(24) 98818-0430</t>
  </si>
  <si>
    <t>(21) 96467-6558</t>
  </si>
  <si>
    <t>(21) 98273-9480</t>
  </si>
  <si>
    <t>(21) 99755-4649</t>
  </si>
  <si>
    <t>(21) 98857-3664</t>
  </si>
  <si>
    <t>(22) 99820-7739</t>
  </si>
  <si>
    <t>(21) 98151-1929</t>
  </si>
  <si>
    <t>(21) 98152-3778</t>
  </si>
  <si>
    <t>(22) 99953-8020</t>
  </si>
  <si>
    <t>(21) 98157-4287</t>
  </si>
  <si>
    <t>(21) 99808-4757</t>
  </si>
  <si>
    <t>(21) 97123-2144</t>
  </si>
  <si>
    <t>(24) 99994-2313</t>
  </si>
  <si>
    <t>(55) 21989-9831</t>
  </si>
  <si>
    <t>(21) 99986-9382</t>
  </si>
  <si>
    <t>(21) 99954-9956</t>
  </si>
  <si>
    <t>(21) 99800-9367</t>
  </si>
  <si>
    <t>(22) 99924-2133</t>
  </si>
  <si>
    <t>(27) 99512-7119</t>
  </si>
  <si>
    <t>(21) 96411-3002</t>
  </si>
  <si>
    <t>(24) 99284-4720</t>
  </si>
  <si>
    <t>(21) 97956-0542</t>
  </si>
  <si>
    <t>(21) 98400-5977</t>
  </si>
  <si>
    <t>(21) 99211-2683</t>
  </si>
  <si>
    <t>(21) 99191-0844</t>
  </si>
  <si>
    <t>(24) 99713-0782</t>
  </si>
  <si>
    <t>(21) 97256-6704</t>
  </si>
  <si>
    <t>(22) 98831-3477</t>
  </si>
  <si>
    <t>(21) 96805-4651</t>
  </si>
  <si>
    <t>(22) 99277-2904</t>
  </si>
  <si>
    <t>(21) 98109-8384</t>
  </si>
  <si>
    <t>(55) 21982-8266</t>
  </si>
  <si>
    <t>(21) 96635-6236</t>
  </si>
  <si>
    <t>(21) 98331-7903</t>
  </si>
  <si>
    <t>(21) 99245-6513</t>
  </si>
  <si>
    <t>(21) 99880-5967</t>
  </si>
  <si>
    <t>(21) 99678-2822</t>
  </si>
  <si>
    <t>(21) 99851-0825</t>
  </si>
  <si>
    <t>(22) 99981-3134</t>
  </si>
  <si>
    <t>(21) 98149-9835</t>
  </si>
  <si>
    <t>(22) 99231-8360</t>
  </si>
  <si>
    <t>(21) 97597-8168</t>
  </si>
  <si>
    <t>(21) 96786-0282</t>
  </si>
  <si>
    <t>(55) 21268-7696</t>
  </si>
  <si>
    <t>(21) 99959-6565</t>
  </si>
  <si>
    <t>(24) 98142-5307</t>
  </si>
  <si>
    <t>(21) 97172-5441</t>
  </si>
  <si>
    <t>(21) 97972-1348</t>
  </si>
  <si>
    <t>(21) 96756-0266</t>
  </si>
  <si>
    <t>(21) 99443-7171</t>
  </si>
  <si>
    <t>(21) 99685-4448</t>
  </si>
  <si>
    <t>(22) 99978-1381</t>
  </si>
  <si>
    <t>(22) 99989-2597</t>
  </si>
  <si>
    <t>(24) 99216-7770</t>
  </si>
  <si>
    <t>(21) 98323-9033</t>
  </si>
  <si>
    <t>(21) 98864-2505</t>
  </si>
  <si>
    <t>(21) 98834-2617</t>
  </si>
  <si>
    <t>(21) 98584-8270</t>
  </si>
  <si>
    <t>(21) 98757-2010</t>
  </si>
  <si>
    <t>(21) 96547-3391</t>
  </si>
  <si>
    <t>(21) 99182-4924</t>
  </si>
  <si>
    <t>(21) 99944-8304</t>
  </si>
  <si>
    <t>(21) 99948-2682</t>
  </si>
  <si>
    <t>(21) 99977-1817</t>
  </si>
  <si>
    <t>(21) 99338-9118</t>
  </si>
  <si>
    <t>(24) 99997-5044</t>
  </si>
  <si>
    <t>(24) 99833-1820</t>
  </si>
  <si>
    <t>(22) 99257-0909</t>
  </si>
  <si>
    <t>(21) 98897-0157</t>
  </si>
  <si>
    <t>(24) 97404-1453</t>
  </si>
  <si>
    <t>(21) 98803-2696</t>
  </si>
  <si>
    <t>(21) 96900-7409</t>
  </si>
  <si>
    <t>(22) 99833-3285</t>
  </si>
  <si>
    <t>(24) 98103-4759</t>
  </si>
  <si>
    <t>(22) 99961-7113</t>
  </si>
  <si>
    <t>(22) 98120-2194</t>
  </si>
  <si>
    <t>(24) 99239-5999</t>
  </si>
  <si>
    <t>(22) 99955-7739</t>
  </si>
  <si>
    <t>(22) 98132-4651</t>
  </si>
  <si>
    <t>(22) 99982-7753</t>
  </si>
  <si>
    <t>(21) 96409-8930</t>
  </si>
  <si>
    <t>(24) 98126-2199</t>
  </si>
  <si>
    <t>(21) 97038-7237</t>
  </si>
  <si>
    <t>(21) 96433-6468</t>
  </si>
  <si>
    <t>(21) 96945-2479</t>
  </si>
  <si>
    <t>(21) 99985-2105</t>
  </si>
  <si>
    <t>(22) 99999-7036</t>
  </si>
  <si>
    <t>(21) 97013-1165</t>
  </si>
  <si>
    <t>(24) 99309-7947</t>
  </si>
  <si>
    <t>(22) 99930-7567</t>
  </si>
  <si>
    <t>(21) 97730-2662</t>
  </si>
  <si>
    <t>(22) 99704-9822</t>
  </si>
  <si>
    <t>(71) 98143-5224</t>
  </si>
  <si>
    <t>(24) 99825-1985</t>
  </si>
  <si>
    <t>(21) 96913-1587</t>
  </si>
  <si>
    <t>(21) 96902-0033</t>
  </si>
  <si>
    <t>(21) 96438-4570</t>
  </si>
  <si>
    <t>(22) 99525-5637</t>
  </si>
  <si>
    <t>(21) 98396-4245</t>
  </si>
  <si>
    <t>(21) 98780-0006</t>
  </si>
  <si>
    <t>(24) 98867-7928</t>
  </si>
  <si>
    <t>(21) 99987-2359</t>
  </si>
  <si>
    <t>(21) 96556-2113</t>
  </si>
  <si>
    <t>(22) 99243-9708</t>
  </si>
  <si>
    <t>(22) 99841-4788</t>
  </si>
  <si>
    <t>(22) 99225-9403</t>
  </si>
  <si>
    <t>(21) 99598-6477</t>
  </si>
  <si>
    <t>(21) 19982-2154</t>
  </si>
  <si>
    <t>(21) 96448-0102</t>
  </si>
  <si>
    <t>(21) 97295-3079</t>
  </si>
  <si>
    <t>(21) 99654-9088</t>
  </si>
  <si>
    <t>(21) 98517-4497</t>
  </si>
  <si>
    <t>Contato Indisponível</t>
  </si>
  <si>
    <t>(21) 99390-3373</t>
  </si>
  <si>
    <t>(24) 98188-3138</t>
  </si>
  <si>
    <t>(21) 99043-7105</t>
  </si>
  <si>
    <t>(22) 98130-6741</t>
  </si>
  <si>
    <t>(22) 98811-4649</t>
  </si>
  <si>
    <t>(21) 99799-3422</t>
  </si>
  <si>
    <t>(21) 96441-6413</t>
  </si>
  <si>
    <t>(24) 98817-5986</t>
  </si>
  <si>
    <t>(24) 98848-2076</t>
  </si>
  <si>
    <t>(22) 99930-2058</t>
  </si>
  <si>
    <t>(21) 99293-3277</t>
  </si>
  <si>
    <t>(22) 99793-5945</t>
  </si>
  <si>
    <t>(21) 02199-8325</t>
  </si>
  <si>
    <t>(21) 98883-3297</t>
  </si>
  <si>
    <t>(21) 96411-4857</t>
  </si>
  <si>
    <t>(21) 98820-6645</t>
  </si>
  <si>
    <t>(24) 98856-3953</t>
  </si>
  <si>
    <t>(22) 97405-5538</t>
  </si>
  <si>
    <t>(24) 98823-8317</t>
  </si>
  <si>
    <t>(21) 99221-3122</t>
  </si>
  <si>
    <t>(21) 96412-7713</t>
  </si>
  <si>
    <t>(21) 96462-0376</t>
  </si>
  <si>
    <t>(21) 97281-9977</t>
  </si>
  <si>
    <t>(24) 99930-8767</t>
  </si>
  <si>
    <t>(24) 99292-7214</t>
  </si>
  <si>
    <t>(22) 99805-7945</t>
  </si>
  <si>
    <t>(22) 99895-2016</t>
  </si>
  <si>
    <t>(22) 99276-9856</t>
  </si>
  <si>
    <t>(24) 98159-8783</t>
  </si>
  <si>
    <t>(21) 97300-8185</t>
  </si>
  <si>
    <t>(21) 97361-1414</t>
  </si>
  <si>
    <t>(22) 98169-2907</t>
  </si>
  <si>
    <t>(22) 99949-0970</t>
  </si>
  <si>
    <t>(21) 97155-6522</t>
  </si>
  <si>
    <t>(21) 99966-6226</t>
  </si>
  <si>
    <t>(22) 99892-6880</t>
  </si>
  <si>
    <t>(22) 99988-1020</t>
  </si>
  <si>
    <t>(22) 98148-8223</t>
  </si>
  <si>
    <t>(21) 99296-8211</t>
  </si>
  <si>
    <t>(21) 96649-8517</t>
  </si>
  <si>
    <t>(24) 98129-2172</t>
  </si>
  <si>
    <t>(24) 99251-7878</t>
  </si>
  <si>
    <t>(24) 99968-1717</t>
  </si>
  <si>
    <t>(21) 98165-7825</t>
  </si>
  <si>
    <t>(21) 99988-2916</t>
  </si>
  <si>
    <t>(24) 98814-3956</t>
  </si>
  <si>
    <t>(32) 99994-1854</t>
  </si>
  <si>
    <t>(24) 99228-8502</t>
  </si>
  <si>
    <t>(21) 96958-5535</t>
  </si>
  <si>
    <t>(22) 99852-1597</t>
  </si>
  <si>
    <t>(24) 98815-1973</t>
  </si>
  <si>
    <t>ACAOBP24042026</t>
  </si>
  <si>
    <t>(21) 99774-7381</t>
  </si>
  <si>
    <t>(24) 99936-2315</t>
  </si>
  <si>
    <t>(24) 99999-6320</t>
  </si>
  <si>
    <t>ACAOBP24042026v2</t>
  </si>
  <si>
    <t>(21) 93137-8713</t>
  </si>
  <si>
    <t>(22) 99223-0618</t>
  </si>
  <si>
    <t>(21) 99741-8529</t>
  </si>
  <si>
    <t>(24) 99935-3145</t>
  </si>
  <si>
    <t>(22) 99769-1013</t>
  </si>
  <si>
    <t>(22) 99784-9794</t>
  </si>
  <si>
    <t>Retorno</t>
  </si>
  <si>
    <t>Interessado</t>
  </si>
  <si>
    <t>Tentativa</t>
  </si>
  <si>
    <t>Alo</t>
  </si>
  <si>
    <t>Contato com o Decisor</t>
  </si>
  <si>
    <t>Total Geral</t>
  </si>
  <si>
    <t>Data</t>
  </si>
  <si>
    <t>Data2</t>
  </si>
  <si>
    <t>20/04/2026</t>
  </si>
  <si>
    <t>22/04/2026</t>
  </si>
  <si>
    <t>24/04/2026</t>
  </si>
  <si>
    <t>26/05/2026</t>
  </si>
  <si>
    <t>27/05/2026</t>
  </si>
  <si>
    <t>28/05/2026</t>
  </si>
  <si>
    <t>Tentativas</t>
  </si>
  <si>
    <t>Conversões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</si>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</sst>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" fontId="0" fillId="0" borderId="0" xfId="0" applyNumberFormat="1"/>
    <xf numFmtId="0" fontId="18" fillId="0" borderId="0" xfId="0" applyFont="1"/>
    <xf numFmtId="1" fontId="18" fillId="0" borderId="0" xfId="0" applyNumberFormat="1" applyFont="1"/>
    <xf numFmtId="22" fontId="19" fillId="0" borderId="0" xfId="0" applyNumberFormat="1" applyFont="1"/>
    <xf numFmtId="0" fontId="19" fillId="0" borderId="0" xfId="0" applyFont="1"/>
    <xf numFmtId="1" fontId="19" fillId="0" borderId="0" xfId="0" applyNumberFormat="1" applyFont="1"/>
    <xf numFmtId="3" fontId="19" fillId="0" borderId="0" xfId="0" applyNumberFormat="1" applyFont="1"/>
    <xf numFmtId="21" fontId="19" fillId="0" borderId="0" xfId="0" applyNumberFormat="1" applyFont="1"/>
    <xf numFmtId="22" fontId="0" fillId="0" borderId="0" xfId="0" applyNumberFormat="1"/>
    <xf numFmtId="3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">
    <dxf>
      <numFmt numFmtId="0" formatCode="General"/>
    </dxf>
    <dxf>
      <numFmt numFmtId="0" formatCode="General"/>
    </dxf>
    <dxf>
      <numFmt numFmtId="26" formatCode="hh:mm:ss"/>
    </dxf>
    <dxf>
      <numFmt numFmtId="3" formatCode="#,##0"/>
    </dxf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her:" refreshedDate="46171.632609490742" createdVersion="8" refreshedVersion="8" minRefreshableVersion="3" recordCount="3225" xr:uid="{1595873D-DD86-45D9-998D-1860A1AFCB64}">
  <cacheSource type="worksheet">
    <worksheetSource name="Tabela1"/>
  </cacheSource>
  <cacheFields count="21">
    <cacheField name="DATA" numFmtId="22">
      <sharedItems containsSemiMixedTypes="0" containsNonDate="0" containsDate="1" containsString="0" minDate="2026-04-20T09:15:54" maxDate="2026-05-28T14:49:48"/>
    </cacheField>
    <cacheField name="FILA" numFmtId="0">
      <sharedItems/>
    </cacheField>
    <cacheField name="AGENTE" numFmtId="0">
      <sharedItems/>
    </cacheField>
    <cacheField name="IDCRM" numFmtId="0">
      <sharedItems containsBlank="1" containsMixedTypes="1" containsNumber="1" containsInteger="1" minValue="1" maxValue="1387961000163"/>
    </cacheField>
    <cacheField name="DOC" numFmtId="0">
      <sharedItems containsString="0" containsBlank="1" containsNumber="1" containsInteger="1" minValue="1" maxValue="97537119000130"/>
    </cacheField>
    <cacheField name="IDDISCADOR" numFmtId="0">
      <sharedItems containsSemiMixedTypes="0" containsString="0" containsNumber="1" containsInteger="1" minValue="1" maxValue="2779974713"/>
    </cacheField>
    <cacheField name="UNIQUEID" numFmtId="3">
      <sharedItems containsSemiMixedTypes="0" containsString="0" containsNumber="1" containsInteger="1" minValue="17766873544641" maxValue="177999058834611"/>
    </cacheField>
    <cacheField name="ORIGEM" numFmtId="0">
      <sharedItems/>
    </cacheField>
    <cacheField name="DESTINO" numFmtId="0">
      <sharedItems containsMixedTypes="1" containsNumber="1" containsInteger="1" minValue="3003" maxValue="3003"/>
    </cacheField>
    <cacheField name="TIPO" numFmtId="0">
      <sharedItems/>
    </cacheField>
    <cacheField name="STATUS" numFmtId="0">
      <sharedItems/>
    </cacheField>
    <cacheField name="STATUS_NEGOCIO" numFmtId="0">
      <sharedItems containsBlank="1"/>
    </cacheField>
    <cacheField name="MAILING" numFmtId="0">
      <sharedItems containsBlank="1"/>
    </cacheField>
    <cacheField name="DESLIGADOPOR" numFmtId="0">
      <sharedItems/>
    </cacheField>
    <cacheField name="ISDN_CODE" numFmtId="0">
      <sharedItems containsSemiMixedTypes="0" containsString="0" containsNumber="1" containsInteger="1" minValue="1" maxValue="147"/>
    </cacheField>
    <cacheField name="AGENDAMENTO" numFmtId="0">
      <sharedItems containsNonDate="0" containsString="0" containsBlank="1"/>
    </cacheField>
    <cacheField name="CPF/CNPJ COLETADO" numFmtId="0">
      <sharedItems containsNonDate="0" containsString="0" containsBlank="1"/>
    </cacheField>
    <cacheField name="TEMPO_CONECTADO" numFmtId="21">
      <sharedItems containsSemiMixedTypes="0" containsNonDate="0" containsDate="1" containsString="0" minDate="1899-12-30T00:00:00" maxDate="1899-12-30T00:11:04"/>
    </cacheField>
    <cacheField name="TEMPO_DE_CONVERSACAO" numFmtId="0">
      <sharedItems containsDate="1" containsMixedTypes="1" minDate="1899-12-30T00:00:01" maxDate="1899-12-30T00:10:51"/>
    </cacheField>
    <cacheField name="Interessado" numFmtId="0">
      <sharedItems containsMixedTypes="1" containsNumber="1" containsInteger="1" minValue="1" maxValue="1"/>
    </cacheField>
    <cacheField name="Data2" numFmtId="0">
      <sharedItems count="6">
        <s v="20/04/2026"/>
        <s v="22/04/2026"/>
        <s v="24/04/2026"/>
        <s v="26/05/2026"/>
        <s v="27/05/2026"/>
        <s v="28/05/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25">
  <r>
    <d v="2026-04-20T09:15:54"/>
    <s v="3003 - FirjanAtivo"/>
    <s v="6052-Marcia Lima Peixoto"/>
    <n v="1"/>
    <n v="1"/>
    <n v="1"/>
    <n v="17766873544641"/>
    <s v="(21) 97424-1466"/>
    <n v="3003"/>
    <s v="Discador"/>
    <s v="Atendido"/>
    <s v="Engano"/>
    <s v="BPATIVO20042026"/>
    <s v="Cliente"/>
    <n v="16"/>
    <m/>
    <m/>
    <d v="1899-12-30T00:00:19"/>
    <d v="1899-12-30T00:00:16"/>
    <s v=""/>
    <x v="0"/>
  </r>
  <r>
    <d v="2026-04-20T09:34:53"/>
    <s v="3003 - FirjanAtivo"/>
    <s v="6044-Roseli Honorato Dos Santos"/>
    <m/>
    <m/>
    <n v="2761431712"/>
    <n v="17766884936461"/>
    <s v="(21) 98474-3198"/>
    <s v="(21) 2038-4382"/>
    <s v="Sainte"/>
    <s v="Atendido"/>
    <s v="Fora de Area / Cx de Mensagens"/>
    <m/>
    <s v="Agente"/>
    <n v="16"/>
    <m/>
    <m/>
    <d v="1899-12-30T00:01:04"/>
    <d v="1899-12-30T00:00:42"/>
    <s v=""/>
    <x v="0"/>
  </r>
  <r>
    <d v="2026-04-20T09:35:17"/>
    <s v="3003 - FirjanAtivo"/>
    <s v="6052-Marcia Lima Peixoto"/>
    <m/>
    <m/>
    <n v="2776525487"/>
    <n v="17766885176521"/>
    <s v="(21) 99983-6949"/>
    <s v="(21) 2038-4382"/>
    <s v="Sainte"/>
    <s v="Atendido"/>
    <s v="Engano"/>
    <m/>
    <s v="Agente"/>
    <n v="16"/>
    <m/>
    <m/>
    <d v="1899-12-30T00:00:54"/>
    <d v="1899-12-30T00:00:26"/>
    <s v=""/>
    <x v="0"/>
  </r>
  <r>
    <d v="2026-04-20T09:37:17"/>
    <s v="3003 - FirjanAtivo"/>
    <s v="6044-Roseli Honorato Dos Santos"/>
    <m/>
    <m/>
    <n v="2774907115"/>
    <n v="17766886376691"/>
    <s v="(24) 99821-8454"/>
    <s v="(21) 2038-4382"/>
    <s v="Sainte"/>
    <s v="Atendido"/>
    <s v="Fora de Area / Cx de Mensagens"/>
    <m/>
    <s v="Agente"/>
    <n v="16"/>
    <m/>
    <m/>
    <d v="1899-12-30T00:00:54"/>
    <d v="1899-12-30T00:00:17"/>
    <s v=""/>
    <x v="0"/>
  </r>
  <r>
    <d v="2026-04-20T09:37:24"/>
    <s v="3003 - FirjanAtivo"/>
    <s v="6052-Marcia Lima Peixoto"/>
    <m/>
    <m/>
    <n v="2746674497"/>
    <n v="17766886446711"/>
    <s v="(21) 96998-5832"/>
    <s v="(21) 2038-4382"/>
    <s v="Sainte"/>
    <s v="Atendido"/>
    <s v="Engano"/>
    <m/>
    <s v="Agente"/>
    <n v="16"/>
    <m/>
    <m/>
    <d v="1899-12-30T00:00:22"/>
    <d v="1899-12-30T00:00:13"/>
    <s v=""/>
    <x v="0"/>
  </r>
  <r>
    <d v="2026-04-20T09:38:34"/>
    <s v="3003 - FirjanAtivo"/>
    <s v="6052-Marcia Lima Peixoto"/>
    <m/>
    <m/>
    <n v="2776525684"/>
    <n v="17766887146851"/>
    <s v="(21) 99983-6949"/>
    <s v="(21) 2038-4382"/>
    <s v="Sainte"/>
    <s v="Não Atendeu"/>
    <s v="Não Atendeu"/>
    <m/>
    <s v="Agente"/>
    <n v="19"/>
    <m/>
    <m/>
    <d v="1899-12-30T00:00:23"/>
    <s v="---"/>
    <s v=""/>
    <x v="0"/>
  </r>
  <r>
    <d v="2026-04-20T09:38:47"/>
    <s v="3003 - FirjanAtivo"/>
    <s v="6044-Roseli Honorato Dos Santos"/>
    <m/>
    <m/>
    <n v="2776520152"/>
    <n v="17766887276871"/>
    <s v="(22) 99983-1403"/>
    <s v="(21) 2038-4382"/>
    <s v="Sainte"/>
    <s v="Atendido"/>
    <s v="Fora de Area / Cx de Mensagens"/>
    <m/>
    <s v="Agente"/>
    <n v="16"/>
    <m/>
    <m/>
    <d v="1899-12-30T00:00:41"/>
    <d v="1899-12-30T00:00:05"/>
    <s v=""/>
    <x v="0"/>
  </r>
  <r>
    <d v="2026-04-20T09:40:58"/>
    <s v="3003 - FirjanAtivo"/>
    <s v="6052-Marcia Lima Peixoto"/>
    <m/>
    <m/>
    <n v="2764934899"/>
    <n v="17766888587201"/>
    <s v="(22) 98824-6019"/>
    <s v="(21) 2038-4382"/>
    <s v="Sainte"/>
    <s v="Atendido"/>
    <s v="Enviar E-mail"/>
    <m/>
    <s v="Agente"/>
    <n v="16"/>
    <m/>
    <m/>
    <d v="1899-12-30T00:03:19"/>
    <d v="1899-12-30T00:03:14"/>
    <n v="1"/>
    <x v="0"/>
  </r>
  <r>
    <d v="2026-04-20T09:43:50"/>
    <s v="3003 - FirjanAtivo"/>
    <s v="6044-Roseli Honorato Dos Santos"/>
    <m/>
    <m/>
    <n v="2774938445"/>
    <n v="17766890307491"/>
    <s v="(22) 99824-9393"/>
    <s v="(21) 2038-4382"/>
    <s v="Sainte"/>
    <s v="Atendido"/>
    <s v="Fora de Area / Cx de Mensagens"/>
    <m/>
    <s v="Agente"/>
    <n v="16"/>
    <m/>
    <m/>
    <d v="1899-12-30T00:00:46"/>
    <d v="1899-12-30T00:00:09"/>
    <s v=""/>
    <x v="0"/>
  </r>
  <r>
    <d v="2026-04-20T09:45:09"/>
    <s v="3003 - FirjanAtivo"/>
    <s v="6044-Roseli Honorato Dos Santos"/>
    <m/>
    <m/>
    <n v="2758422530"/>
    <n v="17766891097531"/>
    <s v="(21) 98173-3400"/>
    <s v="(21) 2038-4382"/>
    <s v="Sainte"/>
    <s v="Atendido"/>
    <s v="Enviar E-mail"/>
    <m/>
    <s v="Agente"/>
    <n v="16"/>
    <m/>
    <m/>
    <d v="1899-12-30T00:02:31"/>
    <d v="1899-12-30T00:02:25"/>
    <n v="1"/>
    <x v="0"/>
  </r>
  <r>
    <d v="2026-04-20T09:47:43"/>
    <s v="3003 - FirjanAtivo"/>
    <s v="6052-Marcia Lima Peixoto"/>
    <m/>
    <m/>
    <n v="2776093403"/>
    <n v="17766892637691"/>
    <s v="(22) 99940-4118"/>
    <s v="(21) 2038-4382"/>
    <s v="Sainte"/>
    <s v="Não Atendeu"/>
    <s v="Não Atendeu"/>
    <m/>
    <s v="Agente"/>
    <n v="19"/>
    <m/>
    <m/>
    <d v="1899-12-30T00:00:36"/>
    <s v="---"/>
    <s v=""/>
    <x v="0"/>
  </r>
  <r>
    <d v="2026-04-20T09:48:33"/>
    <s v="3003 - FirjanAtivo"/>
    <s v="6052-Marcia Lima Peixoto"/>
    <m/>
    <m/>
    <n v="2776093453"/>
    <n v="17766893137721"/>
    <s v="(22) 99940-4118"/>
    <s v="(21) 2038-4382"/>
    <s v="Sainte"/>
    <s v="Atendido"/>
    <s v="Tel Não Atende / Ocupado"/>
    <m/>
    <s v="Agente"/>
    <n v="16"/>
    <m/>
    <m/>
    <d v="1899-12-30T00:00:45"/>
    <d v="1899-12-30T00:00:08"/>
    <s v=""/>
    <x v="0"/>
  </r>
  <r>
    <d v="2026-04-20T09:49:49"/>
    <s v="3003 - FirjanAtivo"/>
    <s v="6052-Marcia Lima Peixoto"/>
    <m/>
    <m/>
    <n v="2774100613"/>
    <n v="17766893897931"/>
    <s v="(22) 99741-1201"/>
    <s v="(21) 2038-4382"/>
    <s v="Sainte"/>
    <s v="Não Atendeu"/>
    <s v="Não Atendeu"/>
    <m/>
    <s v="Agente"/>
    <n v="19"/>
    <m/>
    <m/>
    <d v="1899-12-30T00:00:23"/>
    <s v="---"/>
    <s v=""/>
    <x v="0"/>
  </r>
  <r>
    <d v="2026-04-20T09:51:14"/>
    <s v="3003 - FirjanAtivo"/>
    <s v="6044-Roseli Honorato Dos Santos"/>
    <m/>
    <m/>
    <n v="2769608750"/>
    <n v="17766894748151"/>
    <s v="(24) 99291-9252"/>
    <s v="(21) 2038-4382"/>
    <s v="Sainte"/>
    <s v="Atendido"/>
    <s v="Fora de Area / Cx de Mensagens"/>
    <m/>
    <s v="Agente"/>
    <n v="16"/>
    <m/>
    <m/>
    <d v="1899-12-30T00:00:43"/>
    <d v="1899-12-30T00:00:07"/>
    <s v=""/>
    <x v="0"/>
  </r>
  <r>
    <d v="2026-04-20T09:51:17"/>
    <s v="3003 - FirjanAtivo"/>
    <s v="6052-Marcia Lima Peixoto"/>
    <m/>
    <m/>
    <n v="2774100700"/>
    <n v="17766894778181"/>
    <s v="(22) 99741-1201"/>
    <s v="(21) 2038-4382"/>
    <s v="Sainte"/>
    <s v="Não Atendeu"/>
    <s v="Não Atendeu"/>
    <m/>
    <s v="Agente"/>
    <n v="19"/>
    <m/>
    <m/>
    <d v="1899-12-30T00:00:17"/>
    <s v="---"/>
    <s v=""/>
    <x v="0"/>
  </r>
  <r>
    <d v="2026-04-20T09:54:43"/>
    <s v="3003 - FirjanAtivo"/>
    <s v="6044-Roseli Honorato Dos Santos"/>
    <m/>
    <m/>
    <n v="2764931219"/>
    <n v="17766896838341"/>
    <s v="(24) 98824-1512"/>
    <s v="(21) 2038-4382"/>
    <s v="Sainte"/>
    <s v="Atendido"/>
    <s v="Fora de Area / Cx de Mensagens"/>
    <m/>
    <s v="Agente"/>
    <n v="16"/>
    <m/>
    <m/>
    <d v="1899-12-30T00:00:48"/>
    <d v="1899-12-30T00:00:09"/>
    <s v=""/>
    <x v="0"/>
  </r>
  <r>
    <d v="2026-04-20T09:56:21"/>
    <s v="3003 - FirjanAtivo"/>
    <s v="6044-Roseli Honorato Dos Santos"/>
    <m/>
    <m/>
    <n v="2776331224"/>
    <n v="17766897818731"/>
    <s v="(22) 99964-1421"/>
    <s v="(21) 2038-4382"/>
    <s v="Sainte"/>
    <s v="Atendido"/>
    <s v="Fora de Area / Cx de Mensagens"/>
    <m/>
    <s v="Cliente"/>
    <n v="16"/>
    <m/>
    <m/>
    <d v="1899-12-30T00:00:27"/>
    <d v="1899-12-30T00:00:10"/>
    <s v=""/>
    <x v="0"/>
  </r>
  <r>
    <d v="2026-04-20T09:57:17"/>
    <s v="3003 - FirjanAtivo"/>
    <s v="6044-Roseli Honorato Dos Santos"/>
    <m/>
    <m/>
    <n v="2776521263"/>
    <n v="17766898378861"/>
    <s v="(22) 99983-1403"/>
    <s v="(21) 2038-4382"/>
    <s v="Sainte"/>
    <s v="Atendido"/>
    <s v="Tel Não Atende / Ocupado"/>
    <m/>
    <s v="Cliente"/>
    <n v="16"/>
    <m/>
    <m/>
    <d v="1899-12-30T00:00:46"/>
    <d v="1899-12-30T00:00:10"/>
    <s v=""/>
    <x v="0"/>
  </r>
  <r>
    <d v="2026-04-20T09:58:48"/>
    <s v="3003 - FirjanAtivo"/>
    <s v="6044-Roseli Honorato Dos Santos"/>
    <m/>
    <m/>
    <n v="2761471803"/>
    <n v="17766899289071"/>
    <s v="(21) 98478-1854"/>
    <s v="(21) 2038-4382"/>
    <s v="Sainte"/>
    <s v="Atendido"/>
    <s v="Tel Não Atende / Ocupado"/>
    <m/>
    <s v="Cliente"/>
    <n v="16"/>
    <m/>
    <m/>
    <d v="1899-12-30T00:00:22"/>
    <d v="1899-12-30T00:00:13"/>
    <s v=""/>
    <x v="0"/>
  </r>
  <r>
    <d v="2026-04-20T09:59:56"/>
    <s v="3003 - FirjanAtivo"/>
    <s v="6044-Roseli Honorato Dos Santos"/>
    <m/>
    <m/>
    <n v="2761471871"/>
    <n v="17766899969171"/>
    <s v="(21) 98478-1854"/>
    <s v="(21) 2038-4382"/>
    <s v="Sainte"/>
    <s v="Atendido"/>
    <s v="Tel Não Atende / Ocupado"/>
    <m/>
    <s v="Cliente"/>
    <n v="16"/>
    <m/>
    <m/>
    <d v="1899-12-30T00:00:30"/>
    <d v="1899-12-30T00:00:25"/>
    <s v=""/>
    <x v="0"/>
  </r>
  <r>
    <d v="2026-04-20T09:17:59"/>
    <s v="3003 - FirjanAtivo"/>
    <s v="---"/>
    <s v="renataalvarengasilvagmailcom"/>
    <n v="59407605000144"/>
    <n v="2"/>
    <n v="17766873834671"/>
    <s v="(22) 99983-1403"/>
    <n v="3003"/>
    <s v="Discador"/>
    <s v="Atendido"/>
    <s v="Fora de Area / Cx de Mensagens"/>
    <s v="BPATIVO20042026"/>
    <s v="Agente"/>
    <n v="131"/>
    <m/>
    <m/>
    <d v="1899-12-30T00:01:00"/>
    <s v="---"/>
    <s v=""/>
    <x v="0"/>
  </r>
  <r>
    <d v="2026-04-20T09:18:00"/>
    <s v="3003 - FirjanAtivo"/>
    <s v="---"/>
    <s v="comercialdegustogmailcom"/>
    <n v="23884500000139"/>
    <n v="3"/>
    <n v="17766874805171"/>
    <s v="(24) 98824-1512"/>
    <s v="Falha"/>
    <s v="Discador"/>
    <s v="Não Atendeu"/>
    <s v="Não Atendeu"/>
    <s v="BPATIVO20042026"/>
    <s v="--"/>
    <n v="19"/>
    <m/>
    <m/>
    <d v="1899-12-30T00:00:00"/>
    <s v="---"/>
    <s v=""/>
    <x v="0"/>
  </r>
  <r>
    <d v="2026-04-20T09:41:34"/>
    <s v="3003 - FirjanAtivo"/>
    <s v="---"/>
    <s v="janayravisgueiracostagmaicom"/>
    <n v="24265410000122"/>
    <n v="5"/>
    <n v="17766888247081"/>
    <s v="(21) 99860-2307"/>
    <n v="3003"/>
    <s v="Discador"/>
    <s v="Atendido"/>
    <s v="Fora de Area / Cx de Mensagens"/>
    <s v="BPATIVO20042026"/>
    <s v="Agente"/>
    <n v="131"/>
    <m/>
    <m/>
    <d v="1899-12-30T00:01:00"/>
    <s v="---"/>
    <s v=""/>
    <x v="0"/>
  </r>
  <r>
    <d v="2026-04-20T09:42:05"/>
    <s v="3003 - FirjanAtivo"/>
    <s v="---"/>
    <s v="aetaetsolutionscombr"/>
    <n v="9082639000138"/>
    <n v="4"/>
    <n v="17766888247071"/>
    <s v="(22) 99824-9393"/>
    <n v="3003"/>
    <s v="Discador"/>
    <s v="Atendido"/>
    <s v="Fora de Area / Cx de Mensagens"/>
    <s v="BPATIVO20042026"/>
    <s v="Agente"/>
    <n v="131"/>
    <m/>
    <m/>
    <d v="1899-12-30T00:01:03"/>
    <s v="---"/>
    <s v=""/>
    <x v="0"/>
  </r>
  <r>
    <d v="2026-04-20T10:01:21"/>
    <s v="3003 - FirjanAtivo"/>
    <s v="6044-Roseli Honorato Dos Santos"/>
    <m/>
    <m/>
    <n v="2761471956"/>
    <n v="17766900819411"/>
    <s v="(21) 98478-1854"/>
    <s v="(21) 2038-4382"/>
    <s v="Sainte"/>
    <s v="Atendido"/>
    <s v="Fora de Area / Cx de Mensagens"/>
    <m/>
    <s v="Agente"/>
    <n v="16"/>
    <m/>
    <m/>
    <d v="1899-12-30T00:00:44"/>
    <d v="1899-12-30T00:00:08"/>
    <s v=""/>
    <x v="0"/>
  </r>
  <r>
    <d v="2026-04-20T10:02:24"/>
    <s v="3003 - FirjanAtivo"/>
    <s v="6044-Roseli Honorato Dos Santos"/>
    <m/>
    <m/>
    <n v="2776244273"/>
    <n v="17766901449631"/>
    <s v="(21) 99955-4108"/>
    <s v="(21) 2038-4382"/>
    <s v="Sainte"/>
    <s v="Atendido"/>
    <s v="Fora de Area / Cx de Mensagens"/>
    <m/>
    <s v="Cliente"/>
    <n v="16"/>
    <m/>
    <m/>
    <d v="1899-12-30T00:00:20"/>
    <d v="1899-12-30T00:00:10"/>
    <s v=""/>
    <x v="0"/>
  </r>
  <r>
    <d v="2026-04-20T10:03:11"/>
    <s v="3003 - FirjanAtivo"/>
    <s v="6044-Roseli Honorato Dos Santos"/>
    <m/>
    <m/>
    <n v="2776687681"/>
    <n v="177669019110001"/>
    <s v="(24) 99999-7466"/>
    <s v="(21) 2038-4382"/>
    <s v="Sainte"/>
    <s v="Atendido"/>
    <s v="Fora de Area / Cx de Mensagens"/>
    <m/>
    <s v="Agente"/>
    <n v="16"/>
    <m/>
    <m/>
    <d v="1899-12-30T00:00:19"/>
    <d v="1899-12-30T00:00:16"/>
    <s v=""/>
    <x v="0"/>
  </r>
  <r>
    <d v="2026-04-20T10:03:50"/>
    <s v="3003 - FirjanAtivo"/>
    <s v="6044-Roseli Honorato Dos Santos"/>
    <m/>
    <m/>
    <n v="2741230892"/>
    <n v="177669023010181"/>
    <s v="(21) 96454-0641"/>
    <s v="(21) 2038-4382"/>
    <s v="Sainte"/>
    <s v="Atendido"/>
    <s v="Enviar E-mail"/>
    <m/>
    <s v="Cliente"/>
    <n v="16"/>
    <m/>
    <m/>
    <d v="1899-12-30T00:03:14"/>
    <d v="1899-12-30T00:03:07"/>
    <n v="1"/>
    <x v="0"/>
  </r>
  <r>
    <d v="2026-04-20T10:07:38"/>
    <s v="3003 - FirjanAtivo"/>
    <s v="6044-Roseli Honorato Dos Santos"/>
    <m/>
    <m/>
    <n v="2740876819"/>
    <n v="177669045810761"/>
    <s v="(21) 96418-6340"/>
    <s v="(21) 2038-4382"/>
    <s v="Sainte"/>
    <s v="Atendido"/>
    <s v="Tel Não Atende / Ocupado"/>
    <m/>
    <s v="Agente"/>
    <n v="16"/>
    <m/>
    <m/>
    <d v="1899-12-30T00:01:02"/>
    <d v="1899-12-30T00:00:25"/>
    <s v=""/>
    <x v="0"/>
  </r>
  <r>
    <d v="2026-04-20T10:08:21"/>
    <s v="3003 - FirjanAtivo"/>
    <s v="6052-Marcia Lima Peixoto"/>
    <m/>
    <m/>
    <n v="2776094641"/>
    <n v="177669050110781"/>
    <s v="(22) 99940-4118"/>
    <s v="(21) 2038-4382"/>
    <s v="Sainte"/>
    <s v="Atendido"/>
    <s v="Tel Não Atende / Ocupado"/>
    <m/>
    <s v="Agente"/>
    <n v="16"/>
    <m/>
    <m/>
    <d v="1899-12-30T00:00:43"/>
    <d v="1899-12-30T00:00:03"/>
    <s v=""/>
    <x v="0"/>
  </r>
  <r>
    <d v="2026-04-20T10:09:14"/>
    <s v="3003 - FirjanAtivo"/>
    <s v="6044-Roseli Honorato Dos Santos"/>
    <m/>
    <m/>
    <n v="2758123621"/>
    <n v="177669055410981"/>
    <s v="(24) 98143-3043"/>
    <s v="(21) 2038-4382"/>
    <s v="Sainte"/>
    <s v="Atendido"/>
    <s v="Enviar E-mail"/>
    <m/>
    <s v="Cliente"/>
    <n v="16"/>
    <m/>
    <m/>
    <d v="1899-12-30T00:02:28"/>
    <d v="1899-12-30T00:02:01"/>
    <n v="1"/>
    <x v="0"/>
  </r>
  <r>
    <d v="2026-04-20T10:09:19"/>
    <s v="3003 - FirjanAtivo"/>
    <s v="6052-Marcia Lima Peixoto"/>
    <m/>
    <m/>
    <n v="2774101782"/>
    <n v="177669055911101"/>
    <s v="(22) 99741-1201"/>
    <s v="(21) 2038-4382"/>
    <s v="Sainte"/>
    <s v="Não Atendeu"/>
    <s v="Não Atendeu"/>
    <m/>
    <s v="Agente"/>
    <n v="19"/>
    <m/>
    <m/>
    <d v="1899-12-30T00:00:23"/>
    <s v="---"/>
    <s v=""/>
    <x v="0"/>
  </r>
  <r>
    <d v="2026-04-20T10:09:56"/>
    <s v="3003 - FirjanAtivo"/>
    <s v="6052-Marcia Lima Peixoto"/>
    <m/>
    <m/>
    <n v="2774101819"/>
    <n v="177669059611191"/>
    <s v="(22) 99741-1201"/>
    <s v="(21) 2038-4382"/>
    <s v="Sainte"/>
    <s v="Não Atendeu"/>
    <s v="Não Atendeu"/>
    <m/>
    <s v="Agente"/>
    <n v="19"/>
    <m/>
    <m/>
    <d v="1899-12-30T00:00:38"/>
    <s v="---"/>
    <s v=""/>
    <x v="0"/>
  </r>
  <r>
    <d v="2026-04-20T10:20:50"/>
    <s v="3003 - FirjanAtivo"/>
    <s v="6044-Roseli Honorato Dos Santos"/>
    <m/>
    <m/>
    <n v="2758124266"/>
    <n v="177669119913681"/>
    <s v="(24) 98143-3043"/>
    <s v="(21) 2038-4382"/>
    <s v="Sainte"/>
    <s v="Ocupado"/>
    <s v="Ocupado"/>
    <m/>
    <s v="Cliente"/>
    <n v="19"/>
    <m/>
    <m/>
    <d v="1899-12-30T00:00:01"/>
    <s v="---"/>
    <s v=""/>
    <x v="0"/>
  </r>
  <r>
    <d v="2026-04-20T10:22:18"/>
    <s v="3003 - FirjanAtivo"/>
    <s v="6044-Roseli Honorato Dos Santos"/>
    <m/>
    <m/>
    <n v="2758124354"/>
    <n v="177669128713841"/>
    <s v="(24) 98143-3043"/>
    <s v="(21) 2038-4382"/>
    <s v="Sainte"/>
    <s v="Ocupado"/>
    <s v="Ocupado"/>
    <m/>
    <s v="Cliente"/>
    <n v="19"/>
    <m/>
    <m/>
    <d v="1899-12-30T00:00:01"/>
    <s v="---"/>
    <s v=""/>
    <x v="0"/>
  </r>
  <r>
    <d v="2026-04-20T10:22:47"/>
    <s v="3003 - FirjanAtivo"/>
    <s v="6044-Roseli Honorato Dos Santos"/>
    <m/>
    <m/>
    <n v="2758124434"/>
    <n v="177669136713991"/>
    <s v="(24) 98143-3043"/>
    <s v="(21) 2038-4382"/>
    <s v="Sainte"/>
    <s v="Atendido"/>
    <s v="Enviar E-mail"/>
    <m/>
    <s v="Agente"/>
    <n v="16"/>
    <m/>
    <m/>
    <d v="1899-12-30T00:00:22"/>
    <d v="1899-12-30T00:00:15"/>
    <n v="1"/>
    <x v="0"/>
  </r>
  <r>
    <d v="2026-04-20T10:23:33"/>
    <s v="3003 - FirjanAtivo"/>
    <s v="6044-Roseli Honorato Dos Santos"/>
    <m/>
    <m/>
    <n v="2774428717"/>
    <n v="177669141314021"/>
    <s v="(22) 99773-7282"/>
    <s v="(21) 2038-4382"/>
    <s v="Sainte"/>
    <s v="Atendido"/>
    <s v="Fora de Area / Cx de Mensagens"/>
    <m/>
    <s v="Cliente"/>
    <n v="16"/>
    <m/>
    <m/>
    <d v="1899-12-30T00:00:07"/>
    <d v="1899-12-30T00:00:04"/>
    <s v=""/>
    <x v="0"/>
  </r>
  <r>
    <d v="2026-04-20T10:26:34"/>
    <s v="3003 - FirjanAtivo"/>
    <s v="6044-Roseli Honorato Dos Santos"/>
    <m/>
    <m/>
    <n v="2774428899"/>
    <n v="177669159414341"/>
    <s v="(22) 99773-7282"/>
    <s v="(21) 2038-4382"/>
    <s v="Sainte"/>
    <s v="Atendido"/>
    <s v="Fora de Area / Cx de Mensagens"/>
    <m/>
    <s v="Cliente"/>
    <n v="16"/>
    <m/>
    <m/>
    <d v="1899-12-30T00:00:34"/>
    <d v="1899-12-30T00:00:04"/>
    <s v=""/>
    <x v="0"/>
  </r>
  <r>
    <d v="2026-04-20T10:28:46"/>
    <s v="3003 - FirjanAtivo"/>
    <s v="6044-Roseli Honorato Dos Santos"/>
    <m/>
    <m/>
    <n v="2758401836"/>
    <n v="177669172614761"/>
    <s v="(22) 98171-0088"/>
    <s v="(21) 2038-4382"/>
    <s v="Sainte"/>
    <s v="Atendido"/>
    <s v="Fora de Area / Cx de Mensagens"/>
    <m/>
    <s v="Agente"/>
    <n v="16"/>
    <m/>
    <m/>
    <d v="1899-12-30T00:00:34"/>
    <d v="1899-12-30T00:00:11"/>
    <s v=""/>
    <x v="0"/>
  </r>
  <r>
    <d v="2026-04-20T10:30:39"/>
    <s v="3003 - FirjanAtivo"/>
    <s v="6044-Roseli Honorato Dos Santos"/>
    <m/>
    <m/>
    <n v="2741310626"/>
    <n v="177669179114991"/>
    <s v="(21) 96461-8814"/>
    <s v="(21) 2038-4382"/>
    <s v="Sainte"/>
    <s v="Ocupado"/>
    <s v="Ocupado"/>
    <m/>
    <s v="Cliente"/>
    <n v="19"/>
    <m/>
    <m/>
    <d v="1899-12-30T00:00:01"/>
    <s v="---"/>
    <s v=""/>
    <x v="0"/>
  </r>
  <r>
    <d v="2026-04-20T10:31:42"/>
    <s v="3003 - FirjanAtivo"/>
    <s v="6044-Roseli Honorato Dos Santos"/>
    <m/>
    <m/>
    <n v="2741310688"/>
    <n v="177669185315091"/>
    <s v="(21) 96461-8814"/>
    <s v="(21) 2038-4382"/>
    <s v="Sainte"/>
    <s v="Ocupado"/>
    <s v="Ocupado"/>
    <m/>
    <s v="Cliente"/>
    <n v="19"/>
    <m/>
    <m/>
    <d v="1899-12-30T00:00:01"/>
    <s v="---"/>
    <s v=""/>
    <x v="0"/>
  </r>
  <r>
    <d v="2026-04-20T10:32:14"/>
    <s v="3003 - FirjanAtivo"/>
    <s v="6044-Roseli Honorato Dos Santos"/>
    <m/>
    <m/>
    <n v="2750734961"/>
    <n v="177669193415371"/>
    <s v="(24) 97404-3002"/>
    <s v="(21) 2038-4382"/>
    <s v="Sainte"/>
    <s v="Atendido"/>
    <s v="Tel Não Atende / Ocupado"/>
    <m/>
    <s v="Cliente"/>
    <n v="16"/>
    <m/>
    <m/>
    <d v="1899-12-30T00:03:32"/>
    <d v="1899-12-30T00:03:05"/>
    <s v=""/>
    <x v="0"/>
  </r>
  <r>
    <d v="2026-04-20T10:38:45"/>
    <s v="3003 - FirjanAtivo"/>
    <s v="6044-Roseli Honorato Dos Santos"/>
    <m/>
    <m/>
    <n v="2758065522"/>
    <n v="177669232516281"/>
    <s v="(22) 98137-3174"/>
    <s v="(21) 2038-4382"/>
    <s v="Sainte"/>
    <s v="Atendido"/>
    <s v="Enviar E-mail"/>
    <m/>
    <s v="Cliente"/>
    <n v="16"/>
    <m/>
    <m/>
    <d v="1899-12-30T00:02:26"/>
    <d v="1899-12-30T00:02:08"/>
    <n v="1"/>
    <x v="0"/>
  </r>
  <r>
    <d v="2026-04-20T10:43:46"/>
    <s v="3003 - FirjanAtivo"/>
    <s v="6044-Roseli Honorato Dos Santos"/>
    <m/>
    <m/>
    <n v="2757867093"/>
    <n v="177669262616681"/>
    <s v="(24) 98117-4443"/>
    <s v="(21) 2038-4382"/>
    <s v="Sainte"/>
    <s v="Atendido"/>
    <s v="Tel Não Atende / Ocupado"/>
    <m/>
    <s v="Cliente"/>
    <n v="16"/>
    <m/>
    <m/>
    <d v="1899-12-30T00:00:25"/>
    <d v="1899-12-30T00:00:10"/>
    <s v=""/>
    <x v="0"/>
  </r>
  <r>
    <d v="2026-04-20T10:49:25"/>
    <s v="3003 - FirjanAtivo"/>
    <s v="6044-Roseli Honorato Dos Santos"/>
    <m/>
    <m/>
    <n v="2765018144"/>
    <n v="177669296517251"/>
    <s v="(22) 98832-5157"/>
    <s v="(21) 2038-4382"/>
    <s v="Sainte"/>
    <s v="Atendido"/>
    <s v="Fora de Area / Cx de Mensagens"/>
    <m/>
    <s v="Agente"/>
    <n v="16"/>
    <m/>
    <m/>
    <d v="1899-12-30T00:00:33"/>
    <d v="1899-12-30T00:00:10"/>
    <s v=""/>
    <x v="0"/>
  </r>
  <r>
    <d v="2026-04-20T11:01:15"/>
    <s v="3003 - FirjanAtivo"/>
    <s v="6044-Roseli Honorato Dos Santos"/>
    <m/>
    <m/>
    <n v="2765018854"/>
    <n v="177669367518461"/>
    <s v="(22) 98832-5157"/>
    <s v="(21) 2038-4382"/>
    <s v="Sainte"/>
    <s v="Atendido"/>
    <s v="Fora de Area / Cx de Mensagens"/>
    <m/>
    <s v="Agente"/>
    <n v="16"/>
    <m/>
    <m/>
    <d v="1899-12-30T00:01:15"/>
    <d v="1899-12-30T00:00:56"/>
    <s v=""/>
    <x v="0"/>
  </r>
  <r>
    <d v="2026-04-20T11:02:06"/>
    <s v="3003 - FirjanAtivo"/>
    <s v="6052-Marcia Lima Peixoto"/>
    <m/>
    <m/>
    <n v="2759110680"/>
    <n v="177669367718481"/>
    <s v="(21) 98241-6981"/>
    <s v="(21) 2038-4382"/>
    <s v="Sainte"/>
    <s v="Ocupado"/>
    <s v="Ocupado"/>
    <m/>
    <s v="Cliente"/>
    <n v="19"/>
    <m/>
    <m/>
    <d v="1899-12-30T00:00:01"/>
    <s v="---"/>
    <s v=""/>
    <x v="0"/>
  </r>
  <r>
    <d v="2026-04-20T11:02:31"/>
    <s v="3003 - FirjanAtivo"/>
    <s v="6052-Marcia Lima Peixoto"/>
    <m/>
    <m/>
    <n v="2758112224"/>
    <n v="177669375118541"/>
    <s v="(22) 98141-8451"/>
    <s v="(21) 2038-4382"/>
    <s v="Sainte"/>
    <s v="Não Atendeu"/>
    <s v="Não Atendeu"/>
    <m/>
    <s v="Agente"/>
    <n v="19"/>
    <m/>
    <m/>
    <d v="1899-12-30T00:00:09"/>
    <s v="---"/>
    <s v=""/>
    <x v="0"/>
  </r>
  <r>
    <d v="2026-04-20T11:02:55"/>
    <s v="3003 - FirjanAtivo"/>
    <s v="6052-Marcia Lima Peixoto"/>
    <m/>
    <m/>
    <n v="2776260521"/>
    <n v="177669377518571"/>
    <s v="(22) 99956-6724"/>
    <s v="(21) 2038-4382"/>
    <s v="Sainte"/>
    <s v="Atendido"/>
    <s v="Fora de Area / Cx de Mensagens"/>
    <m/>
    <s v="Agente"/>
    <n v="16"/>
    <m/>
    <m/>
    <d v="1899-12-30T00:00:08"/>
    <d v="1899-12-30T00:00:06"/>
    <s v=""/>
    <x v="0"/>
  </r>
  <r>
    <d v="2026-04-20T11:03:09"/>
    <s v="3003 - FirjanAtivo"/>
    <s v="6044-Roseli Honorato Dos Santos"/>
    <m/>
    <m/>
    <n v="2765018968"/>
    <n v="177669378918601"/>
    <s v="(22) 98832-5157"/>
    <s v="(21) 2038-4382"/>
    <s v="Sainte"/>
    <s v="Atendido"/>
    <s v="Fora de Area / Cx de Mensagens"/>
    <m/>
    <s v="Agente"/>
    <n v="16"/>
    <m/>
    <m/>
    <d v="1899-12-30T00:00:42"/>
    <d v="1899-12-30T00:00:22"/>
    <s v=""/>
    <x v="0"/>
  </r>
  <r>
    <d v="2026-04-20T11:03:24"/>
    <s v="3003 - FirjanAtivo"/>
    <s v="6052-Marcia Lima Peixoto"/>
    <m/>
    <m/>
    <n v="2768739625"/>
    <n v="177669380418621"/>
    <s v="(21) 99204-5800"/>
    <s v="(21) 2038-4382"/>
    <s v="Sainte"/>
    <s v="Atendido"/>
    <s v="Tel Não Atende / Ocupado"/>
    <m/>
    <s v="Cliente"/>
    <n v="16"/>
    <m/>
    <m/>
    <d v="1899-12-30T00:00:14"/>
    <d v="1899-12-30T00:00:06"/>
    <s v=""/>
    <x v="0"/>
  </r>
  <r>
    <d v="2026-04-20T11:03:54"/>
    <s v="3003 - FirjanAtivo"/>
    <s v="6052-Marcia Lima Peixoto"/>
    <m/>
    <m/>
    <n v="2768739656"/>
    <n v="177669383418841"/>
    <s v="(21) 99204-5800"/>
    <s v="(21) 2038-4382"/>
    <s v="Sainte"/>
    <s v="Atendido"/>
    <s v="Enviar E-mail"/>
    <m/>
    <s v="Agente"/>
    <n v="16"/>
    <m/>
    <m/>
    <d v="1899-12-30T00:02:34"/>
    <d v="1899-12-30T00:02:26"/>
    <n v="1"/>
    <x v="0"/>
  </r>
  <r>
    <d v="2026-04-20T11:04:12"/>
    <s v="3003 - FirjanAtivo"/>
    <s v="6044-Roseli Honorato Dos Santos"/>
    <m/>
    <m/>
    <n v="2758139209"/>
    <n v="177669385218931"/>
    <s v="(22) 98144-5335"/>
    <s v="(21) 2038-4382"/>
    <s v="Sainte"/>
    <s v="Atendido"/>
    <s v="Fora de Area / Cx de Mensagens"/>
    <m/>
    <s v="Agente"/>
    <n v="16"/>
    <m/>
    <m/>
    <d v="1899-12-30T00:00:18"/>
    <d v="1899-12-30T00:00:15"/>
    <s v=""/>
    <x v="0"/>
  </r>
  <r>
    <d v="2026-04-20T11:04:53"/>
    <s v="3003 - FirjanAtivo"/>
    <s v="6044-Roseli Honorato Dos Santos"/>
    <m/>
    <m/>
    <n v="2750716967"/>
    <n v="177669389319041"/>
    <s v="(24) 97402-3050"/>
    <s v="(21) 2038-4382"/>
    <s v="Sainte"/>
    <s v="Atendido"/>
    <s v="Fora de Area / Cx de Mensagens"/>
    <m/>
    <s v="Cliente"/>
    <n v="16"/>
    <m/>
    <m/>
    <d v="1899-12-30T00:02:04"/>
    <d v="1899-12-30T00:02:01"/>
    <s v=""/>
    <x v="0"/>
  </r>
  <r>
    <d v="2026-04-20T11:08:08"/>
    <s v="3003 - FirjanAtivo"/>
    <s v="6052-Marcia Lima Peixoto"/>
    <m/>
    <m/>
    <n v="1875296414"/>
    <n v="177669408819851"/>
    <s v="(21) 99860-2307"/>
    <s v="(21) 2038-4382"/>
    <s v="Sainte"/>
    <s v="Não Atendeu"/>
    <s v="Não Atendeu"/>
    <m/>
    <s v="Cliente"/>
    <n v="1"/>
    <m/>
    <m/>
    <d v="1899-12-30T00:00:01"/>
    <s v="---"/>
    <s v=""/>
    <x v="0"/>
  </r>
  <r>
    <d v="2026-04-20T11:08:17"/>
    <s v="3003 - FirjanAtivo"/>
    <s v="6052-Marcia Lima Peixoto"/>
    <m/>
    <m/>
    <n v="2775296426"/>
    <n v="177669409719981"/>
    <s v="(21) 99860-2307"/>
    <s v="(21) 2038-4382"/>
    <s v="Sainte"/>
    <s v="Atendido"/>
    <s v="Tel Não Atende / Ocupado"/>
    <m/>
    <s v="Agente"/>
    <n v="16"/>
    <m/>
    <m/>
    <d v="1899-12-30T00:00:24"/>
    <d v="1899-12-30T00:00:17"/>
    <s v=""/>
    <x v="0"/>
  </r>
  <r>
    <d v="2026-04-20T11:09:07"/>
    <s v="3003 - FirjanAtivo"/>
    <s v="6052-Marcia Lima Peixoto"/>
    <m/>
    <m/>
    <n v="2776162430"/>
    <n v="177669414720061"/>
    <s v="(22) 99946-8260"/>
    <s v="(21) 2038-4382"/>
    <s v="Sainte"/>
    <s v="Atendido"/>
    <s v="Fora de Area / Cx de Mensagens"/>
    <m/>
    <s v="Agente"/>
    <n v="16"/>
    <m/>
    <m/>
    <d v="1899-12-30T00:00:26"/>
    <d v="1899-12-30T00:00:03"/>
    <s v=""/>
    <x v="0"/>
  </r>
  <r>
    <d v="2026-04-20T11:09:10"/>
    <s v="3003 - FirjanAtivo"/>
    <s v="6044-Roseli Honorato Dos Santos"/>
    <m/>
    <m/>
    <n v="2750717224"/>
    <n v="177669415020081"/>
    <s v="(24) 97402-3050"/>
    <s v="(21) 2038-4382"/>
    <s v="Sainte"/>
    <s v="Atendido"/>
    <s v="Fora de Area / Cx de Mensagens"/>
    <m/>
    <s v="Cliente"/>
    <n v="16"/>
    <m/>
    <m/>
    <d v="1899-12-30T00:00:37"/>
    <d v="1899-12-30T00:00:34"/>
    <s v=""/>
    <x v="0"/>
  </r>
  <r>
    <d v="2026-04-20T11:09:51"/>
    <s v="3003 - FirjanAtivo"/>
    <s v="6052-Marcia Lima Peixoto"/>
    <m/>
    <m/>
    <n v="2772270427"/>
    <n v="177669419120191"/>
    <s v="(21) 99557-6215"/>
    <s v="(21) 2038-4382"/>
    <s v="Sainte"/>
    <s v="Não Atendeu"/>
    <s v="Não Atendeu"/>
    <m/>
    <s v="Agente"/>
    <n v="19"/>
    <m/>
    <m/>
    <d v="1899-12-30T00:00:09"/>
    <s v="---"/>
    <s v=""/>
    <x v="0"/>
  </r>
  <r>
    <d v="2026-04-20T11:10:07"/>
    <s v="3003 - FirjanAtivo"/>
    <s v="6044-Roseli Honorato Dos Santos"/>
    <m/>
    <m/>
    <n v="2775151972"/>
    <n v="177669420720281"/>
    <s v="(22) 99845-7743"/>
    <s v="(21) 2038-4382"/>
    <s v="Sainte"/>
    <s v="Atendido"/>
    <s v="Enviar E-mail"/>
    <m/>
    <s v="Agente"/>
    <n v="16"/>
    <m/>
    <m/>
    <d v="1899-12-30T00:02:39"/>
    <d v="1899-12-30T00:02:29"/>
    <n v="1"/>
    <x v="0"/>
  </r>
  <r>
    <d v="2026-04-20T11:10:13"/>
    <s v="3003 - FirjanAtivo"/>
    <s v="6052-Marcia Lima Peixoto"/>
    <m/>
    <m/>
    <n v="2757706531"/>
    <n v="177669421320301"/>
    <s v="(22) 98101-2296"/>
    <s v="(21) 2038-4382"/>
    <s v="Sainte"/>
    <s v="Atendido"/>
    <s v="Fora de Area / Cx de Mensagens"/>
    <m/>
    <s v="Agente"/>
    <n v="16"/>
    <m/>
    <m/>
    <d v="1899-12-30T00:00:08"/>
    <d v="1899-12-30T00:00:03"/>
    <s v=""/>
    <x v="0"/>
  </r>
  <r>
    <d v="2026-04-20T11:10:40"/>
    <s v="3003 - FirjanAtivo"/>
    <s v="6052-Marcia Lima Peixoto"/>
    <m/>
    <m/>
    <n v="2759894304"/>
    <n v="177669424020461"/>
    <s v="(21) 98320-0043"/>
    <s v="(21) 2038-4382"/>
    <s v="Sainte"/>
    <s v="Atendido"/>
    <s v="Fora de Area / Cx de Mensagens"/>
    <m/>
    <s v="Agente"/>
    <n v="16"/>
    <m/>
    <m/>
    <d v="1899-12-30T00:00:05"/>
    <d v="1899-12-30T00:00:01"/>
    <s v=""/>
    <x v="0"/>
  </r>
  <r>
    <d v="2026-04-20T11:11:02"/>
    <s v="3003 - FirjanAtivo"/>
    <s v="6052-Marcia Lima Peixoto"/>
    <m/>
    <m/>
    <n v="2769572734"/>
    <n v="177669426220501"/>
    <s v="(22) 99287-8450"/>
    <s v="(21) 2038-4382"/>
    <s v="Sainte"/>
    <s v="Não Atendeu"/>
    <s v="Não Atendeu"/>
    <m/>
    <s v="Agente"/>
    <n v="19"/>
    <m/>
    <m/>
    <d v="1899-12-30T00:00:35"/>
    <s v="---"/>
    <s v=""/>
    <x v="0"/>
  </r>
  <r>
    <d v="2026-04-20T11:11:49"/>
    <s v="3003 - FirjanAtivo"/>
    <s v="6052-Marcia Lima Peixoto"/>
    <m/>
    <m/>
    <n v="2764100085"/>
    <n v="177669430920611"/>
    <s v="(21) 98740-5755"/>
    <s v="(21) 2038-4382"/>
    <s v="Sainte"/>
    <s v="Atendido"/>
    <s v="Enviar E-mail"/>
    <m/>
    <s v="Agente"/>
    <n v="16"/>
    <m/>
    <m/>
    <d v="1899-12-30T00:03:04"/>
    <d v="1899-12-30T00:02:57"/>
    <n v="1"/>
    <x v="0"/>
  </r>
  <r>
    <d v="2026-04-20T11:14:14"/>
    <s v="3003 - FirjanAtivo"/>
    <s v="6044-Roseli Honorato Dos Santos"/>
    <m/>
    <m/>
    <n v="2709563101"/>
    <n v="177669445420681"/>
    <s v="(11) 93286-8636"/>
    <s v="(21) 2038-4382"/>
    <s v="Sainte"/>
    <s v="Atendido"/>
    <s v="Enviar E-mail"/>
    <m/>
    <s v="Agente"/>
    <n v="16"/>
    <m/>
    <m/>
    <d v="1899-12-30T00:02:37"/>
    <d v="1899-12-30T00:02:16"/>
    <n v="1"/>
    <x v="0"/>
  </r>
  <r>
    <d v="2026-04-20T11:16:22"/>
    <s v="3003 - FirjanAtivo"/>
    <s v="6052-Marcia Lima Peixoto"/>
    <m/>
    <m/>
    <n v="2776391605"/>
    <n v="177669458220931"/>
    <s v="(24) 99969-6999"/>
    <s v="(21) 2038-4382"/>
    <s v="Sainte"/>
    <s v="Não Atendeu"/>
    <s v="Não Atendeu"/>
    <m/>
    <s v="Agente"/>
    <n v="19"/>
    <m/>
    <m/>
    <d v="1899-12-30T00:00:35"/>
    <s v="---"/>
    <s v=""/>
    <x v="0"/>
  </r>
  <r>
    <d v="2026-04-20T11:17:22"/>
    <s v="3003 - FirjanAtivo"/>
    <s v="6052-Marcia Lima Peixoto"/>
    <m/>
    <m/>
    <n v="2776411775"/>
    <n v="177669464221211"/>
    <s v="(22) 99971-7111"/>
    <s v="(21) 2038-4382"/>
    <s v="Sainte"/>
    <s v="Atendido"/>
    <s v="Fora de Area / Cx de Mensagens"/>
    <m/>
    <s v="Agente"/>
    <n v="16"/>
    <m/>
    <m/>
    <d v="1899-12-30T00:00:11"/>
    <d v="1899-12-30T00:00:07"/>
    <s v=""/>
    <x v="0"/>
  </r>
  <r>
    <d v="2026-04-20T11:17:59"/>
    <s v="3003 - FirjanAtivo"/>
    <s v="6052-Marcia Lima Peixoto"/>
    <m/>
    <m/>
    <n v="2006680388"/>
    <n v="177669467821251"/>
    <s v="(55) 22998-5655"/>
    <s v="(21) 2038-4382"/>
    <s v="Sainte"/>
    <s v="Não Atendeu"/>
    <s v="Não Atendeu"/>
    <m/>
    <s v="Cliente"/>
    <n v="1"/>
    <m/>
    <m/>
    <d v="1899-12-30T00:00:01"/>
    <s v="---"/>
    <s v=""/>
    <x v="0"/>
  </r>
  <r>
    <d v="2026-04-20T11:18:06"/>
    <s v="3003 - FirjanAtivo"/>
    <s v="6044-Roseli Honorato Dos Santos"/>
    <m/>
    <m/>
    <n v="2776481505"/>
    <n v="177669468621291"/>
    <s v="(22) 99978-6797"/>
    <s v="(21) 2038-4382"/>
    <s v="Sainte"/>
    <s v="Atendido"/>
    <s v="Fora de Area / Cx de Mensagens"/>
    <m/>
    <s v="Cliente"/>
    <n v="16"/>
    <m/>
    <m/>
    <d v="1899-12-30T00:00:27"/>
    <d v="1899-12-30T00:00:10"/>
    <s v=""/>
    <x v="0"/>
  </r>
  <r>
    <d v="2026-04-20T11:18:08"/>
    <s v="3003 - FirjanAtivo"/>
    <s v="6052-Marcia Lima Peixoto"/>
    <m/>
    <m/>
    <n v="2006680396"/>
    <n v="177669468621311"/>
    <s v="(55) 22998-5655"/>
    <s v="(21) 2038-4382"/>
    <s v="Sainte"/>
    <s v="Não Atendeu"/>
    <s v="Não Atendeu"/>
    <m/>
    <s v="Cliente"/>
    <n v="1"/>
    <m/>
    <m/>
    <d v="1899-12-30T00:00:01"/>
    <s v="---"/>
    <s v=""/>
    <x v="0"/>
  </r>
  <r>
    <d v="2026-04-20T11:18:51"/>
    <s v="3003 - FirjanAtivo"/>
    <s v="6052-Marcia Lima Peixoto"/>
    <m/>
    <m/>
    <n v="2757746263"/>
    <n v="177669473121451"/>
    <s v="(24) 98105-1508"/>
    <s v="(21) 2038-4382"/>
    <s v="Sainte"/>
    <s v="Atendido"/>
    <s v="Fora de Area / Cx de Mensagens"/>
    <m/>
    <s v="Agente"/>
    <n v="16"/>
    <m/>
    <m/>
    <d v="1899-12-30T00:00:12"/>
    <s v="---"/>
    <s v=""/>
    <x v="0"/>
  </r>
  <r>
    <d v="2026-04-20T11:19:25"/>
    <s v="3003 - FirjanAtivo"/>
    <s v="6052-Marcia Lima Peixoto"/>
    <m/>
    <m/>
    <n v="2764719131"/>
    <n v="177669476521541"/>
    <s v="(24) 98802-4342"/>
    <s v="(21) 2038-4382"/>
    <s v="Sainte"/>
    <s v="Atendido"/>
    <s v="Fora de Area / Cx de Mensagens"/>
    <m/>
    <s v="Agente"/>
    <n v="16"/>
    <m/>
    <m/>
    <d v="1899-12-30T00:00:15"/>
    <s v="---"/>
    <s v=""/>
    <x v="0"/>
  </r>
  <r>
    <d v="2026-04-20T11:20:01"/>
    <s v="3003 - FirjanAtivo"/>
    <s v="6052-Marcia Lima Peixoto"/>
    <m/>
    <m/>
    <n v="2776679797"/>
    <n v="177669480121631"/>
    <s v="(24) 99998-4972"/>
    <s v="(21) 2038-4382"/>
    <s v="Sainte"/>
    <s v="Atendido"/>
    <s v="Enviar E-mail"/>
    <m/>
    <s v="Agente"/>
    <n v="16"/>
    <m/>
    <m/>
    <d v="1899-12-30T00:03:03"/>
    <d v="1899-12-30T00:02:47"/>
    <n v="1"/>
    <x v="0"/>
  </r>
  <r>
    <d v="2026-04-20T11:20:25"/>
    <s v="3003 - FirjanAtivo"/>
    <s v="6044-Roseli Honorato Dos Santos"/>
    <m/>
    <m/>
    <n v="2775861556"/>
    <n v="177669482521661"/>
    <s v="(22) 99916-6709"/>
    <s v="(21) 2038-4382"/>
    <s v="Sainte"/>
    <s v="Atendido"/>
    <s v="Fora de Area / Cx de Mensagens"/>
    <m/>
    <s v="Agente"/>
    <n v="16"/>
    <m/>
    <m/>
    <d v="1899-12-30T00:00:21"/>
    <d v="1899-12-30T00:00:06"/>
    <s v=""/>
    <x v="0"/>
  </r>
  <r>
    <d v="2026-04-20T11:21:05"/>
    <s v="3003 - FirjanAtivo"/>
    <s v="6044-Roseli Honorato Dos Santos"/>
    <m/>
    <m/>
    <n v="2769392073"/>
    <n v="177669486521751"/>
    <s v="(24) 99269-7184"/>
    <s v="(21) 2038-4382"/>
    <s v="Sainte"/>
    <s v="Atendido"/>
    <s v="Fora de Area / Cx de Mensagens"/>
    <m/>
    <s v="Agente"/>
    <n v="16"/>
    <m/>
    <m/>
    <d v="1899-12-30T00:00:41"/>
    <d v="1899-12-30T00:00:05"/>
    <s v=""/>
    <x v="0"/>
  </r>
  <r>
    <d v="2026-04-20T11:23:45"/>
    <s v="3003 - FirjanAtivo"/>
    <s v="6052-Marcia Lima Peixoto"/>
    <m/>
    <m/>
    <n v="2758505577"/>
    <n v="177669502522091"/>
    <s v="(24) 98181-0528"/>
    <s v="(21) 2038-4382"/>
    <s v="Sainte"/>
    <s v="Não Atendeu"/>
    <s v="Não Atendeu"/>
    <m/>
    <s v="Agente"/>
    <n v="19"/>
    <m/>
    <m/>
    <d v="1899-12-30T00:00:30"/>
    <s v="---"/>
    <s v=""/>
    <x v="0"/>
  </r>
  <r>
    <d v="2026-04-20T11:24:09"/>
    <s v="3003 - FirjanAtivo"/>
    <s v="6044-Roseli Honorato Dos Santos"/>
    <m/>
    <m/>
    <n v="2769392257"/>
    <n v="177669504922171"/>
    <s v="(24) 99269-7184"/>
    <s v="(21) 2038-4382"/>
    <s v="Sainte"/>
    <s v="Atendido"/>
    <s v="Fora de Area / Cx de Mensagens"/>
    <m/>
    <s v="Agente"/>
    <n v="16"/>
    <m/>
    <m/>
    <d v="1899-12-30T00:00:37"/>
    <d v="1899-12-30T00:00:13"/>
    <s v=""/>
    <x v="0"/>
  </r>
  <r>
    <d v="2026-04-20T11:24:28"/>
    <s v="3003 - FirjanAtivo"/>
    <s v="6052-Marcia Lima Peixoto"/>
    <m/>
    <m/>
    <n v="2775195247"/>
    <n v="177669506822231"/>
    <s v="(24) 99850-0155"/>
    <s v="(21) 2038-4382"/>
    <s v="Sainte"/>
    <s v="Atendido"/>
    <s v="Retornar"/>
    <m/>
    <s v="Cliente"/>
    <n v="16"/>
    <m/>
    <m/>
    <d v="1899-12-30T00:00:46"/>
    <d v="1899-12-30T00:00:36"/>
    <s v=""/>
    <x v="0"/>
  </r>
  <r>
    <d v="2026-04-20T11:26:25"/>
    <s v="3003 - FirjanAtivo"/>
    <s v="6052-Marcia Lima Peixoto"/>
    <m/>
    <m/>
    <n v="2769451210"/>
    <n v="177669518522451"/>
    <s v="(24) 99275-6001"/>
    <s v="(21) 2038-4382"/>
    <s v="Sainte"/>
    <s v="Atendido"/>
    <s v="Fora de Area / Cx de Mensagens"/>
    <m/>
    <s v="Agente"/>
    <n v="16"/>
    <m/>
    <m/>
    <d v="1899-12-30T00:00:18"/>
    <d v="1899-12-30T00:00:01"/>
    <s v=""/>
    <x v="0"/>
  </r>
  <r>
    <d v="2026-04-20T11:27:00"/>
    <s v="3003 - FirjanAtivo"/>
    <s v="6044-Roseli Honorato Dos Santos"/>
    <m/>
    <m/>
    <n v="2772881653"/>
    <n v="177669522022521"/>
    <s v="(21) 99618-6412"/>
    <s v="(21) 2038-4382"/>
    <s v="Sainte"/>
    <s v="Atendido"/>
    <s v="Fora de Area / Cx de Mensagens"/>
    <m/>
    <s v="Cliente"/>
    <n v="16"/>
    <m/>
    <m/>
    <d v="1899-12-30T00:00:48"/>
    <d v="1899-12-30T00:00:10"/>
    <s v=""/>
    <x v="0"/>
  </r>
  <r>
    <d v="2026-04-20T11:27:06"/>
    <s v="3003 - FirjanAtivo"/>
    <s v="6052-Marcia Lima Peixoto"/>
    <m/>
    <m/>
    <n v="2774068075"/>
    <n v="177669522622541"/>
    <s v="(22) 99737-2827"/>
    <s v="(21) 2038-4382"/>
    <s v="Sainte"/>
    <s v="Não Atendeu"/>
    <s v="Não Atendeu"/>
    <m/>
    <s v="Agente"/>
    <n v="19"/>
    <m/>
    <m/>
    <d v="1899-12-30T00:00:40"/>
    <s v="---"/>
    <s v=""/>
    <x v="0"/>
  </r>
  <r>
    <d v="2026-04-20T11:27:59"/>
    <s v="3003 - FirjanAtivo"/>
    <s v="6052-Marcia Lima Peixoto"/>
    <m/>
    <m/>
    <n v="2761664154"/>
    <n v="177669527922641"/>
    <s v="(21) 98496-8854"/>
    <s v="(21) 2038-4382"/>
    <s v="Sainte"/>
    <s v="Atendido"/>
    <s v="Formulário Preenchido"/>
    <m/>
    <s v="Agente"/>
    <n v="16"/>
    <m/>
    <m/>
    <d v="1899-12-30T00:02:45"/>
    <d v="1899-12-30T00:02:32"/>
    <s v=""/>
    <x v="0"/>
  </r>
  <r>
    <d v="2026-04-20T11:30:40"/>
    <s v="3003 - FirjanAtivo"/>
    <s v="6044-Roseli Honorato Dos Santos"/>
    <m/>
    <m/>
    <n v="2768888016"/>
    <n v="177669544022921"/>
    <s v="(24) 99219-2552"/>
    <s v="(21) 2038-4382"/>
    <s v="Sainte"/>
    <s v="Atendido"/>
    <s v="Fora de Area / Cx de Mensagens"/>
    <m/>
    <s v="Agente"/>
    <n v="16"/>
    <m/>
    <m/>
    <d v="1899-12-30T00:00:47"/>
    <d v="1899-12-30T00:00:44"/>
    <s v=""/>
    <x v="0"/>
  </r>
  <r>
    <d v="2026-04-20T11:31:51"/>
    <s v="3003 - FirjanAtivo"/>
    <s v="6044-Roseli Honorato Dos Santos"/>
    <m/>
    <m/>
    <n v="2772165791"/>
    <n v="177669551123021"/>
    <s v="(21) 99547-0259"/>
    <s v="(21) 2038-4382"/>
    <s v="Sainte"/>
    <s v="Atendido"/>
    <s v="Enviar E-mail"/>
    <m/>
    <s v="Agente"/>
    <n v="16"/>
    <m/>
    <m/>
    <d v="1899-12-30T00:02:24"/>
    <d v="1899-12-30T00:02:13"/>
    <n v="1"/>
    <x v="0"/>
  </r>
  <r>
    <d v="2026-04-20T11:38:54"/>
    <s v="3003 - FirjanAtivo"/>
    <s v="6044-Roseli Honorato Dos Santos"/>
    <m/>
    <m/>
    <n v="2758296121"/>
    <n v="177669593424021"/>
    <s v="(21) 98160-0166"/>
    <s v="(21) 2038-4382"/>
    <s v="Sainte"/>
    <s v="Atendido"/>
    <s v="Fora de Area / Cx de Mensagens"/>
    <m/>
    <s v="Agente"/>
    <n v="16"/>
    <m/>
    <m/>
    <d v="1899-12-30T00:00:41"/>
    <d v="1899-12-30T00:00:22"/>
    <s v=""/>
    <x v="0"/>
  </r>
  <r>
    <d v="2026-04-20T11:40:45"/>
    <s v="3003 - FirjanAtivo"/>
    <s v="6052-Marcia Lima Peixoto"/>
    <m/>
    <m/>
    <n v="2769810272"/>
    <n v="177669604524401"/>
    <s v="(21) 99311-4206"/>
    <s v="(21) 2038-4382"/>
    <s v="Sainte"/>
    <s v="Não Atendeu"/>
    <s v="Não Atendeu"/>
    <m/>
    <s v="Agente"/>
    <n v="19"/>
    <m/>
    <m/>
    <d v="1899-12-30T00:00:37"/>
    <s v="---"/>
    <s v=""/>
    <x v="0"/>
  </r>
  <r>
    <d v="2026-04-20T11:41:34"/>
    <s v="3003 - FirjanAtivo"/>
    <s v="6052-Marcia Lima Peixoto"/>
    <m/>
    <m/>
    <n v="2755869115"/>
    <n v="177669609424501"/>
    <s v="(21) 97917-3000"/>
    <s v="(21) 2038-4382"/>
    <s v="Sainte"/>
    <s v="Atendido"/>
    <s v="INFORMADO"/>
    <m/>
    <s v="Cliente"/>
    <n v="16"/>
    <m/>
    <m/>
    <d v="1899-12-30T00:01:46"/>
    <d v="1899-12-30T00:01:41"/>
    <s v=""/>
    <x v="0"/>
  </r>
  <r>
    <d v="2026-04-20T11:46:43"/>
    <s v="3003 - FirjanAtivo"/>
    <s v="6052-Marcia Lima Peixoto"/>
    <m/>
    <m/>
    <n v="2776258034"/>
    <n v="177669640324751"/>
    <s v="(24) 99956-1607"/>
    <s v="(21) 2038-4382"/>
    <s v="Sainte"/>
    <s v="Atendido"/>
    <s v="Fora de Area / Cx de Mensagens"/>
    <m/>
    <s v="Agente"/>
    <n v="16"/>
    <m/>
    <m/>
    <d v="1899-12-30T00:00:23"/>
    <d v="1899-12-30T00:00:02"/>
    <s v=""/>
    <x v="0"/>
  </r>
  <r>
    <d v="2026-04-20T11:47:23"/>
    <s v="3003 - FirjanAtivo"/>
    <s v="6052-Marcia Lima Peixoto"/>
    <m/>
    <m/>
    <n v="2765508182"/>
    <n v="177669644324841"/>
    <s v="(24) 98881-1715"/>
    <s v="(21) 2038-4382"/>
    <s v="Sainte"/>
    <s v="Não Atendeu"/>
    <s v="Não Atendeu"/>
    <m/>
    <s v="Agente"/>
    <n v="19"/>
    <m/>
    <m/>
    <d v="1899-12-30T00:00:05"/>
    <s v="---"/>
    <s v=""/>
    <x v="0"/>
  </r>
  <r>
    <d v="2026-04-20T11:47:51"/>
    <s v="3003 - FirjanAtivo"/>
    <s v="6052-Marcia Lima Peixoto"/>
    <m/>
    <m/>
    <n v="2775814440"/>
    <n v="177669647124931"/>
    <s v="(24) 99911-7945"/>
    <s v="(21) 2038-4382"/>
    <s v="Sainte"/>
    <s v="Não Atendeu"/>
    <s v="Não Atendeu"/>
    <m/>
    <s v="Agente"/>
    <n v="19"/>
    <m/>
    <m/>
    <d v="1899-12-30T00:00:37"/>
    <s v="---"/>
    <s v=""/>
    <x v="0"/>
  </r>
  <r>
    <d v="2026-04-20T11:48:02"/>
    <s v="3003 - FirjanAtivo"/>
    <s v="6044-Roseli Honorato Dos Santos"/>
    <m/>
    <m/>
    <n v="2758296669"/>
    <n v="177669648224951"/>
    <s v="(21) 98160-0166"/>
    <s v="(21) 2038-4382"/>
    <s v="Sainte"/>
    <s v="Atendido"/>
    <s v="Fora de Area / Cx de Mensagens"/>
    <m/>
    <s v="Agente"/>
    <n v="16"/>
    <m/>
    <m/>
    <d v="1899-12-30T00:00:37"/>
    <d v="1899-12-30T00:00:19"/>
    <s v=""/>
    <x v="0"/>
  </r>
  <r>
    <d v="2026-04-20T11:49:06"/>
    <s v="3003 - FirjanAtivo"/>
    <s v="6052-Marcia Lima Peixoto"/>
    <m/>
    <m/>
    <n v="2764723768"/>
    <n v="177669654625281"/>
    <s v="(22) 98802-7200"/>
    <s v="(21) 2038-4382"/>
    <s v="Sainte"/>
    <s v="Não Atendeu"/>
    <s v="Não Atendeu"/>
    <m/>
    <s v="Agente"/>
    <n v="19"/>
    <m/>
    <m/>
    <d v="1899-12-30T00:00:05"/>
    <s v="---"/>
    <s v=""/>
    <x v="0"/>
  </r>
  <r>
    <d v="2026-04-20T11:49:25"/>
    <s v="3003 - FirjanAtivo"/>
    <s v="6052-Marcia Lima Peixoto"/>
    <m/>
    <m/>
    <n v="2770593663"/>
    <n v="177669656525311"/>
    <s v="(21) 99389-7077"/>
    <s v="(21) 2038-4382"/>
    <s v="Sainte"/>
    <s v="Atendido"/>
    <s v="Enviar E-mail"/>
    <m/>
    <s v="Agente"/>
    <n v="16"/>
    <m/>
    <m/>
    <d v="1899-12-30T00:03:29"/>
    <d v="1899-12-30T00:03:24"/>
    <n v="1"/>
    <x v="0"/>
  </r>
  <r>
    <d v="2026-04-20T11:53:41"/>
    <s v="3003 - FirjanAtivo"/>
    <s v="6052-Marcia Lima Peixoto"/>
    <m/>
    <m/>
    <n v="2774286740"/>
    <n v="177669682125991"/>
    <s v="(22) 99758-9897"/>
    <s v="(21) 2038-4382"/>
    <s v="Sainte"/>
    <s v="Atendido"/>
    <s v="Fora de Area / Cx de Mensagens"/>
    <m/>
    <s v="Agente"/>
    <n v="16"/>
    <m/>
    <m/>
    <d v="1899-12-30T00:00:07"/>
    <d v="1899-12-30T00:00:03"/>
    <s v=""/>
    <x v="0"/>
  </r>
  <r>
    <d v="2026-04-20T11:54:19"/>
    <s v="3003 - FirjanAtivo"/>
    <s v="6052-Marcia Lima Peixoto"/>
    <m/>
    <m/>
    <n v="2768918752"/>
    <n v="177669685926181"/>
    <s v="(21) 99222-1872"/>
    <s v="(21) 2038-4382"/>
    <s v="Sainte"/>
    <s v="Atendido"/>
    <s v="Enviar E-mail"/>
    <m/>
    <s v="Agente"/>
    <n v="16"/>
    <m/>
    <m/>
    <d v="1899-12-30T00:03:43"/>
    <d v="1899-12-30T00:03:30"/>
    <n v="1"/>
    <x v="0"/>
  </r>
  <r>
    <d v="2026-04-20T11:54:25"/>
    <s v="3003 - FirjanAtivo"/>
    <s v="6044-Roseli Honorato Dos Santos"/>
    <m/>
    <m/>
    <n v="2776129707"/>
    <n v="177669686526201"/>
    <s v="(22) 99943-2820"/>
    <s v="(21) 2038-4382"/>
    <s v="Sainte"/>
    <s v="Atendido"/>
    <s v="Enviar E-mail"/>
    <m/>
    <s v="Cliente"/>
    <n v="16"/>
    <m/>
    <m/>
    <d v="1899-12-30T00:02:38"/>
    <d v="1899-12-30T00:02:15"/>
    <n v="1"/>
    <x v="0"/>
  </r>
  <r>
    <d v="2026-04-20T11:58:10"/>
    <s v="3003 - FirjanAtivo"/>
    <s v="6044-Roseli Honorato Dos Santos"/>
    <m/>
    <m/>
    <n v="2768708790"/>
    <n v="177669709026691"/>
    <s v="(24) 99201-1676"/>
    <s v="(21) 2038-4382"/>
    <s v="Sainte"/>
    <s v="Atendido"/>
    <s v="Enviar E-mail"/>
    <m/>
    <s v="Agente"/>
    <n v="16"/>
    <m/>
    <m/>
    <d v="1899-12-30T00:03:59"/>
    <d v="1899-12-30T00:03:45"/>
    <n v="1"/>
    <x v="0"/>
  </r>
  <r>
    <d v="2026-04-20T11:58:40"/>
    <s v="3003 - FirjanAtivo"/>
    <s v="6052-Marcia Lima Peixoto"/>
    <m/>
    <m/>
    <n v="2776530119"/>
    <n v="177669712026761"/>
    <s v="(24) 99983-2975"/>
    <s v="(21) 2038-4382"/>
    <s v="Sainte"/>
    <s v="Atendido"/>
    <s v="Retornar"/>
    <m/>
    <s v="Agente"/>
    <n v="16"/>
    <m/>
    <m/>
    <d v="1899-12-30T00:01:38"/>
    <d v="1899-12-30T00:01:26"/>
    <s v=""/>
    <x v="0"/>
  </r>
  <r>
    <d v="2026-04-20T12:00:57"/>
    <s v="3003 - FirjanAtivo"/>
    <s v="6052-Marcia Lima Peixoto"/>
    <m/>
    <m/>
    <n v="2768810208"/>
    <n v="177669725727081"/>
    <s v="(22) 99211-2929"/>
    <s v="(21) 2038-4382"/>
    <s v="Sainte"/>
    <s v="Atendido"/>
    <s v="Enviar E-mail"/>
    <m/>
    <s v="Agente"/>
    <n v="16"/>
    <m/>
    <m/>
    <d v="1899-12-30T00:03:45"/>
    <d v="1899-12-30T00:03:20"/>
    <n v="1"/>
    <x v="0"/>
  </r>
  <r>
    <d v="2026-04-20T12:03:46"/>
    <s v="3003 - FirjanAtivo"/>
    <s v="6044-Roseli Honorato Dos Santos"/>
    <m/>
    <m/>
    <n v="2775287528"/>
    <n v="177669742627281"/>
    <s v="(21) 99859-0081"/>
    <s v="(21) 2038-4382"/>
    <s v="Sainte"/>
    <s v="Atendido"/>
    <s v="Enviar E-mail"/>
    <m/>
    <s v="Agente"/>
    <n v="16"/>
    <m/>
    <m/>
    <d v="1899-12-30T00:02:30"/>
    <d v="1899-12-30T00:02:19"/>
    <n v="1"/>
    <x v="0"/>
  </r>
  <r>
    <d v="2026-04-20T12:06:45"/>
    <s v="3003 - FirjanAtivo"/>
    <s v="6052-Marcia Lima Peixoto"/>
    <m/>
    <m/>
    <n v="2741144071"/>
    <n v="177669760527771"/>
    <s v="(21) 96444-6445"/>
    <s v="(21) 2038-4382"/>
    <s v="Sainte"/>
    <s v="Atendido"/>
    <s v="Fora de Area / Cx de Mensagens"/>
    <m/>
    <s v="Agente"/>
    <n v="16"/>
    <m/>
    <m/>
    <d v="1899-12-30T00:00:52"/>
    <d v="1899-12-30T00:00:46"/>
    <s v=""/>
    <x v="0"/>
  </r>
  <r>
    <d v="2026-04-20T12:07:58"/>
    <s v="3003 - FirjanAtivo"/>
    <s v="6052-Marcia Lima Peixoto"/>
    <m/>
    <m/>
    <n v="2776625816"/>
    <n v="177669767827871"/>
    <s v="(24) 99992-8114"/>
    <s v="(21) 2038-4382"/>
    <s v="Sainte"/>
    <s v="Atendido"/>
    <s v="Tel Não Atende / Ocupado"/>
    <m/>
    <s v="Agente"/>
    <n v="16"/>
    <m/>
    <m/>
    <d v="1899-12-30T00:00:26"/>
    <d v="1899-12-30T00:00:04"/>
    <s v=""/>
    <x v="0"/>
  </r>
  <r>
    <d v="2026-04-20T12:08:57"/>
    <s v="3003 - FirjanAtivo"/>
    <s v="6052-Marcia Lima Peixoto"/>
    <m/>
    <m/>
    <n v="1875427039"/>
    <n v="177669773728021"/>
    <s v="(21) 99872-9283"/>
    <s v="(21) 2038-4382"/>
    <s v="Sainte"/>
    <s v="Não Atendeu"/>
    <s v="Não Atendeu"/>
    <m/>
    <s v="Cliente"/>
    <n v="1"/>
    <m/>
    <m/>
    <d v="1899-12-30T00:00:01"/>
    <s v="---"/>
    <s v=""/>
    <x v="0"/>
  </r>
  <r>
    <d v="2026-04-20T12:09:05"/>
    <s v="3003 - FirjanAtivo"/>
    <s v="6052-Marcia Lima Peixoto"/>
    <m/>
    <m/>
    <n v="2775427049"/>
    <n v="177669774528061"/>
    <s v="(21) 99872-9283"/>
    <s v="(21) 2038-4382"/>
    <s v="Sainte"/>
    <s v="Atendido"/>
    <s v="Enviar E-mail"/>
    <m/>
    <s v="Agente"/>
    <n v="16"/>
    <m/>
    <m/>
    <d v="1899-12-30T00:02:26"/>
    <d v="1899-12-30T00:02:07"/>
    <n v="1"/>
    <x v="0"/>
  </r>
  <r>
    <d v="2026-04-20T12:09:29"/>
    <s v="3003 - FirjanAtivo"/>
    <s v="6044-Roseli Honorato Dos Santos"/>
    <m/>
    <m/>
    <n v="2764601446"/>
    <n v="177669776928141"/>
    <s v="(21) 98790-3656"/>
    <s v="(21) 2038-4382"/>
    <s v="Sainte"/>
    <s v="Atendido"/>
    <s v="Fora de Area / Cx de Mensagens"/>
    <m/>
    <s v="Cliente"/>
    <n v="16"/>
    <m/>
    <m/>
    <d v="1899-12-30T00:00:27"/>
    <d v="1899-12-30T00:00:20"/>
    <s v=""/>
    <x v="0"/>
  </r>
  <r>
    <d v="2026-04-20T12:11:55"/>
    <s v="3003 - FirjanAtivo"/>
    <s v="6044-Roseli Honorato Dos Santos"/>
    <m/>
    <m/>
    <n v="2768780842"/>
    <n v="177669791528361"/>
    <s v="(22) 99208-2905"/>
    <s v="(21) 2038-4382"/>
    <s v="Sainte"/>
    <s v="Atendido"/>
    <s v="Enviar E-mail"/>
    <m/>
    <s v="Cliente"/>
    <n v="16"/>
    <m/>
    <m/>
    <d v="1899-12-30T00:02:35"/>
    <d v="1899-12-30T00:02:21"/>
    <n v="1"/>
    <x v="0"/>
  </r>
  <r>
    <d v="2026-04-20T12:12:57"/>
    <s v="3003 - FirjanAtivo"/>
    <s v="6052-Marcia Lima Peixoto"/>
    <m/>
    <m/>
    <n v="2775816909"/>
    <n v="177669797728551"/>
    <s v="(21) 99911-8911"/>
    <s v="(21) 2038-4382"/>
    <s v="Sainte"/>
    <s v="Atendido"/>
    <s v="Fora de Area / Cx de Mensagens"/>
    <m/>
    <s v="Agente"/>
    <n v="16"/>
    <m/>
    <m/>
    <d v="1899-12-30T00:00:06"/>
    <d v="1899-12-30T00:00:04"/>
    <s v=""/>
    <x v="0"/>
  </r>
  <r>
    <d v="2026-04-20T12:13:21"/>
    <s v="3003 - FirjanAtivo"/>
    <s v="6052-Marcia Lima Peixoto"/>
    <m/>
    <m/>
    <n v="2775473909"/>
    <n v="177669800128581"/>
    <s v="(22) 99877-5886"/>
    <s v="(21) 2038-4382"/>
    <s v="Sainte"/>
    <s v="Não Atendeu"/>
    <s v="Não Atendeu"/>
    <m/>
    <s v="Agente"/>
    <n v="19"/>
    <m/>
    <m/>
    <d v="1899-12-30T00:00:08"/>
    <s v="---"/>
    <s v=""/>
    <x v="0"/>
  </r>
  <r>
    <d v="2026-04-20T12:13:41"/>
    <s v="3003 - FirjanAtivo"/>
    <s v="6052-Marcia Lima Peixoto"/>
    <m/>
    <m/>
    <n v="2740806724"/>
    <n v="177669802128671"/>
    <s v="(21) 96410-8682"/>
    <s v="(21) 2038-4382"/>
    <s v="Sainte"/>
    <s v="Não Atendeu"/>
    <s v="Não Atendeu"/>
    <m/>
    <s v="Agente"/>
    <n v="19"/>
    <m/>
    <m/>
    <d v="1899-12-30T00:00:36"/>
    <s v="---"/>
    <s v=""/>
    <x v="0"/>
  </r>
  <r>
    <d v="2026-04-20T12:14:30"/>
    <s v="3003 - FirjanAtivo"/>
    <s v="6052-Marcia Lima Peixoto"/>
    <m/>
    <m/>
    <n v="2758286171"/>
    <n v="177669807028771"/>
    <s v="(24) 98158-8077"/>
    <s v="(21) 2038-4382"/>
    <s v="Sainte"/>
    <s v="Atendido"/>
    <s v="Recado"/>
    <m/>
    <s v="Agente"/>
    <n v="16"/>
    <m/>
    <m/>
    <d v="1899-12-30T00:00:56"/>
    <d v="1899-12-30T00:00:46"/>
    <s v=""/>
    <x v="0"/>
  </r>
  <r>
    <d v="2026-04-20T12:17:22"/>
    <s v="3003 - FirjanAtivo"/>
    <s v="6044-Roseli Honorato Dos Santos"/>
    <m/>
    <m/>
    <n v="2768988974"/>
    <n v="177669824229071"/>
    <s v="(24) 99229-0708"/>
    <s v="(21) 2038-4382"/>
    <s v="Sainte"/>
    <s v="Atendido"/>
    <s v="Enviar E-mail"/>
    <m/>
    <s v="Cliente"/>
    <n v="16"/>
    <m/>
    <m/>
    <d v="1899-12-30T00:03:11"/>
    <d v="1899-12-30T00:02:58"/>
    <n v="1"/>
    <x v="0"/>
  </r>
  <r>
    <d v="2026-04-20T12:19:33"/>
    <s v="3003 - FirjanAtivo"/>
    <s v="6052-Marcia Lima Peixoto"/>
    <m/>
    <m/>
    <n v="2776475492"/>
    <n v="177669837329321"/>
    <s v="(22) 99977-7097"/>
    <s v="(21) 2038-4382"/>
    <s v="Sainte"/>
    <s v="Atendido"/>
    <s v="Enviar E-mail"/>
    <m/>
    <s v="Agente"/>
    <n v="16"/>
    <m/>
    <m/>
    <d v="1899-12-30T00:02:55"/>
    <d v="1899-12-30T00:02:44"/>
    <n v="1"/>
    <x v="0"/>
  </r>
  <r>
    <d v="2026-04-20T12:24:15"/>
    <s v="3003 - FirjanAtivo"/>
    <s v="6052-Marcia Lima Peixoto"/>
    <m/>
    <m/>
    <n v="2747722773"/>
    <n v="177669865529721"/>
    <s v="(24) 97102-4094"/>
    <s v="(21) 2038-4382"/>
    <s v="Sainte"/>
    <s v="Não Atendeu"/>
    <s v="Não Atendeu"/>
    <m/>
    <s v="Cliente"/>
    <n v="1"/>
    <m/>
    <m/>
    <d v="1899-12-30T00:00:01"/>
    <s v="---"/>
    <s v=""/>
    <x v="0"/>
  </r>
  <r>
    <d v="2026-04-20T12:24:24"/>
    <s v="3003 - FirjanAtivo"/>
    <s v="6052-Marcia Lima Peixoto"/>
    <m/>
    <m/>
    <n v="2747722781"/>
    <n v="177669866329761"/>
    <s v="(24) 97102-4094"/>
    <s v="(21) 2038-4382"/>
    <s v="Sainte"/>
    <s v="Não Atendeu"/>
    <s v="Não Atendeu"/>
    <m/>
    <s v="Cliente"/>
    <n v="1"/>
    <m/>
    <m/>
    <d v="1899-12-30T00:00:01"/>
    <s v="---"/>
    <s v=""/>
    <x v="0"/>
  </r>
  <r>
    <d v="2026-04-20T12:25:10"/>
    <s v="3003 - FirjanAtivo"/>
    <s v="6052-Marcia Lima Peixoto"/>
    <m/>
    <m/>
    <n v="2768852775"/>
    <n v="177669871029891"/>
    <s v="(24) 99215-4041"/>
    <s v="(21) 2038-4382"/>
    <s v="Sainte"/>
    <s v="Não Atendeu"/>
    <s v="Não Atendeu"/>
    <m/>
    <s v="Agente"/>
    <n v="19"/>
    <m/>
    <m/>
    <d v="1899-12-30T00:00:12"/>
    <s v="---"/>
    <s v=""/>
    <x v="0"/>
  </r>
  <r>
    <d v="2026-04-20T12:26:31"/>
    <s v="3003 - FirjanAtivo"/>
    <s v="6052-Marcia Lima Peixoto"/>
    <m/>
    <m/>
    <n v="2768852856"/>
    <n v="177669879130041"/>
    <s v="(24) 99215-4041"/>
    <s v="(21) 2038-4382"/>
    <s v="Sainte"/>
    <s v="Atendido"/>
    <s v="Fora de Area / Cx de Mensagens"/>
    <m/>
    <s v="Agente"/>
    <n v="16"/>
    <m/>
    <m/>
    <d v="1899-12-30T00:00:17"/>
    <s v="---"/>
    <s v=""/>
    <x v="0"/>
  </r>
  <r>
    <d v="2026-04-20T12:27:03"/>
    <s v="3003 - FirjanAtivo"/>
    <s v="6052-Marcia Lima Peixoto"/>
    <m/>
    <m/>
    <n v="2769136173"/>
    <n v="177669882330071"/>
    <s v="(22) 99243-7328"/>
    <s v="(21) 2038-4382"/>
    <s v="Sainte"/>
    <s v="Falhou"/>
    <s v="Não Atendeu"/>
    <m/>
    <s v="Agente"/>
    <n v="16"/>
    <m/>
    <m/>
    <d v="1899-12-30T00:00:00"/>
    <s v="---"/>
    <s v=""/>
    <x v="0"/>
  </r>
  <r>
    <d v="2026-04-20T12:27:09"/>
    <s v="3003 - FirjanAtivo"/>
    <s v="6052-Marcia Lima Peixoto"/>
    <m/>
    <m/>
    <n v="2769136179"/>
    <n v="177669882930091"/>
    <s v="(22) 99243-7328"/>
    <s v="(21) 2038-4382"/>
    <s v="Sainte"/>
    <s v="Não Atendeu"/>
    <s v="Não Atendeu"/>
    <m/>
    <s v="Agente"/>
    <n v="19"/>
    <m/>
    <m/>
    <d v="1899-12-30T00:00:34"/>
    <s v="---"/>
    <s v=""/>
    <x v="0"/>
  </r>
  <r>
    <d v="2026-04-20T12:35:56"/>
    <s v="3003 - FirjanAtivo"/>
    <s v="6052-Marcia Lima Peixoto"/>
    <m/>
    <m/>
    <n v="2776696755"/>
    <n v="177669935631101"/>
    <s v="(22) 99999-7377"/>
    <s v="(21) 2038-4382"/>
    <s v="Sainte"/>
    <s v="Atendido"/>
    <s v="Fora de Area / Cx de Mensagens"/>
    <m/>
    <s v="Agente"/>
    <n v="16"/>
    <m/>
    <m/>
    <d v="1899-12-30T00:00:47"/>
    <d v="1899-12-30T00:00:09"/>
    <s v=""/>
    <x v="0"/>
  </r>
  <r>
    <d v="2026-04-20T12:36:31"/>
    <s v="3003 - FirjanAtivo"/>
    <s v="6044-Roseli Honorato Dos Santos"/>
    <m/>
    <m/>
    <n v="2770926140"/>
    <n v="177669939131121"/>
    <s v="(21) 99422-6728"/>
    <s v="(21) 2038-4382"/>
    <s v="Sainte"/>
    <s v="Atendido"/>
    <s v="Fora de Area / Cx de Mensagens"/>
    <m/>
    <s v="Agente"/>
    <n v="16"/>
    <m/>
    <m/>
    <d v="1899-12-30T00:00:14"/>
    <d v="1899-12-30T00:00:09"/>
    <s v=""/>
    <x v="0"/>
  </r>
  <r>
    <d v="2026-04-20T12:37:32"/>
    <s v="3003 - FirjanAtivo"/>
    <s v="6044-Roseli Honorato Dos Santos"/>
    <m/>
    <m/>
    <n v="2774751697"/>
    <n v="177669945231331"/>
    <s v="(21) 99805-2224"/>
    <s v="(21) 2038-4382"/>
    <s v="Sainte"/>
    <s v="Atendido"/>
    <s v="Fora de Area / Cx de Mensagens"/>
    <m/>
    <s v="Agente"/>
    <n v="16"/>
    <m/>
    <m/>
    <d v="1899-12-30T00:00:21"/>
    <d v="1899-12-30T00:00:18"/>
    <s v=""/>
    <x v="0"/>
  </r>
  <r>
    <d v="2026-04-20T12:37:43"/>
    <s v="3003 - FirjanAtivo"/>
    <s v="6052-Marcia Lima Peixoto"/>
    <m/>
    <m/>
    <n v="2757895227"/>
    <n v="177669946331411"/>
    <s v="(24) 98119-5740"/>
    <s v="(21) 2038-4382"/>
    <s v="Sainte"/>
    <s v="Não Atendeu"/>
    <s v="Não Atendeu"/>
    <m/>
    <s v="Agente"/>
    <n v="19"/>
    <m/>
    <m/>
    <d v="1899-12-30T00:00:13"/>
    <s v="---"/>
    <s v=""/>
    <x v="0"/>
  </r>
  <r>
    <d v="2026-04-20T12:38:08"/>
    <s v="3003 - FirjanAtivo"/>
    <s v="6052-Marcia Lima Peixoto"/>
    <m/>
    <m/>
    <n v="2764713828"/>
    <n v="177669948831491"/>
    <s v="(24) 98801-4316"/>
    <s v="(21) 2038-4382"/>
    <s v="Sainte"/>
    <s v="Atendido"/>
    <s v="Formulário Preenchido"/>
    <m/>
    <s v="Agente"/>
    <n v="16"/>
    <m/>
    <m/>
    <d v="1899-12-30T00:01:24"/>
    <d v="1899-12-30T00:01:22"/>
    <s v=""/>
    <x v="0"/>
  </r>
  <r>
    <d v="2026-04-20T12:38:48"/>
    <s v="3003 - FirjanAtivo"/>
    <s v="6044-Roseli Honorato Dos Santos"/>
    <m/>
    <m/>
    <n v="2741297045"/>
    <n v="177669952831651"/>
    <s v="(21) 96459-7496"/>
    <s v="(21) 2038-4382"/>
    <s v="Sainte"/>
    <s v="Atendido"/>
    <s v="Fora de Area / Cx de Mensagens"/>
    <m/>
    <s v="Agente"/>
    <n v="16"/>
    <m/>
    <m/>
    <d v="1899-12-30T00:00:28"/>
    <d v="1899-12-30T00:00:04"/>
    <s v=""/>
    <x v="0"/>
  </r>
  <r>
    <d v="2026-04-20T12:39:54"/>
    <s v="3003 - FirjanAtivo"/>
    <s v="6044-Roseli Honorato Dos Santos"/>
    <m/>
    <m/>
    <n v="2765256980"/>
    <n v="177669959431911"/>
    <s v="(24) 98855-7362"/>
    <s v="(21) 2038-4382"/>
    <s v="Sainte"/>
    <s v="Atendido"/>
    <s v="Fora de Area / Cx de Mensagens"/>
    <m/>
    <s v="Agente"/>
    <n v="16"/>
    <m/>
    <m/>
    <d v="1899-12-30T00:00:41"/>
    <d v="1899-12-30T00:00:16"/>
    <s v=""/>
    <x v="0"/>
  </r>
  <r>
    <d v="2026-04-20T12:40:09"/>
    <s v="3003 - FirjanAtivo"/>
    <s v="6052-Marcia Lima Peixoto"/>
    <m/>
    <m/>
    <n v="2775026218"/>
    <n v="177669960931931"/>
    <s v="(24) 99832-6585"/>
    <s v="(21) 2038-4382"/>
    <s v="Sainte"/>
    <s v="Não Atendeu"/>
    <s v="Não Atendeu"/>
    <m/>
    <s v="Agente"/>
    <n v="19"/>
    <m/>
    <m/>
    <d v="1899-12-30T00:00:24"/>
    <s v="---"/>
    <s v=""/>
    <x v="0"/>
  </r>
  <r>
    <d v="2026-04-20T12:40:57"/>
    <s v="3003 - FirjanAtivo"/>
    <s v="6044-Roseli Honorato Dos Santos"/>
    <m/>
    <m/>
    <n v="2775002564"/>
    <n v="177669965731971"/>
    <s v="(22) 99830-2885"/>
    <s v="(21) 2038-4382"/>
    <s v="Sainte"/>
    <s v="Atendido"/>
    <s v="Fora de Area / Cx de Mensagens"/>
    <m/>
    <s v="Cliente"/>
    <n v="16"/>
    <m/>
    <m/>
    <d v="1899-12-30T00:00:47"/>
    <d v="1899-12-30T00:00:10"/>
    <s v=""/>
    <x v="0"/>
  </r>
  <r>
    <d v="2026-04-20T12:40:58"/>
    <s v="3003 - FirjanAtivo"/>
    <s v="6052-Marcia Lima Peixoto"/>
    <m/>
    <m/>
    <n v="2764524611"/>
    <n v="177669965831991"/>
    <s v="(21) 98782-4932"/>
    <s v="(21) 2038-4382"/>
    <s v="Sainte"/>
    <s v="Não Atendeu"/>
    <s v="Não Atendeu"/>
    <m/>
    <s v="Agente"/>
    <n v="19"/>
    <m/>
    <m/>
    <d v="1899-12-30T00:00:36"/>
    <s v="---"/>
    <s v=""/>
    <x v="0"/>
  </r>
  <r>
    <d v="2026-04-20T12:42:14"/>
    <s v="3003 - FirjanAtivo"/>
    <s v="6052-Marcia Lima Peixoto"/>
    <m/>
    <m/>
    <n v="2776692428"/>
    <n v="177669973432371"/>
    <s v="(24) 99999-2670"/>
    <s v="(21) 2038-4382"/>
    <s v="Sainte"/>
    <s v="Não Atendeu"/>
    <s v="Não Atendeu"/>
    <m/>
    <s v="Agente"/>
    <n v="19"/>
    <m/>
    <m/>
    <d v="1899-12-30T00:00:29"/>
    <s v="---"/>
    <s v=""/>
    <x v="0"/>
  </r>
  <r>
    <d v="2026-04-20T12:43:49"/>
    <s v="3003 - FirjanAtivo"/>
    <s v="6052-Marcia Lima Peixoto"/>
    <m/>
    <m/>
    <n v="2776692523"/>
    <n v="177669982932521"/>
    <s v="(24) 99999-2670"/>
    <s v="(21) 2038-4382"/>
    <s v="Sainte"/>
    <s v="Não Atendeu"/>
    <s v="Não Atendeu"/>
    <m/>
    <s v="Agente"/>
    <n v="19"/>
    <m/>
    <m/>
    <d v="1899-12-30T00:00:27"/>
    <s v="---"/>
    <s v=""/>
    <x v="0"/>
  </r>
  <r>
    <d v="2026-04-20T12:44:34"/>
    <s v="3003 - FirjanAtivo"/>
    <s v="6052-Marcia Lima Peixoto"/>
    <m/>
    <m/>
    <n v="2747163856"/>
    <n v="177669987432681"/>
    <s v="(21) 97046-3961"/>
    <s v="(21) 2038-4382"/>
    <s v="Sainte"/>
    <s v="Não Atendeu"/>
    <s v="Não Atendeu"/>
    <m/>
    <s v="Agente"/>
    <n v="19"/>
    <m/>
    <m/>
    <d v="1899-12-30T00:00:37"/>
    <s v="---"/>
    <s v=""/>
    <x v="0"/>
  </r>
  <r>
    <d v="2026-04-20T12:45:34"/>
    <s v="3003 - FirjanAtivo"/>
    <s v="6052-Marcia Lima Peixoto"/>
    <m/>
    <m/>
    <n v="2769361849"/>
    <n v="177669993432711"/>
    <s v="(22) 99266-1893"/>
    <s v="(21) 2038-4382"/>
    <s v="Sainte"/>
    <s v="Não Atendeu"/>
    <s v="Não Atendeu"/>
    <m/>
    <s v="Agente"/>
    <n v="19"/>
    <m/>
    <m/>
    <d v="1899-12-30T00:00:26"/>
    <s v="---"/>
    <s v=""/>
    <x v="0"/>
  </r>
  <r>
    <d v="2026-04-20T12:46:16"/>
    <s v="3003 - FirjanAtivo"/>
    <s v="6052-Marcia Lima Peixoto"/>
    <m/>
    <m/>
    <n v="2774955224"/>
    <n v="177669997632751"/>
    <s v="(22) 99825-5226"/>
    <s v="(21) 2038-4382"/>
    <s v="Sainte"/>
    <s v="Atendido"/>
    <s v="Enviar E-mail"/>
    <m/>
    <s v="Agente"/>
    <n v="16"/>
    <m/>
    <m/>
    <d v="1899-12-30T00:03:19"/>
    <d v="1899-12-30T00:03:03"/>
    <n v="1"/>
    <x v="0"/>
  </r>
  <r>
    <d v="2026-04-20T12:46:48"/>
    <s v="3003 - FirjanAtivo"/>
    <s v="6044-Roseli Honorato Dos Santos"/>
    <m/>
    <m/>
    <n v="2775002915"/>
    <n v="177670000832771"/>
    <s v="(22) 99830-2885"/>
    <s v="(21) 2038-4382"/>
    <s v="Sainte"/>
    <s v="Atendido"/>
    <s v="Fora de Area / Cx de Mensagens"/>
    <m/>
    <s v="Cliente"/>
    <n v="16"/>
    <m/>
    <m/>
    <d v="1899-12-30T00:00:47"/>
    <d v="1899-12-30T00:00:10"/>
    <s v=""/>
    <x v="0"/>
  </r>
  <r>
    <d v="2026-04-20T12:48:29"/>
    <s v="3003 - FirjanAtivo"/>
    <s v="6044-Roseli Honorato Dos Santos"/>
    <m/>
    <m/>
    <n v="2753078182"/>
    <n v="177670010932981"/>
    <s v="(21) 97637-8052"/>
    <s v="(21) 2038-4382"/>
    <s v="Sainte"/>
    <s v="Não Atendeu"/>
    <s v="Não Atendeu"/>
    <m/>
    <s v="Agente"/>
    <n v="19"/>
    <m/>
    <m/>
    <d v="1899-12-30T00:00:13"/>
    <s v="---"/>
    <s v=""/>
    <x v="0"/>
  </r>
  <r>
    <d v="2026-04-20T12:49:46"/>
    <s v="3003 - FirjanAtivo"/>
    <s v="6044-Roseli Honorato Dos Santos"/>
    <m/>
    <m/>
    <n v="2770652189"/>
    <n v="177670018633221"/>
    <s v="(24) 99395-1979"/>
    <s v="(21) 2038-4382"/>
    <s v="Sainte"/>
    <s v="Atendido"/>
    <s v="Enviar E-mail"/>
    <m/>
    <s v="Agente"/>
    <n v="16"/>
    <m/>
    <m/>
    <d v="1899-12-30T00:02:25"/>
    <d v="1899-12-30T00:02:17"/>
    <n v="1"/>
    <x v="0"/>
  </r>
  <r>
    <d v="2026-04-20T12:50:36"/>
    <s v="3003 - FirjanAtivo"/>
    <s v="6052-Marcia Lima Peixoto"/>
    <m/>
    <m/>
    <n v="2771139887"/>
    <n v="177670023633351"/>
    <s v="(21) 99443-9630"/>
    <s v="(21) 2038-4382"/>
    <s v="Sainte"/>
    <s v="Atendido"/>
    <s v="Não tem interesse"/>
    <m/>
    <s v="Agente"/>
    <n v="16"/>
    <m/>
    <m/>
    <d v="1899-12-30T00:03:05"/>
    <d v="1899-12-30T00:02:55"/>
    <s v=""/>
    <x v="0"/>
  </r>
  <r>
    <d v="2026-04-20T12:54:46"/>
    <s v="3003 - FirjanAtivo"/>
    <s v="6052-Marcia Lima Peixoto"/>
    <m/>
    <m/>
    <n v="2772104217"/>
    <n v="177670048633961"/>
    <s v="(21) 99540-3710"/>
    <s v="(21) 2038-4382"/>
    <s v="Sainte"/>
    <s v="Não Atendeu"/>
    <s v="Não Atendeu"/>
    <m/>
    <s v="Agente"/>
    <n v="19"/>
    <m/>
    <m/>
    <d v="1899-12-30T00:00:11"/>
    <s v="---"/>
    <s v=""/>
    <x v="0"/>
  </r>
  <r>
    <d v="2026-04-20T12:55:03"/>
    <s v="3003 - FirjanAtivo"/>
    <s v="6044-Roseli Honorato Dos Santos"/>
    <m/>
    <m/>
    <n v="2758521321"/>
    <n v="177670050334111"/>
    <s v="(24) 98182-0794"/>
    <s v="(21) 2038-4382"/>
    <s v="Sainte"/>
    <s v="Atendido"/>
    <s v="Fora de Area / Cx de Mensagens"/>
    <m/>
    <s v="Agente"/>
    <n v="16"/>
    <m/>
    <m/>
    <d v="1899-12-30T00:00:36"/>
    <d v="1899-12-30T00:00:17"/>
    <s v=""/>
    <x v="0"/>
  </r>
  <r>
    <d v="2026-04-20T12:56:39"/>
    <s v="3003 - FirjanAtivo"/>
    <s v="6044-Roseli Honorato Dos Santos"/>
    <m/>
    <m/>
    <n v="2774307707"/>
    <n v="177670059934361"/>
    <s v="(22) 99760-7085"/>
    <s v="(21) 2038-4382"/>
    <s v="Sainte"/>
    <s v="Atendido"/>
    <s v="Fora de Area / Cx de Mensagens"/>
    <m/>
    <s v="Agente"/>
    <n v="16"/>
    <m/>
    <m/>
    <d v="1899-12-30T00:00:20"/>
    <d v="1899-12-30T00:00:14"/>
    <s v=""/>
    <x v="0"/>
  </r>
  <r>
    <d v="2026-04-20T12:58:03"/>
    <s v="3003 - FirjanAtivo"/>
    <s v="6044-Roseli Honorato Dos Santos"/>
    <m/>
    <m/>
    <n v="2775016095"/>
    <n v="177670068334691"/>
    <s v="(22) 99831-5390"/>
    <s v="(21) 2038-4382"/>
    <s v="Sainte"/>
    <s v="Atendido"/>
    <s v="Fora de Area / Cx de Mensagens"/>
    <m/>
    <s v="Agente"/>
    <n v="16"/>
    <m/>
    <m/>
    <d v="1899-12-30T00:01:29"/>
    <d v="1899-12-30T00:00:48"/>
    <s v=""/>
    <x v="0"/>
  </r>
  <r>
    <d v="2026-04-20T14:02:28"/>
    <s v="3003 - FirjanAtivo"/>
    <s v="6044-Roseli Honorato Dos Santos"/>
    <m/>
    <m/>
    <n v="2758237102"/>
    <n v="177670454839381"/>
    <s v="(21) 98153-2533"/>
    <s v="(21) 2038-4382"/>
    <s v="Sainte"/>
    <s v="Atendido"/>
    <s v="Fora de Area / Cx de Mensagens"/>
    <m/>
    <s v="Agente"/>
    <n v="16"/>
    <m/>
    <m/>
    <d v="1899-12-30T00:00:25"/>
    <d v="1899-12-30T00:00:13"/>
    <s v=""/>
    <x v="0"/>
  </r>
  <r>
    <d v="2026-04-20T14:03:12"/>
    <s v="3003 - FirjanAtivo"/>
    <s v="6044-Roseli Honorato Dos Santos"/>
    <m/>
    <m/>
    <n v="2776695123"/>
    <n v="177670459239471"/>
    <s v="(24) 99999-0507"/>
    <s v="(21) 2038-4382"/>
    <s v="Sainte"/>
    <s v="Atendido"/>
    <s v="Fora de Area / Cx de Mensagens"/>
    <m/>
    <s v="Cliente"/>
    <n v="16"/>
    <m/>
    <m/>
    <d v="1899-12-30T00:02:18"/>
    <d v="1899-12-30T00:02:11"/>
    <s v=""/>
    <x v="0"/>
  </r>
  <r>
    <d v="2026-04-20T14:03:48"/>
    <s v="3003 - FirjanAtivo"/>
    <s v="6052-Marcia Lima Peixoto"/>
    <m/>
    <m/>
    <n v="2758039368"/>
    <n v="177670462839491"/>
    <s v="(21) 98133-4719"/>
    <s v="(21) 2038-4382"/>
    <s v="Sainte"/>
    <s v="Atendido"/>
    <s v="Fora de Area / Cx de Mensagens"/>
    <m/>
    <s v="Agente"/>
    <n v="16"/>
    <m/>
    <m/>
    <d v="1899-12-30T00:00:25"/>
    <d v="1899-12-30T00:00:01"/>
    <s v=""/>
    <x v="0"/>
  </r>
  <r>
    <d v="2026-04-20T14:04:52"/>
    <s v="3003 - FirjanAtivo"/>
    <s v="6052-Marcia Lima Peixoto"/>
    <m/>
    <m/>
    <n v="2775005016"/>
    <n v="177670469239581"/>
    <s v="(21) 99830-0303"/>
    <s v="(21) 2038-4382"/>
    <s v="Sainte"/>
    <s v="Não Atendeu"/>
    <s v="Não Atendeu"/>
    <m/>
    <s v="Agente"/>
    <n v="19"/>
    <m/>
    <m/>
    <d v="1899-12-30T00:00:12"/>
    <s v="---"/>
    <s v=""/>
    <x v="0"/>
  </r>
  <r>
    <d v="2026-04-20T14:05:25"/>
    <s v="3003 - FirjanAtivo"/>
    <s v="6052-Marcia Lima Peixoto"/>
    <m/>
    <m/>
    <n v="1809969175"/>
    <n v="177670472539691"/>
    <s v="(24) 3326-4426"/>
    <s v="(21) 2038-4382"/>
    <s v="Sainte"/>
    <s v="Atendido"/>
    <s v="Tel Não Atende / Ocupado"/>
    <m/>
    <s v="Agente"/>
    <n v="16"/>
    <m/>
    <m/>
    <d v="1899-12-30T00:00:52"/>
    <d v="1899-12-30T00:00:32"/>
    <s v=""/>
    <x v="0"/>
  </r>
  <r>
    <d v="2026-04-20T14:06:37"/>
    <s v="3003 - FirjanAtivo"/>
    <s v="6052-Marcia Lima Peixoto"/>
    <m/>
    <m/>
    <n v="2776537796"/>
    <n v="177670479739731"/>
    <s v="(24) 99983-2975"/>
    <s v="(21) 2038-4382"/>
    <s v="Sainte"/>
    <s v="Não Atendeu"/>
    <s v="Não Atendeu"/>
    <m/>
    <s v="Agente"/>
    <n v="19"/>
    <m/>
    <m/>
    <d v="1899-12-30T00:00:33"/>
    <s v="---"/>
    <s v=""/>
    <x v="0"/>
  </r>
  <r>
    <d v="2026-04-20T14:07:23"/>
    <s v="3003 - FirjanAtivo"/>
    <s v="6044-Roseli Honorato Dos Santos"/>
    <m/>
    <m/>
    <n v="2760256704"/>
    <n v="177670484339761"/>
    <s v="(21) 98355-1840"/>
    <s v="(21) 2038-4382"/>
    <s v="Sainte"/>
    <s v="Atendido"/>
    <s v="Enviar E-mail"/>
    <m/>
    <s v="Cliente"/>
    <n v="16"/>
    <m/>
    <m/>
    <d v="1899-12-30T00:02:17"/>
    <d v="1899-12-30T00:02:03"/>
    <n v="1"/>
    <x v="0"/>
  </r>
  <r>
    <d v="2026-04-20T14:07:27"/>
    <s v="3003 - FirjanAtivo"/>
    <s v="6052-Marcia Lima Peixoto"/>
    <m/>
    <m/>
    <n v="2775420512"/>
    <n v="177670484739781"/>
    <s v="(22) 99871-5643"/>
    <s v="(21) 2038-4382"/>
    <s v="Sainte"/>
    <s v="Não Atendeu"/>
    <s v="Não Atendeu"/>
    <m/>
    <s v="Agente"/>
    <n v="19"/>
    <m/>
    <m/>
    <d v="1899-12-30T00:00:35"/>
    <s v="---"/>
    <s v=""/>
    <x v="0"/>
  </r>
  <r>
    <d v="2026-04-20T14:08:14"/>
    <s v="3003 - FirjanAtivo"/>
    <s v="6052-Marcia Lima Peixoto"/>
    <m/>
    <m/>
    <n v="2775802002"/>
    <n v="177670489439871"/>
    <s v="(24) 99909-7084"/>
    <s v="(21) 2038-4382"/>
    <s v="Sainte"/>
    <s v="Atendido"/>
    <s v="Fora de Area / Cx de Mensagens"/>
    <m/>
    <s v="Agente"/>
    <n v="16"/>
    <m/>
    <m/>
    <d v="1899-12-30T00:00:44"/>
    <d v="1899-12-30T00:00:42"/>
    <s v=""/>
    <x v="0"/>
  </r>
  <r>
    <d v="2026-04-20T14:09:13"/>
    <s v="3003 - FirjanAtivo"/>
    <s v="6052-Marcia Lima Peixoto"/>
    <m/>
    <m/>
    <n v="2769225116"/>
    <n v="177670495339911"/>
    <s v="(21) 99252-0142"/>
    <s v="(21) 2038-4382"/>
    <s v="Sainte"/>
    <s v="Atendido"/>
    <s v="Retornar"/>
    <m/>
    <s v="Cliente"/>
    <n v="16"/>
    <m/>
    <m/>
    <d v="1899-12-30T00:01:00"/>
    <d v="1899-12-30T00:00:44"/>
    <s v=""/>
    <x v="0"/>
  </r>
  <r>
    <d v="2026-04-20T14:10:39"/>
    <s v="3003 - FirjanAtivo"/>
    <s v="6052-Marcia Lima Peixoto"/>
    <m/>
    <m/>
    <n v="2771323174"/>
    <n v="177670503940231"/>
    <s v="(21) 99461-8114"/>
    <s v="(21) 2038-4382"/>
    <s v="Sainte"/>
    <s v="Não Atendeu"/>
    <s v="Não Atendeu"/>
    <m/>
    <s v="Agente"/>
    <n v="19"/>
    <m/>
    <m/>
    <d v="1899-12-30T00:00:34"/>
    <s v="---"/>
    <s v=""/>
    <x v="0"/>
  </r>
  <r>
    <d v="2026-04-20T14:11:28"/>
    <s v="3003 - FirjanAtivo"/>
    <s v="6052-Marcia Lima Peixoto"/>
    <m/>
    <m/>
    <n v="2771323223"/>
    <n v="177670508840401"/>
    <s v="(21) 99461-8114"/>
    <s v="(21) 2038-4382"/>
    <s v="Sainte"/>
    <s v="Não Atendeu"/>
    <s v="Não Atendeu"/>
    <m/>
    <s v="Agente"/>
    <n v="19"/>
    <m/>
    <m/>
    <d v="1899-12-30T00:00:34"/>
    <s v="---"/>
    <s v=""/>
    <x v="0"/>
  </r>
  <r>
    <d v="2026-04-20T14:12:14"/>
    <s v="3003 - FirjanAtivo"/>
    <s v="6052-Marcia Lima Peixoto"/>
    <m/>
    <m/>
    <n v="2770334844"/>
    <n v="177670513440551"/>
    <s v="(21) 99362-9689"/>
    <s v="(21) 2038-4382"/>
    <s v="Sainte"/>
    <s v="Atendido"/>
    <s v="Fora de Area / Cx de Mensagens"/>
    <m/>
    <s v="Agente"/>
    <n v="16"/>
    <m/>
    <m/>
    <d v="1899-12-30T00:00:06"/>
    <d v="1899-12-30T00:00:02"/>
    <s v=""/>
    <x v="0"/>
  </r>
  <r>
    <d v="2026-04-20T14:12:43"/>
    <s v="3003 - FirjanAtivo"/>
    <s v="6052-Marcia Lima Peixoto"/>
    <m/>
    <m/>
    <n v="2774404813"/>
    <n v="177670516340771"/>
    <s v="(21) 99769-9629"/>
    <s v="(21) 2038-4382"/>
    <s v="Sainte"/>
    <s v="Não Atendeu"/>
    <s v="Não Atendeu"/>
    <m/>
    <s v="Agente"/>
    <n v="19"/>
    <m/>
    <m/>
    <d v="1899-12-30T00:00:35"/>
    <s v="---"/>
    <s v=""/>
    <x v="0"/>
  </r>
  <r>
    <d v="2026-04-20T14:13:33"/>
    <s v="3003 - FirjanAtivo"/>
    <s v="6052-Marcia Lima Peixoto"/>
    <m/>
    <m/>
    <n v="2775148471"/>
    <n v="177670521340861"/>
    <s v="(22) 99844-3236"/>
    <s v="(21) 2038-4382"/>
    <s v="Sainte"/>
    <s v="Não Atendeu"/>
    <s v="Não Atendeu"/>
    <m/>
    <s v="Agente"/>
    <n v="19"/>
    <m/>
    <m/>
    <d v="1899-12-30T00:00:36"/>
    <s v="---"/>
    <s v=""/>
    <x v="0"/>
  </r>
  <r>
    <d v="2026-04-20T14:14:29"/>
    <s v="3003 - FirjanAtivo"/>
    <s v="6052-Marcia Lima Peixoto"/>
    <m/>
    <m/>
    <n v="2758517923"/>
    <n v="177670526940971"/>
    <s v="(21) 98181-2633"/>
    <s v="(21) 2038-4382"/>
    <s v="Sainte"/>
    <s v="Atendido"/>
    <s v="Fora de Area / Cx de Mensagens"/>
    <m/>
    <s v="Agente"/>
    <n v="16"/>
    <m/>
    <m/>
    <d v="1899-12-30T00:00:24"/>
    <d v="1899-12-30T00:00:03"/>
    <s v=""/>
    <x v="0"/>
  </r>
  <r>
    <d v="2026-04-20T14:15:11"/>
    <s v="3003 - FirjanAtivo"/>
    <s v="6044-Roseli Honorato Dos Santos"/>
    <m/>
    <m/>
    <n v="2775789224"/>
    <n v="177670529141051"/>
    <s v="(22) 99908-3911"/>
    <s v="(21) 2038-4382"/>
    <s v="Sainte"/>
    <s v="Falhou"/>
    <s v="Não Atendeu"/>
    <m/>
    <s v="Cliente"/>
    <n v="34"/>
    <m/>
    <m/>
    <d v="1899-12-30T00:00:01"/>
    <s v="---"/>
    <s v=""/>
    <x v="0"/>
  </r>
  <r>
    <d v="2026-04-20T14:15:13"/>
    <s v="3003 - FirjanAtivo"/>
    <s v="6052-Marcia Lima Peixoto"/>
    <m/>
    <m/>
    <n v="2758163222"/>
    <n v="177670531341101"/>
    <s v="(22) 98145-7887"/>
    <s v="(21) 2038-4382"/>
    <s v="Sainte"/>
    <s v="Atendido"/>
    <s v="Enviar E-mail"/>
    <m/>
    <s v="Agente"/>
    <n v="16"/>
    <m/>
    <m/>
    <d v="1899-12-30T00:03:16"/>
    <d v="1899-12-30T00:02:54"/>
    <n v="1"/>
    <x v="0"/>
  </r>
  <r>
    <d v="2026-04-20T14:15:57"/>
    <s v="3003 - FirjanAtivo"/>
    <s v="6044-Roseli Honorato Dos Santos"/>
    <m/>
    <m/>
    <n v="2775789285"/>
    <n v="177670535241211"/>
    <s v="(22) 99908-3911"/>
    <s v="(21) 2038-4382"/>
    <s v="Sainte"/>
    <s v="Falhou"/>
    <s v="Não Atendeu"/>
    <m/>
    <s v="Cliente"/>
    <n v="34"/>
    <m/>
    <m/>
    <d v="1899-12-30T00:00:01"/>
    <s v="---"/>
    <s v=""/>
    <x v="0"/>
  </r>
  <r>
    <d v="2026-04-20T14:16:27"/>
    <s v="3003 - FirjanAtivo"/>
    <s v="6044-Roseli Honorato Dos Santos"/>
    <m/>
    <m/>
    <n v="2774865810"/>
    <n v="177670538741331"/>
    <s v="(21) 99816-0402"/>
    <s v="(21) 2038-4382"/>
    <s v="Sainte"/>
    <s v="Atendido"/>
    <s v="Fora de Area / Cx de Mensagens"/>
    <m/>
    <s v="Cliente"/>
    <n v="16"/>
    <m/>
    <m/>
    <d v="1899-12-30T00:00:17"/>
    <d v="1899-12-30T00:00:10"/>
    <s v=""/>
    <x v="0"/>
  </r>
  <r>
    <d v="2026-04-20T14:17:18"/>
    <s v="3003 - FirjanAtivo"/>
    <s v="6044-Roseli Honorato Dos Santos"/>
    <m/>
    <m/>
    <n v="2773724449"/>
    <n v="177670543841451"/>
    <s v="(21) 99701-8990"/>
    <s v="(21) 2038-4382"/>
    <s v="Sainte"/>
    <s v="Atendido"/>
    <s v="Fora de Area / Cx de Mensagens"/>
    <m/>
    <s v="Cliente"/>
    <n v="16"/>
    <m/>
    <m/>
    <d v="1899-12-30T00:00:12"/>
    <d v="1899-12-30T00:00:03"/>
    <s v=""/>
    <x v="0"/>
  </r>
  <r>
    <d v="2026-04-20T14:17:58"/>
    <s v="3003 - FirjanAtivo"/>
    <s v="6044-Roseli Honorato Dos Santos"/>
    <m/>
    <m/>
    <n v="2745087903"/>
    <n v="177670547841551"/>
    <s v="(21) 96838-2404"/>
    <s v="(21) 2038-4382"/>
    <s v="Sainte"/>
    <s v="Atendido"/>
    <s v="Enviar E-mail"/>
    <m/>
    <s v="Cliente"/>
    <n v="16"/>
    <m/>
    <m/>
    <d v="1899-12-30T00:02:39"/>
    <d v="1899-12-30T00:02:23"/>
    <n v="1"/>
    <x v="0"/>
  </r>
  <r>
    <d v="2026-04-20T14:20:48"/>
    <s v="3003 - FirjanAtivo"/>
    <s v="6052-Marcia Lima Peixoto"/>
    <m/>
    <m/>
    <n v="2765347980"/>
    <n v="177670564841901"/>
    <s v="(22) 98864-2310"/>
    <s v="(21) 2038-4382"/>
    <s v="Sainte"/>
    <s v="Não Atendeu"/>
    <s v="Não Atendeu"/>
    <m/>
    <s v="Agente"/>
    <n v="19"/>
    <m/>
    <m/>
    <d v="1899-12-30T00:00:15"/>
    <s v="---"/>
    <s v=""/>
    <x v="0"/>
  </r>
  <r>
    <d v="2026-04-20T14:21:19"/>
    <s v="3003 - FirjanAtivo"/>
    <s v="6052-Marcia Lima Peixoto"/>
    <m/>
    <m/>
    <n v="2769283294"/>
    <n v="177670567941931"/>
    <s v="(24) 99257-7591"/>
    <s v="(21) 2038-4382"/>
    <s v="Sainte"/>
    <s v="Não Atendeu"/>
    <s v="Não Atendeu"/>
    <m/>
    <s v="Agente"/>
    <n v="19"/>
    <m/>
    <m/>
    <d v="1899-12-30T00:00:21"/>
    <s v="---"/>
    <s v=""/>
    <x v="0"/>
  </r>
  <r>
    <d v="2026-04-20T14:21:57"/>
    <s v="3003 - FirjanAtivo"/>
    <s v="6052-Marcia Lima Peixoto"/>
    <m/>
    <m/>
    <n v="2769653896"/>
    <n v="177670571742121"/>
    <s v="(24) 99294-8155"/>
    <s v="(21) 2038-4382"/>
    <s v="Sainte"/>
    <s v="Atendido"/>
    <s v="Tel Não Atende / Ocupado"/>
    <m/>
    <s v="Cliente"/>
    <n v="16"/>
    <m/>
    <m/>
    <d v="1899-12-30T00:00:47"/>
    <d v="1899-12-30T00:00:42"/>
    <s v=""/>
    <x v="0"/>
  </r>
  <r>
    <d v="2026-04-20T14:23:01"/>
    <s v="3003 - FirjanAtivo"/>
    <s v="6052-Marcia Lima Peixoto"/>
    <m/>
    <m/>
    <n v="2769653960"/>
    <n v="177670578142151"/>
    <s v="(24) 99294-8155"/>
    <s v="(21) 2038-4382"/>
    <s v="Sainte"/>
    <s v="Atendido"/>
    <s v="Enviar E-mail"/>
    <m/>
    <s v="Cliente"/>
    <n v="16"/>
    <m/>
    <m/>
    <d v="1899-12-30T00:02:36"/>
    <d v="1899-12-30T00:02:31"/>
    <n v="1"/>
    <x v="0"/>
  </r>
  <r>
    <d v="2026-04-20T14:23:42"/>
    <s v="3003 - FirjanAtivo"/>
    <s v="6044-Roseli Honorato Dos Santos"/>
    <m/>
    <m/>
    <n v="2757860023"/>
    <n v="177670582242181"/>
    <s v="(22) 98115-4179"/>
    <s v="(21) 2038-4382"/>
    <s v="Sainte"/>
    <s v="Atendido"/>
    <s v="Fora de Area / Cx de Mensagens"/>
    <m/>
    <s v="Agente"/>
    <n v="16"/>
    <m/>
    <m/>
    <d v="1899-12-30T00:00:43"/>
    <d v="1899-12-30T00:00:05"/>
    <s v=""/>
    <x v="0"/>
  </r>
  <r>
    <d v="2026-04-20T14:26:23"/>
    <s v="3003 - FirjanAtivo"/>
    <s v="6052-Marcia Lima Peixoto"/>
    <m/>
    <m/>
    <n v="2775300457"/>
    <n v="177670598342461"/>
    <s v="(21) 99859-4453"/>
    <s v="(21) 2038-4382"/>
    <s v="Sainte"/>
    <s v="Não Atendeu"/>
    <s v="Não Atendeu"/>
    <m/>
    <s v="Agente"/>
    <n v="19"/>
    <m/>
    <m/>
    <d v="1899-12-30T00:00:35"/>
    <s v="---"/>
    <s v=""/>
    <x v="0"/>
  </r>
  <r>
    <d v="2026-04-20T14:27:08"/>
    <s v="3003 - FirjanAtivo"/>
    <s v="6052-Marcia Lima Peixoto"/>
    <m/>
    <m/>
    <n v="2769244553"/>
    <n v="177670602842521"/>
    <s v="(22) 99253-8503"/>
    <s v="(21) 2038-4382"/>
    <s v="Sainte"/>
    <s v="Atendido"/>
    <s v="Fora de Area / Cx de Mensagens"/>
    <m/>
    <s v="Agente"/>
    <n v="16"/>
    <m/>
    <m/>
    <d v="1899-12-30T00:00:10"/>
    <d v="1899-12-30T00:00:01"/>
    <s v=""/>
    <x v="0"/>
  </r>
  <r>
    <d v="2026-04-20T14:27:36"/>
    <s v="3003 - FirjanAtivo"/>
    <s v="6052-Marcia Lima Peixoto"/>
    <m/>
    <m/>
    <n v="2776300849"/>
    <n v="177670605542571"/>
    <s v="(21) 99959-4772"/>
    <s v="(21) 2038-4382"/>
    <s v="Sainte"/>
    <s v="Atendido"/>
    <s v="Retornar"/>
    <m/>
    <s v="Agente"/>
    <n v="16"/>
    <m/>
    <m/>
    <d v="1899-12-30T00:00:45"/>
    <d v="1899-12-30T00:00:42"/>
    <s v=""/>
    <x v="0"/>
  </r>
  <r>
    <d v="2026-04-20T14:28:41"/>
    <s v="3003 - FirjanAtivo"/>
    <s v="6052-Marcia Lima Peixoto"/>
    <m/>
    <m/>
    <n v="2769494279"/>
    <n v="177670612142661"/>
    <s v="(22) 99278-8136"/>
    <s v="(21) 2038-4382"/>
    <s v="Sainte"/>
    <s v="Atendido"/>
    <s v="Fora de Area / Cx de Mensagens"/>
    <m/>
    <s v="Agente"/>
    <n v="16"/>
    <m/>
    <m/>
    <d v="1899-12-30T00:00:10"/>
    <d v="1899-12-30T00:00:03"/>
    <s v=""/>
    <x v="0"/>
  </r>
  <r>
    <d v="2026-04-20T14:29:06"/>
    <s v="3003 - FirjanAtivo"/>
    <s v="6052-Marcia Lima Peixoto"/>
    <m/>
    <m/>
    <n v="2775040468"/>
    <n v="177670614642751"/>
    <s v="(22) 99833-4300"/>
    <s v="(21) 2038-4382"/>
    <s v="Sainte"/>
    <s v="Não Atendeu"/>
    <s v="Não Atendeu"/>
    <m/>
    <s v="Agente"/>
    <n v="19"/>
    <m/>
    <m/>
    <d v="1899-12-30T00:00:04"/>
    <s v="---"/>
    <s v=""/>
    <x v="0"/>
  </r>
  <r>
    <d v="2026-04-20T14:29:22"/>
    <s v="3003 - FirjanAtivo"/>
    <s v="6052-Marcia Lima Peixoto"/>
    <m/>
    <m/>
    <n v="2775433417"/>
    <n v="177670616242821"/>
    <s v="(22) 99872-7233"/>
    <s v="(21) 2038-4382"/>
    <s v="Sainte"/>
    <s v="Não Atendeu"/>
    <s v="Não Atendeu"/>
    <m/>
    <s v="Agente"/>
    <n v="19"/>
    <m/>
    <m/>
    <d v="1899-12-30T00:00:36"/>
    <s v="---"/>
    <s v=""/>
    <x v="0"/>
  </r>
  <r>
    <d v="2026-04-20T14:30:13"/>
    <s v="3003 - FirjanAtivo"/>
    <s v="6052-Marcia Lima Peixoto"/>
    <m/>
    <m/>
    <n v="2769344022"/>
    <n v="177670621342911"/>
    <s v="(24) 99263-7785"/>
    <s v="(21) 2038-4382"/>
    <s v="Sainte"/>
    <s v="Atendido"/>
    <s v="Tel Não Atende / Ocupado"/>
    <m/>
    <s v="Agente"/>
    <n v="16"/>
    <m/>
    <m/>
    <d v="1899-12-30T00:00:47"/>
    <d v="1899-12-30T00:00:42"/>
    <s v=""/>
    <x v="0"/>
  </r>
  <r>
    <d v="2026-04-20T14:32:40"/>
    <s v="3003 - FirjanAtivo"/>
    <s v="6044-Roseli Honorato Dos Santos"/>
    <m/>
    <m/>
    <n v="2776221635"/>
    <n v="177670636043191"/>
    <s v="(22) 99951-5253"/>
    <s v="(21) 2038-4382"/>
    <s v="Sainte"/>
    <s v="Atendido"/>
    <s v="Fora de Area / Cx de Mensagens"/>
    <m/>
    <s v="Agente"/>
    <n v="16"/>
    <m/>
    <m/>
    <d v="1899-12-30T00:00:37"/>
    <d v="1899-12-30T00:00:18"/>
    <s v=""/>
    <x v="0"/>
  </r>
  <r>
    <d v="2026-04-20T14:34:19"/>
    <s v="3003 - FirjanAtivo"/>
    <s v="6044-Roseli Honorato Dos Santos"/>
    <m/>
    <m/>
    <n v="2774585045"/>
    <n v="177670645943321"/>
    <s v="(22) 99787-8564"/>
    <s v="(21) 2038-4382"/>
    <s v="Sainte"/>
    <s v="Atendido"/>
    <s v="Fora de Area / Cx de Mensagens"/>
    <m/>
    <s v="Cliente"/>
    <n v="16"/>
    <m/>
    <m/>
    <d v="1899-12-30T00:00:07"/>
    <d v="1899-12-30T00:00:06"/>
    <s v=""/>
    <x v="0"/>
  </r>
  <r>
    <d v="2026-04-20T14:36:51"/>
    <s v="3003 - FirjanAtivo"/>
    <s v="6044-Roseli Honorato Dos Santos"/>
    <m/>
    <m/>
    <n v="2767298165"/>
    <n v="177670661143711"/>
    <s v="(21) 99059-1533"/>
    <s v="(21) 2038-4382"/>
    <s v="Sainte"/>
    <s v="Atendido"/>
    <s v="Fora de Area / Cx de Mensagens"/>
    <m/>
    <s v="Cliente"/>
    <n v="16"/>
    <m/>
    <m/>
    <d v="1899-12-30T00:00:28"/>
    <d v="1899-12-30T00:00:20"/>
    <s v=""/>
    <x v="0"/>
  </r>
  <r>
    <d v="2026-04-20T14:37:58"/>
    <s v="3003 - FirjanAtivo"/>
    <s v="6044-Roseli Honorato Dos Santos"/>
    <m/>
    <m/>
    <n v="2758790606"/>
    <n v="177670667843961"/>
    <s v="(21) 98208-3907"/>
    <s v="(21) 2038-4382"/>
    <s v="Sainte"/>
    <s v="Atendido"/>
    <s v="Fora de Area / Cx de Mensagens"/>
    <m/>
    <s v="Agente"/>
    <n v="16"/>
    <m/>
    <m/>
    <d v="1899-12-30T00:01:25"/>
    <d v="1899-12-30T00:01:04"/>
    <s v=""/>
    <x v="0"/>
  </r>
  <r>
    <d v="2026-04-20T14:38:02"/>
    <s v="3003 - FirjanAtivo"/>
    <s v="6052-Marcia Lima Peixoto"/>
    <m/>
    <m/>
    <n v="2758497498"/>
    <n v="177670668244011"/>
    <s v="(22) 98179-0794"/>
    <s v="(21) 2038-4382"/>
    <s v="Sainte"/>
    <s v="Não Atendeu"/>
    <s v="Não Atendeu"/>
    <m/>
    <s v="Agente"/>
    <n v="19"/>
    <m/>
    <m/>
    <d v="1899-12-30T00:00:36"/>
    <s v="---"/>
    <s v=""/>
    <x v="0"/>
  </r>
  <r>
    <d v="2026-04-20T14:38:52"/>
    <s v="3003 - FirjanAtivo"/>
    <s v="6052-Marcia Lima Peixoto"/>
    <m/>
    <m/>
    <n v="2775319442"/>
    <n v="177670673244091"/>
    <s v="(22) 99861-2688"/>
    <s v="(21) 2038-4382"/>
    <s v="Sainte"/>
    <s v="Não Atendeu"/>
    <s v="Não Atendeu"/>
    <m/>
    <s v="Agente"/>
    <n v="19"/>
    <m/>
    <m/>
    <d v="1899-12-30T00:00:27"/>
    <s v="---"/>
    <s v=""/>
    <x v="0"/>
  </r>
  <r>
    <d v="2026-04-20T14:39:32"/>
    <s v="3003 - FirjanAtivo"/>
    <s v="6052-Marcia Lima Peixoto"/>
    <m/>
    <m/>
    <n v="2750723131"/>
    <n v="177670677244331"/>
    <s v="(24) 97401-6335"/>
    <s v="(21) 2038-4382"/>
    <s v="Sainte"/>
    <s v="Atendido"/>
    <s v="Enviar E-mail"/>
    <m/>
    <s v="Agente"/>
    <n v="16"/>
    <m/>
    <m/>
    <d v="1899-12-30T00:02:22"/>
    <d v="1899-12-30T00:02:16"/>
    <n v="1"/>
    <x v="0"/>
  </r>
  <r>
    <d v="2026-04-20T14:42:59"/>
    <s v="3003 - FirjanAtivo"/>
    <s v="6052-Marcia Lima Peixoto"/>
    <m/>
    <m/>
    <n v="2775640833"/>
    <n v="177670697944611"/>
    <s v="(22) 99893-3832"/>
    <s v="(21) 2038-4382"/>
    <s v="Sainte"/>
    <s v="Não Atendeu"/>
    <s v="Não Atendeu"/>
    <m/>
    <s v="Agente"/>
    <n v="19"/>
    <m/>
    <m/>
    <d v="1899-12-30T00:00:19"/>
    <s v="---"/>
    <s v=""/>
    <x v="0"/>
  </r>
  <r>
    <d v="2026-04-20T14:44:24"/>
    <s v="3003 - FirjanAtivo"/>
    <s v="6052-Marcia Lima Peixoto"/>
    <m/>
    <m/>
    <n v="2775640918"/>
    <n v="177670706444641"/>
    <s v="(22) 99893-3832"/>
    <s v="(21) 2038-4382"/>
    <s v="Sainte"/>
    <s v="Não Atendeu"/>
    <s v="Não Atendeu"/>
    <m/>
    <s v="Agente"/>
    <n v="19"/>
    <m/>
    <m/>
    <d v="1899-12-30T00:00:35"/>
    <s v="---"/>
    <s v=""/>
    <x v="0"/>
  </r>
  <r>
    <d v="2026-04-20T14:45:13"/>
    <s v="3003 - FirjanAtivo"/>
    <s v="6052-Marcia Lima Peixoto"/>
    <m/>
    <m/>
    <n v="2765112008"/>
    <n v="177670711344671"/>
    <s v="(21) 98840-4874"/>
    <s v="(21) 2038-4382"/>
    <s v="Sainte"/>
    <s v="Não Atendeu"/>
    <s v="Não Atendeu"/>
    <m/>
    <s v="Agente"/>
    <n v="19"/>
    <m/>
    <m/>
    <d v="1899-12-30T00:00:06"/>
    <s v="---"/>
    <s v=""/>
    <x v="0"/>
  </r>
  <r>
    <d v="2026-04-20T14:45:34"/>
    <s v="3003 - FirjanAtivo"/>
    <s v="6052-Marcia Lima Peixoto"/>
    <m/>
    <m/>
    <n v="2775273887"/>
    <n v="177670713444701"/>
    <s v="(24) 99856-6729"/>
    <s v="(21) 2038-4382"/>
    <s v="Sainte"/>
    <s v="Atendido"/>
    <s v="Fora de Area / Cx de Mensagens"/>
    <m/>
    <s v="Agente"/>
    <n v="16"/>
    <m/>
    <m/>
    <d v="1899-12-30T00:00:07"/>
    <d v="1899-12-30T00:00:02"/>
    <s v=""/>
    <x v="0"/>
  </r>
  <r>
    <d v="2026-04-20T14:46:05"/>
    <s v="3003 - FirjanAtivo"/>
    <s v="6052-Marcia Lima Peixoto"/>
    <m/>
    <m/>
    <n v="2765025633"/>
    <n v="177670716544731"/>
    <s v="(22) 98831-8446"/>
    <s v="(21) 2038-4382"/>
    <s v="Sainte"/>
    <s v="Atendido"/>
    <s v="Fora de Area / Cx de Mensagens"/>
    <m/>
    <s v="Agente"/>
    <n v="16"/>
    <m/>
    <m/>
    <d v="1899-12-30T00:00:26"/>
    <d v="1899-12-30T00:00:02"/>
    <s v=""/>
    <x v="0"/>
  </r>
  <r>
    <d v="2026-04-20T14:46:49"/>
    <s v="3003 - FirjanAtivo"/>
    <s v="6044-Roseli Honorato Dos Santos"/>
    <m/>
    <m/>
    <n v="2764727782"/>
    <n v="177670720944761"/>
    <s v="(24) 98802-0549"/>
    <s v="(21) 2038-4382"/>
    <s v="Sainte"/>
    <s v="Atendido"/>
    <s v="Fora de Area / Cx de Mensagens"/>
    <m/>
    <s v="Agente"/>
    <n v="16"/>
    <m/>
    <m/>
    <d v="1899-12-30T00:00:41"/>
    <d v="1899-12-30T00:00:34"/>
    <s v=""/>
    <x v="0"/>
  </r>
  <r>
    <d v="2026-04-20T14:47:00"/>
    <s v="3003 - FirjanAtivo"/>
    <s v="6052-Marcia Lima Peixoto"/>
    <m/>
    <m/>
    <n v="2741037333"/>
    <n v="177670722044781"/>
    <s v="(21) 96433-0092"/>
    <s v="(21) 2038-4382"/>
    <s v="Sainte"/>
    <s v="Não Atendeu"/>
    <s v="Não Atendeu"/>
    <m/>
    <s v="Agente"/>
    <n v="19"/>
    <m/>
    <m/>
    <d v="1899-12-30T00:00:04"/>
    <s v="---"/>
    <s v=""/>
    <x v="0"/>
  </r>
  <r>
    <d v="2026-04-20T14:47:18"/>
    <s v="3003 - FirjanAtivo"/>
    <s v="6052-Marcia Lima Peixoto"/>
    <m/>
    <m/>
    <n v="2771645690"/>
    <n v="177670723844871"/>
    <s v="(21) 99493-8431"/>
    <s v="(21) 2038-4382"/>
    <s v="Sainte"/>
    <s v="Não Atendeu"/>
    <s v="Não Atendeu"/>
    <m/>
    <s v="Agente"/>
    <n v="19"/>
    <m/>
    <m/>
    <d v="1899-12-30T00:00:33"/>
    <s v="---"/>
    <s v=""/>
    <x v="0"/>
  </r>
  <r>
    <d v="2026-04-20T14:48:08"/>
    <s v="3003 - FirjanAtivo"/>
    <s v="6052-Marcia Lima Peixoto"/>
    <m/>
    <m/>
    <n v="2762288052"/>
    <n v="177670728844951"/>
    <s v="(21) 98558-0743"/>
    <s v="(21) 2038-4382"/>
    <s v="Sainte"/>
    <s v="Atendido"/>
    <s v="Enviar E-mail"/>
    <m/>
    <s v="Agente"/>
    <n v="16"/>
    <m/>
    <m/>
    <d v="1899-12-30T00:02:42"/>
    <d v="1899-12-30T00:02:22"/>
    <n v="1"/>
    <x v="0"/>
  </r>
  <r>
    <d v="2026-04-20T14:50:11"/>
    <s v="3003 - FirjanAtivo"/>
    <s v="6044-Roseli Honorato Dos Santos"/>
    <m/>
    <m/>
    <n v="2758279594"/>
    <n v="177670741145051"/>
    <s v="(22) 98157-2161"/>
    <s v="(21) 2038-4382"/>
    <s v="Sainte"/>
    <s v="Atendido"/>
    <s v="Enviar E-mail"/>
    <m/>
    <s v="Cliente"/>
    <n v="16"/>
    <m/>
    <m/>
    <d v="1899-12-30T00:02:37"/>
    <d v="1899-12-30T00:02:26"/>
    <n v="1"/>
    <x v="0"/>
  </r>
  <r>
    <d v="2026-04-20T14:51:45"/>
    <s v="3003 - FirjanAtivo"/>
    <s v="6052-Marcia Lima Peixoto"/>
    <m/>
    <m/>
    <n v="2765283424"/>
    <n v="177670750545151"/>
    <s v="(21) 98857-5898"/>
    <s v="(21) 2038-4382"/>
    <s v="Sainte"/>
    <s v="Atendido"/>
    <s v="Enviar E-mail"/>
    <m/>
    <s v="Cliente"/>
    <n v="16"/>
    <m/>
    <m/>
    <d v="1899-12-30T00:02:59"/>
    <d v="1899-12-30T00:02:42"/>
    <n v="1"/>
    <x v="0"/>
  </r>
  <r>
    <d v="2026-04-20T14:53:50"/>
    <s v="3003 - FirjanAtivo"/>
    <s v="6044-Roseli Honorato Dos Santos"/>
    <m/>
    <m/>
    <n v="1846854071"/>
    <n v="177670762945501"/>
    <s v="(21) 97014-6423"/>
    <s v="(21) 2038-4382"/>
    <s v="Sainte"/>
    <s v="Não Atendeu"/>
    <s v="Não Atendeu"/>
    <m/>
    <s v="Cliente"/>
    <n v="1"/>
    <m/>
    <m/>
    <d v="1899-12-30T00:00:01"/>
    <s v="---"/>
    <s v=""/>
    <x v="0"/>
  </r>
  <r>
    <d v="2026-04-20T14:54:25"/>
    <s v="3003 - FirjanAtivo"/>
    <s v="6044-Roseli Honorato Dos Santos"/>
    <m/>
    <m/>
    <n v="2746854109"/>
    <n v="177670766545641"/>
    <s v="(21) 97014-6423"/>
    <s v="(21) 2038-4382"/>
    <s v="Sainte"/>
    <s v="Atendido"/>
    <s v="Fora de Area / Cx de Mensagens"/>
    <m/>
    <s v="Agente"/>
    <n v="16"/>
    <m/>
    <m/>
    <d v="1899-12-30T00:01:12"/>
    <d v="1899-12-30T00:00:41"/>
    <s v=""/>
    <x v="0"/>
  </r>
  <r>
    <d v="2026-04-20T14:56:04"/>
    <s v="3003 - FirjanAtivo"/>
    <s v="6044-Roseli Honorato Dos Santos"/>
    <m/>
    <m/>
    <n v="2774369984"/>
    <n v="177670776445791"/>
    <s v="(22) 99766-2198"/>
    <s v="(21) 2038-4382"/>
    <s v="Sainte"/>
    <s v="Atendido"/>
    <s v="Enviar E-mail"/>
    <m/>
    <s v="Cliente"/>
    <n v="16"/>
    <m/>
    <m/>
    <d v="1899-12-30T00:02:46"/>
    <d v="1899-12-30T00:02:42"/>
    <n v="1"/>
    <x v="0"/>
  </r>
  <r>
    <d v="2026-04-20T14:57:56"/>
    <s v="3003 - FirjanAtivo"/>
    <s v="6052-Marcia Lima Peixoto"/>
    <m/>
    <m/>
    <n v="2756677211"/>
    <n v="177670787646051"/>
    <s v="(21) 97996-9313"/>
    <s v="(21) 2038-4382"/>
    <s v="Sainte"/>
    <s v="Atendido"/>
    <s v="Fora de Area / Cx de Mensagens"/>
    <m/>
    <s v="Agente"/>
    <n v="16"/>
    <m/>
    <m/>
    <d v="1899-12-30T00:00:05"/>
    <d v="1899-12-30T00:00:02"/>
    <s v=""/>
    <x v="0"/>
  </r>
  <r>
    <d v="2026-04-20T14:58:24"/>
    <s v="3003 - FirjanAtivo"/>
    <s v="6052-Marcia Lima Peixoto"/>
    <m/>
    <m/>
    <n v="2761566742"/>
    <n v="177670790446091"/>
    <s v="(21) 98485-8817"/>
    <s v="(21) 2038-4382"/>
    <s v="Sainte"/>
    <s v="Não Atendeu"/>
    <s v="Não Atendeu"/>
    <m/>
    <s v="Agente"/>
    <n v="19"/>
    <m/>
    <m/>
    <d v="1899-12-30T00:00:35"/>
    <s v="---"/>
    <s v=""/>
    <x v="0"/>
  </r>
  <r>
    <d v="2026-04-20T14:59:44"/>
    <s v="3003 - FirjanAtivo"/>
    <s v="6052-Marcia Lima Peixoto"/>
    <m/>
    <m/>
    <n v="2761566822"/>
    <n v="177670798446241"/>
    <s v="(21) 98485-8817"/>
    <s v="(21) 2038-4382"/>
    <s v="Sainte"/>
    <s v="Não Atendeu"/>
    <s v="Não Atendeu"/>
    <m/>
    <s v="Agente"/>
    <n v="19"/>
    <m/>
    <m/>
    <d v="1899-12-30T00:00:36"/>
    <s v="---"/>
    <s v=""/>
    <x v="0"/>
  </r>
  <r>
    <d v="2026-04-20T15:00:39"/>
    <s v="3003 - FirjanAtivo"/>
    <s v="6052-Marcia Lima Peixoto"/>
    <m/>
    <m/>
    <n v="2776239588"/>
    <n v="177670803946401"/>
    <s v="(21) 99953-1528"/>
    <s v="(21) 2038-4382"/>
    <s v="Sainte"/>
    <s v="Atendido"/>
    <s v="Fora de Area / Cx de Mensagens"/>
    <m/>
    <s v="Agente"/>
    <n v="16"/>
    <m/>
    <m/>
    <d v="1899-12-30T00:00:27"/>
    <d v="1899-12-30T00:00:05"/>
    <s v=""/>
    <x v="0"/>
  </r>
  <r>
    <d v="2026-04-20T15:01:44"/>
    <s v="3003 - FirjanAtivo"/>
    <s v="6052-Marcia Lima Peixoto"/>
    <m/>
    <m/>
    <n v="2776697903"/>
    <n v="177670810446471"/>
    <s v="(22) 99998-9777"/>
    <s v="(21) 2038-4382"/>
    <s v="Sainte"/>
    <s v="Atendido"/>
    <s v="Enviar E-mail"/>
    <m/>
    <s v="Agente"/>
    <n v="16"/>
    <m/>
    <m/>
    <d v="1899-12-30T00:03:40"/>
    <d v="1899-12-30T00:03:05"/>
    <n v="1"/>
    <x v="0"/>
  </r>
  <r>
    <d v="2026-04-20T15:02:07"/>
    <s v="3003 - FirjanAtivo"/>
    <s v="6044-Roseli Honorato Dos Santos"/>
    <m/>
    <m/>
    <n v="2741557285"/>
    <n v="177670812746491"/>
    <s v="(21) 96484-9137"/>
    <s v="(21) 2038-4382"/>
    <s v="Sainte"/>
    <s v="Atendido"/>
    <s v="Fora de Area / Cx de Mensagens"/>
    <m/>
    <s v="Agente"/>
    <n v="16"/>
    <m/>
    <m/>
    <d v="1899-12-30T00:01:26"/>
    <d v="1899-12-30T00:01:18"/>
    <s v=""/>
    <x v="0"/>
  </r>
  <r>
    <d v="2026-04-20T15:04:18"/>
    <s v="3003 - FirjanAtivo"/>
    <s v="6044-Roseli Honorato Dos Santos"/>
    <m/>
    <m/>
    <n v="2769882975"/>
    <n v="177670825846711"/>
    <s v="(24) 99317-4693"/>
    <s v="(21) 2038-4382"/>
    <s v="Sainte"/>
    <s v="Atendido"/>
    <s v="Fora de Area / Cx de Mensagens"/>
    <m/>
    <s v="Agente"/>
    <n v="16"/>
    <m/>
    <m/>
    <d v="1899-12-30T00:00:43"/>
    <d v="1899-12-30T00:00:04"/>
    <s v=""/>
    <x v="0"/>
  </r>
  <r>
    <d v="2026-04-20T15:05:29"/>
    <s v="3003 - FirjanAtivo"/>
    <s v="6044-Roseli Honorato Dos Santos"/>
    <m/>
    <m/>
    <n v="2776675118"/>
    <n v="177670832946971"/>
    <s v="(24) 99996-6765"/>
    <s v="(21) 2038-4382"/>
    <s v="Sainte"/>
    <s v="Atendido"/>
    <s v="Enviar E-mail"/>
    <m/>
    <s v="Cliente"/>
    <n v="16"/>
    <m/>
    <m/>
    <d v="1899-12-30T00:02:41"/>
    <d v="1899-12-30T00:02:26"/>
    <n v="1"/>
    <x v="0"/>
  </r>
  <r>
    <d v="2026-04-20T15:06:56"/>
    <s v="3003 - FirjanAtivo"/>
    <s v="6052-Marcia Lima Peixoto"/>
    <m/>
    <m/>
    <n v="2758513313"/>
    <n v="177670841647111"/>
    <s v="(21) 98180-4876"/>
    <s v="(21) 2038-4382"/>
    <s v="Sainte"/>
    <s v="Atendido"/>
    <s v="Enviar E-mail"/>
    <m/>
    <s v="Agente"/>
    <n v="16"/>
    <m/>
    <m/>
    <d v="1899-12-30T00:02:42"/>
    <d v="1899-12-30T00:02:25"/>
    <n v="1"/>
    <x v="0"/>
  </r>
  <r>
    <d v="2026-04-20T15:10:38"/>
    <s v="3003 - FirjanAtivo"/>
    <s v="6044-Roseli Honorato Dos Santos"/>
    <m/>
    <m/>
    <n v="2760865505"/>
    <n v="177670863847361"/>
    <s v="(21) 98415-6846"/>
    <s v="(21) 2038-4382"/>
    <s v="Sainte"/>
    <s v="Atendido"/>
    <s v="Enviar E-mail"/>
    <m/>
    <s v="Agente"/>
    <n v="16"/>
    <m/>
    <m/>
    <d v="1899-12-30T00:02:47"/>
    <d v="1899-12-30T00:02:29"/>
    <n v="1"/>
    <x v="0"/>
  </r>
  <r>
    <d v="2026-04-20T15:17:49"/>
    <s v="3003 - FirjanAtivo"/>
    <s v="6044-Roseli Honorato Dos Santos"/>
    <m/>
    <m/>
    <n v="2774686059"/>
    <n v="177670906948321"/>
    <s v="(21) 99797-6969"/>
    <s v="(21) 2038-4382"/>
    <s v="Sainte"/>
    <s v="Não Atendeu"/>
    <s v="Não Atendeu"/>
    <m/>
    <s v="Agente"/>
    <n v="19"/>
    <m/>
    <m/>
    <d v="1899-12-30T00:00:10"/>
    <s v="---"/>
    <s v=""/>
    <x v="0"/>
  </r>
  <r>
    <d v="2026-04-20T15:21:44"/>
    <s v="3003 - FirjanAtivo"/>
    <s v="6044-Roseli Honorato Dos Santos"/>
    <m/>
    <m/>
    <n v="2774971497"/>
    <n v="177670930448831"/>
    <s v="(22) 99826-2171"/>
    <s v="(21) 2038-4382"/>
    <s v="Sainte"/>
    <s v="Atendido"/>
    <s v="Fora de Area / Cx de Mensagens"/>
    <m/>
    <s v="Cliente"/>
    <n v="16"/>
    <m/>
    <m/>
    <d v="1899-12-30T00:02:37"/>
    <d v="1899-12-30T00:02:33"/>
    <s v=""/>
    <x v="0"/>
  </r>
  <r>
    <d v="2026-04-20T15:25:08"/>
    <s v="3003 - FirjanAtivo"/>
    <s v="6052-Marcia Lima Peixoto"/>
    <m/>
    <m/>
    <n v="2764724480"/>
    <n v="177670950849321"/>
    <s v="(22) 98801-4950"/>
    <s v="(21) 2038-4382"/>
    <s v="Sainte"/>
    <s v="Não Atendeu"/>
    <s v="Não Atendeu"/>
    <m/>
    <s v="Agente"/>
    <n v="19"/>
    <m/>
    <m/>
    <d v="1899-12-30T00:00:08"/>
    <s v="---"/>
    <s v=""/>
    <x v="0"/>
  </r>
  <r>
    <d v="2026-04-20T15:25:08"/>
    <s v="3003 - FirjanAtivo"/>
    <s v="6044-Roseli Honorato Dos Santos"/>
    <m/>
    <m/>
    <n v="2773207383"/>
    <n v="177670950849331"/>
    <s v="(21) 99649-7854"/>
    <s v="(21) 2038-4382"/>
    <s v="Sainte"/>
    <s v="Atendido"/>
    <s v="Cliente Desligou"/>
    <m/>
    <s v="Cliente"/>
    <n v="16"/>
    <m/>
    <m/>
    <d v="1899-12-30T00:00:25"/>
    <d v="1899-12-30T00:00:08"/>
    <s v=""/>
    <x v="0"/>
  </r>
  <r>
    <d v="2026-04-20T15:25:29"/>
    <s v="3003 - FirjanAtivo"/>
    <s v="6052-Marcia Lima Peixoto"/>
    <m/>
    <m/>
    <n v="2750237369"/>
    <n v="177670952949521"/>
    <s v="(21) 97352-7818"/>
    <s v="(21) 2038-4382"/>
    <s v="Sainte"/>
    <s v="Atendido"/>
    <s v="Enviar E-mail"/>
    <m/>
    <s v="Agente"/>
    <n v="16"/>
    <m/>
    <m/>
    <d v="1899-12-30T00:03:40"/>
    <d v="1899-12-30T00:03:31"/>
    <n v="1"/>
    <x v="0"/>
  </r>
  <r>
    <d v="2026-04-20T15:32:42"/>
    <s v="3003 - FirjanAtivo"/>
    <s v="6052-Marcia Lima Peixoto"/>
    <m/>
    <m/>
    <n v="2769124622"/>
    <n v="177670996250641"/>
    <s v="(24) 99241-4636"/>
    <s v="(21) 2038-4382"/>
    <s v="Sainte"/>
    <s v="Atendido"/>
    <s v="Fora de Area / Cx de Mensagens"/>
    <m/>
    <s v="Agente"/>
    <n v="16"/>
    <m/>
    <m/>
    <d v="1899-12-30T00:00:25"/>
    <d v="1899-12-30T00:00:02"/>
    <s v=""/>
    <x v="0"/>
  </r>
  <r>
    <d v="2026-04-20T15:33:25"/>
    <s v="3003 - FirjanAtivo"/>
    <s v="6052-Marcia Lima Peixoto"/>
    <m/>
    <m/>
    <n v="2771645192"/>
    <n v="177671000450771"/>
    <s v="(22) 99493-5166"/>
    <s v="(21) 2038-4382"/>
    <s v="Sainte"/>
    <s v="Não Atendeu"/>
    <s v="Não Atendeu"/>
    <m/>
    <s v="Cliente"/>
    <n v="1"/>
    <m/>
    <m/>
    <d v="1899-12-30T00:00:01"/>
    <s v="---"/>
    <s v=""/>
    <x v="0"/>
  </r>
  <r>
    <d v="2026-04-20T15:33:32"/>
    <s v="3003 - FirjanAtivo"/>
    <s v="6052-Marcia Lima Peixoto"/>
    <m/>
    <m/>
    <n v="2771645199"/>
    <n v="177671001150811"/>
    <s v="(22) 99493-5166"/>
    <s v="(21) 2038-4382"/>
    <s v="Sainte"/>
    <s v="Não Atendeu"/>
    <s v="Não Atendeu"/>
    <m/>
    <s v="Cliente"/>
    <n v="1"/>
    <m/>
    <m/>
    <d v="1899-12-30T00:00:01"/>
    <s v="---"/>
    <s v=""/>
    <x v="0"/>
  </r>
  <r>
    <d v="2026-04-20T15:33:44"/>
    <s v="3003 - FirjanAtivo"/>
    <s v="6052-Marcia Lima Peixoto"/>
    <m/>
    <m/>
    <n v="2741958384"/>
    <n v="177671002450911"/>
    <s v="(21) 96524-8339"/>
    <s v="(21) 2038-4382"/>
    <s v="Sainte"/>
    <s v="Atendido"/>
    <s v="Enviar E-mail"/>
    <m/>
    <s v="Cliente"/>
    <n v="16"/>
    <m/>
    <m/>
    <d v="1899-12-30T00:04:53"/>
    <d v="1899-12-30T00:04:44"/>
    <n v="1"/>
    <x v="0"/>
  </r>
  <r>
    <d v="2026-04-20T15:44:45"/>
    <s v="3003 - FirjanAtivo"/>
    <s v="6052-Marcia Lima Peixoto"/>
    <m/>
    <m/>
    <n v="2747002690"/>
    <n v="177671068552271"/>
    <s v="(21) 97029-1984"/>
    <s v="(21) 2038-4382"/>
    <s v="Sainte"/>
    <s v="Atendido"/>
    <s v="Enviar E-mail"/>
    <m/>
    <s v="Agente"/>
    <n v="16"/>
    <m/>
    <m/>
    <d v="1899-12-30T00:02:25"/>
    <d v="1899-12-30T00:02:14"/>
    <n v="1"/>
    <x v="0"/>
  </r>
  <r>
    <d v="2026-04-20T15:48:33"/>
    <s v="3003 - FirjanAtivo"/>
    <s v="6044-Roseli Honorato Dos Santos"/>
    <m/>
    <m/>
    <n v="1896446522"/>
    <n v="177671091252791"/>
    <s v="11973-5599"/>
    <s v="(21) 2038-4382"/>
    <s v="Sainte"/>
    <s v="Não Atendeu"/>
    <s v="Não Atendeu"/>
    <m/>
    <s v="Cliente"/>
    <n v="1"/>
    <m/>
    <m/>
    <d v="1899-12-30T00:00:01"/>
    <s v="---"/>
    <s v=""/>
    <x v="0"/>
  </r>
  <r>
    <d v="2026-04-20T15:48:41"/>
    <s v="3003 - FirjanAtivo"/>
    <s v="6052-Marcia Lima Peixoto"/>
    <m/>
    <m/>
    <n v="2776710361"/>
    <n v="177671092152831"/>
    <s v="(22) 99999-9418"/>
    <s v="(21) 2038-4382"/>
    <s v="Sainte"/>
    <s v="Atendido"/>
    <s v="Fora de Area / Cx de Mensagens"/>
    <m/>
    <s v="Agente"/>
    <n v="16"/>
    <m/>
    <m/>
    <d v="1899-12-30T00:00:06"/>
    <d v="1899-12-30T00:00:02"/>
    <s v=""/>
    <x v="0"/>
  </r>
  <r>
    <d v="2026-04-20T15:49:07"/>
    <s v="3003 - FirjanAtivo"/>
    <s v="6052-Marcia Lima Peixoto"/>
    <m/>
    <m/>
    <n v="1868289782"/>
    <n v="177671094652861"/>
    <s v="(67) 09157-8769"/>
    <s v="(21) 2038-4382"/>
    <s v="Sainte"/>
    <s v="Não Atendeu"/>
    <s v="Não Atendeu"/>
    <m/>
    <s v="Cliente"/>
    <n v="1"/>
    <m/>
    <m/>
    <d v="1899-12-30T00:00:01"/>
    <s v="---"/>
    <s v=""/>
    <x v="0"/>
  </r>
  <r>
    <d v="2026-04-20T15:49:15"/>
    <s v="3003 - FirjanAtivo"/>
    <s v="6052-Marcia Lima Peixoto"/>
    <m/>
    <m/>
    <n v="1868289791"/>
    <n v="177671095552901"/>
    <s v="(67) 09157-8769"/>
    <s v="(21) 2038-4382"/>
    <s v="Sainte"/>
    <s v="Não Atendeu"/>
    <s v="Não Atendeu"/>
    <m/>
    <s v="Cliente"/>
    <n v="1"/>
    <m/>
    <m/>
    <d v="1899-12-30T00:00:01"/>
    <s v="---"/>
    <s v=""/>
    <x v="0"/>
  </r>
  <r>
    <d v="2026-04-20T15:49:33"/>
    <s v="3003 - FirjanAtivo"/>
    <s v="6044-Roseli Honorato Dos Santos"/>
    <m/>
    <m/>
    <n v="1876446582"/>
    <n v="177671097252941"/>
    <s v="(11) 9973-5599"/>
    <s v="(21) 2038-4382"/>
    <s v="Sainte"/>
    <s v="Não Atendeu"/>
    <s v="Não Atendeu"/>
    <m/>
    <s v="Cliente"/>
    <n v="1"/>
    <m/>
    <m/>
    <d v="1899-12-30T00:00:01"/>
    <s v="---"/>
    <s v=""/>
    <x v="0"/>
  </r>
  <r>
    <d v="2026-04-20T15:50:20"/>
    <s v="3003 - FirjanAtivo"/>
    <s v="6044-Roseli Honorato Dos Santos"/>
    <m/>
    <m/>
    <n v="2750728200"/>
    <n v="177671102052981"/>
    <s v="(24) 97401-7156"/>
    <s v="(21) 2038-4382"/>
    <s v="Sainte"/>
    <s v="Atendido"/>
    <s v="Fora de Area / Cx de Mensagens"/>
    <m/>
    <s v="Agente"/>
    <n v="16"/>
    <m/>
    <m/>
    <d v="1899-12-30T00:00:25"/>
    <d v="1899-12-30T00:00:13"/>
    <s v=""/>
    <x v="0"/>
  </r>
  <r>
    <d v="2026-04-20T15:50:54"/>
    <s v="3003 - FirjanAtivo"/>
    <s v="6052-Marcia Lima Peixoto"/>
    <m/>
    <m/>
    <n v="2770229392"/>
    <n v="177671105453011"/>
    <s v="(21) 99351-8317"/>
    <s v="(21) 2038-4382"/>
    <s v="Sainte"/>
    <s v="Não Atendeu"/>
    <s v="Não Atendeu"/>
    <m/>
    <s v="Agente"/>
    <n v="19"/>
    <m/>
    <m/>
    <d v="1899-12-30T00:00:35"/>
    <s v="---"/>
    <s v=""/>
    <x v="0"/>
  </r>
  <r>
    <d v="2026-04-20T15:51:08"/>
    <s v="3003 - FirjanAtivo"/>
    <s v="6044-Roseli Honorato Dos Santos"/>
    <m/>
    <m/>
    <n v="2776154122"/>
    <n v="177671106853031"/>
    <s v="(21) 99944-3033"/>
    <s v="(21) 2038-4382"/>
    <s v="Sainte"/>
    <s v="Atendido"/>
    <s v="Fora de Area / Cx de Mensagens"/>
    <m/>
    <s v="Agente"/>
    <n v="16"/>
    <m/>
    <m/>
    <d v="1899-12-30T00:01:29"/>
    <d v="1899-12-30T00:00:52"/>
    <s v=""/>
    <x v="0"/>
  </r>
  <r>
    <d v="2026-04-20T15:51:44"/>
    <s v="3003 - FirjanAtivo"/>
    <s v="6052-Marcia Lima Peixoto"/>
    <m/>
    <m/>
    <n v="2768993247"/>
    <n v="177671110453061"/>
    <s v="(24) 99228-2119"/>
    <s v="(21) 2038-4382"/>
    <s v="Sainte"/>
    <s v="Não Atendeu"/>
    <s v="Não Atendeu"/>
    <m/>
    <s v="Agente"/>
    <n v="19"/>
    <m/>
    <m/>
    <d v="1899-12-30T00:00:16"/>
    <s v="---"/>
    <s v=""/>
    <x v="0"/>
  </r>
  <r>
    <d v="2026-04-20T15:52:15"/>
    <s v="3003 - FirjanAtivo"/>
    <s v="6052-Marcia Lima Peixoto"/>
    <m/>
    <m/>
    <n v="2774930611"/>
    <n v="177671113553151"/>
    <s v="(22) 99821-9454"/>
    <s v="(21) 2038-4382"/>
    <s v="Sainte"/>
    <s v="Não Atendeu"/>
    <s v="Não Atendeu"/>
    <m/>
    <s v="Agente"/>
    <n v="19"/>
    <m/>
    <m/>
    <d v="1899-12-30T00:00:04"/>
    <s v="---"/>
    <s v=""/>
    <x v="0"/>
  </r>
  <r>
    <d v="2026-04-20T15:52:43"/>
    <s v="3003 - FirjanAtivo"/>
    <s v="6052-Marcia Lima Peixoto"/>
    <m/>
    <m/>
    <n v="2768289048"/>
    <n v="177671116353271"/>
    <s v="(21) 99157-7864"/>
    <s v="(21) 2038-4382"/>
    <s v="Sainte"/>
    <s v="Atendido"/>
    <s v="Enviar E-mail"/>
    <m/>
    <s v="Agente"/>
    <n v="16"/>
    <m/>
    <m/>
    <d v="1899-12-30T00:02:50"/>
    <d v="1899-12-30T00:02:45"/>
    <n v="1"/>
    <x v="0"/>
  </r>
  <r>
    <d v="2026-04-20T15:53:48"/>
    <s v="3003 - FirjanAtivo"/>
    <s v="6044-Roseli Honorato Dos Santos"/>
    <m/>
    <m/>
    <n v="2774952973"/>
    <n v="177671122853371"/>
    <s v="(24) 99824-1721"/>
    <s v="(21) 2038-4382"/>
    <s v="Sainte"/>
    <s v="Atendido"/>
    <s v="Fora de Area / Cx de Mensagens"/>
    <m/>
    <s v="Cliente"/>
    <n v="16"/>
    <m/>
    <m/>
    <d v="1899-12-30T00:00:47"/>
    <d v="1899-12-30T00:00:10"/>
    <s v=""/>
    <x v="0"/>
  </r>
  <r>
    <d v="2026-04-20T15:56:33"/>
    <s v="3003 - FirjanAtivo"/>
    <s v="6044-Roseli Honorato Dos Santos"/>
    <m/>
    <m/>
    <n v="2757842151"/>
    <n v="177671139353631"/>
    <s v="(24) 98113-0734"/>
    <s v="(21) 2038-4382"/>
    <s v="Sainte"/>
    <s v="Atendido"/>
    <s v="Enviar E-mail"/>
    <m/>
    <s v="Agente"/>
    <n v="16"/>
    <m/>
    <m/>
    <d v="1899-12-30T00:03:16"/>
    <d v="1899-12-30T00:03:07"/>
    <n v="1"/>
    <x v="0"/>
  </r>
  <r>
    <d v="2026-04-20T15:59:03"/>
    <s v="3003 - FirjanAtivo"/>
    <s v="6052-Marcia Lima Peixoto"/>
    <m/>
    <m/>
    <n v="1873984953"/>
    <n v="177671154153831"/>
    <s v="(21) 99727-3393"/>
    <s v="(21) 2038-4382"/>
    <s v="Sainte"/>
    <s v="Não Atendeu"/>
    <s v="Não Atendeu"/>
    <m/>
    <s v="Cliente"/>
    <n v="1"/>
    <m/>
    <m/>
    <d v="1899-12-30T00:00:01"/>
    <s v="---"/>
    <s v=""/>
    <x v="0"/>
  </r>
  <r>
    <d v="2026-04-20T15:59:11"/>
    <s v="3003 - FirjanAtivo"/>
    <s v="6052-Marcia Lima Peixoto"/>
    <m/>
    <m/>
    <n v="2773984965"/>
    <n v="177671155153871"/>
    <s v="(21) 99727-3393"/>
    <s v="(21) 2038-4382"/>
    <s v="Sainte"/>
    <s v="Atendido"/>
    <s v="Tel Não Atende / Ocupado"/>
    <m/>
    <s v="Agente"/>
    <n v="16"/>
    <m/>
    <m/>
    <d v="1899-12-30T00:00:17"/>
    <d v="1899-12-30T00:00:02"/>
    <s v=""/>
    <x v="0"/>
  </r>
  <r>
    <d v="2026-04-20T16:00:13"/>
    <s v="3003 - FirjanAtivo"/>
    <s v="6052-Marcia Lima Peixoto"/>
    <m/>
    <m/>
    <n v="1873985025"/>
    <n v="177671161353971"/>
    <s v="(21) 99727-3393"/>
    <s v="(21) 2038-4382"/>
    <s v="Sainte"/>
    <s v="Não Atendeu"/>
    <s v="Não Atendeu"/>
    <m/>
    <s v="Cliente"/>
    <n v="1"/>
    <m/>
    <m/>
    <d v="1899-12-30T00:00:01"/>
    <s v="---"/>
    <s v=""/>
    <x v="0"/>
  </r>
  <r>
    <d v="2026-04-20T16:00:28"/>
    <s v="3003 - FirjanAtivo"/>
    <s v="6044-Roseli Honorato Dos Santos"/>
    <m/>
    <m/>
    <n v="2757789906"/>
    <n v="177671162854081"/>
    <s v="(24) 98107-8254"/>
    <s v="(21) 2038-4382"/>
    <s v="Sainte"/>
    <s v="Atendido"/>
    <s v="Fora de Area / Cx de Mensagens"/>
    <m/>
    <s v="Agente"/>
    <n v="16"/>
    <m/>
    <m/>
    <d v="1899-12-30T00:00:16"/>
    <d v="1899-12-30T00:00:06"/>
    <s v=""/>
    <x v="0"/>
  </r>
  <r>
    <d v="2026-04-20T16:01:24"/>
    <s v="3003 - FirjanAtivo"/>
    <s v="6044-Roseli Honorato Dos Santos"/>
    <m/>
    <m/>
    <n v="2757789962"/>
    <n v="177671168454181"/>
    <s v="(24) 98107-8254"/>
    <s v="(21) 2038-4382"/>
    <s v="Sainte"/>
    <s v="Não Atendeu"/>
    <s v="Não Atendeu"/>
    <m/>
    <s v="Agente"/>
    <n v="19"/>
    <m/>
    <m/>
    <d v="1899-12-30T00:00:06"/>
    <s v="---"/>
    <s v=""/>
    <x v="0"/>
  </r>
  <r>
    <d v="2026-04-20T16:03:37"/>
    <s v="3003 - FirjanAtivo"/>
    <s v="6052-Marcia Lima Peixoto"/>
    <m/>
    <m/>
    <n v="2775513022"/>
    <n v="177671181754671"/>
    <s v="(24) 99880-1181"/>
    <s v="(21) 2038-4382"/>
    <s v="Sainte"/>
    <s v="Não Atendeu"/>
    <s v="Não Atendeu"/>
    <m/>
    <s v="Agente"/>
    <n v="19"/>
    <m/>
    <m/>
    <d v="1899-12-30T00:00:11"/>
    <s v="---"/>
    <s v=""/>
    <x v="0"/>
  </r>
  <r>
    <d v="2026-04-20T16:04:12"/>
    <s v="3003 - FirjanAtivo"/>
    <s v="6052-Marcia Lima Peixoto"/>
    <m/>
    <m/>
    <n v="2775595754"/>
    <n v="177671185254701"/>
    <s v="(21) 99888-3881"/>
    <s v="(21) 2038-4382"/>
    <s v="Sainte"/>
    <s v="Atendido"/>
    <s v="Tel Não Atende / Ocupado"/>
    <m/>
    <s v="Agente"/>
    <n v="16"/>
    <m/>
    <m/>
    <d v="1899-12-30T00:00:30"/>
    <s v="---"/>
    <s v=""/>
    <x v="0"/>
  </r>
  <r>
    <d v="2026-04-20T16:04:42"/>
    <s v="3003 - FirjanAtivo"/>
    <s v="6044-Roseli Honorato Dos Santos"/>
    <s v="adielmoreiraportescombr"/>
    <n v="26295622000188"/>
    <n v="6"/>
    <n v="177671188254781"/>
    <s v="(22) 99773-7282"/>
    <n v="3003"/>
    <s v="Discador"/>
    <s v="Atendido"/>
    <s v="Fora de Area / Cx de Mensagens"/>
    <s v="BPATIVO20042026"/>
    <s v="Cliente"/>
    <n v="16"/>
    <m/>
    <m/>
    <d v="1899-12-30T00:00:04"/>
    <d v="1899-12-30T00:00:02"/>
    <s v=""/>
    <x v="0"/>
  </r>
  <r>
    <d v="2026-04-20T16:05:19"/>
    <s v="3003 - FirjanAtivo"/>
    <s v="6052-Marcia Lima Peixoto"/>
    <m/>
    <m/>
    <n v="2769636711"/>
    <n v="177671191954901"/>
    <s v="(24) 99292-4768"/>
    <s v="(21) 2038-4382"/>
    <s v="Sainte"/>
    <s v="Não Atendeu"/>
    <s v="Não Atendeu"/>
    <m/>
    <s v="Agente"/>
    <n v="19"/>
    <m/>
    <m/>
    <d v="1899-12-30T00:00:32"/>
    <s v="---"/>
    <s v=""/>
    <x v="0"/>
  </r>
  <r>
    <d v="2026-04-20T16:05:22"/>
    <s v="3003 - FirjanAtivo"/>
    <s v="6044-Roseli Honorato Dos Santos"/>
    <m/>
    <m/>
    <n v="2770551270"/>
    <n v="177671192254921"/>
    <s v="(21) 99383-9327"/>
    <s v="(21) 2038-4382"/>
    <s v="Sainte"/>
    <s v="Atendido"/>
    <s v="Enviar E-mail"/>
    <m/>
    <s v="Cliente"/>
    <n v="16"/>
    <m/>
    <m/>
    <d v="1899-12-30T00:02:58"/>
    <d v="1899-12-30T00:02:50"/>
    <n v="1"/>
    <x v="0"/>
  </r>
  <r>
    <d v="2026-04-20T16:06:03"/>
    <s v="3003 - FirjanAtivo"/>
    <s v="6052-Marcia Lima Peixoto"/>
    <m/>
    <m/>
    <n v="2741484781"/>
    <n v="177671196355101"/>
    <s v="(21) 96477-2797"/>
    <s v="(21) 2038-4382"/>
    <s v="Sainte"/>
    <s v="Atendido"/>
    <s v="Tel Não Atende / Ocupado"/>
    <m/>
    <s v="Agente"/>
    <n v="16"/>
    <m/>
    <m/>
    <d v="1899-12-30T00:00:29"/>
    <d v="1899-12-30T00:00:04"/>
    <s v=""/>
    <x v="0"/>
  </r>
  <r>
    <d v="2026-04-20T16:07:31"/>
    <s v="3003 - FirjanAtivo"/>
    <s v="6052-Marcia Lima Peixoto"/>
    <m/>
    <m/>
    <n v="2757193170"/>
    <n v="177671205155261"/>
    <s v="(21) 98048-1098"/>
    <s v="(21) 2038-4382"/>
    <s v="Sainte"/>
    <s v="Não Atendeu"/>
    <s v="Não Atendeu"/>
    <m/>
    <s v="Agente"/>
    <n v="19"/>
    <m/>
    <m/>
    <d v="1899-12-30T00:00:36"/>
    <s v="---"/>
    <s v=""/>
    <x v="0"/>
  </r>
  <r>
    <d v="2026-04-20T16:08:28"/>
    <s v="3003 - FirjanAtivo"/>
    <s v="6052-Marcia Lima Peixoto"/>
    <m/>
    <m/>
    <n v="2775038717"/>
    <n v="177671210855451"/>
    <s v="(24) 99832-6585"/>
    <s v="(21) 2038-4382"/>
    <s v="Sainte"/>
    <s v="Não Atendeu"/>
    <s v="Não Atendeu"/>
    <m/>
    <s v="Agente"/>
    <n v="19"/>
    <m/>
    <m/>
    <d v="1899-12-30T00:00:35"/>
    <s v="---"/>
    <s v=""/>
    <x v="0"/>
  </r>
  <r>
    <d v="2026-04-20T16:09:22"/>
    <s v="3003 - FirjanAtivo"/>
    <s v="6052-Marcia Lima Peixoto"/>
    <m/>
    <m/>
    <n v="2757564453"/>
    <n v="177671216255641"/>
    <s v="(21) 98085-2270"/>
    <s v="(21) 2038-4382"/>
    <s v="Sainte"/>
    <s v="Atendido"/>
    <s v="Fora de Area / Cx de Mensagens"/>
    <m/>
    <s v="Agente"/>
    <n v="16"/>
    <m/>
    <m/>
    <d v="1899-12-30T00:00:06"/>
    <d v="1899-12-30T00:00:02"/>
    <s v=""/>
    <x v="0"/>
  </r>
  <r>
    <d v="2026-04-20T16:10:48"/>
    <s v="3003 - FirjanAtivo"/>
    <s v="6044-Roseli Honorato Dos Santos"/>
    <m/>
    <m/>
    <n v="2764995204"/>
    <n v="177671224855711"/>
    <s v="(24) 98828-2932"/>
    <s v="(21) 2038-4382"/>
    <s v="Sainte"/>
    <s v="Atendido"/>
    <s v="Enviar E-mail"/>
    <m/>
    <s v="Cliente"/>
    <n v="16"/>
    <m/>
    <m/>
    <d v="1899-12-30T00:02:56"/>
    <d v="1899-12-30T00:02:46"/>
    <n v="1"/>
    <x v="0"/>
  </r>
  <r>
    <d v="2026-04-20T16:12:16"/>
    <s v="3003 - FirjanAtivo"/>
    <s v="6052-Marcia Lima Peixoto"/>
    <m/>
    <m/>
    <n v="2775872455"/>
    <n v="177671233655731"/>
    <s v="(22) 99916-0097"/>
    <s v="(21) 2038-4382"/>
    <s v="Sainte"/>
    <s v="Atendido"/>
    <s v="Enviar E-mail"/>
    <m/>
    <s v="Agente"/>
    <n v="16"/>
    <m/>
    <m/>
    <d v="1899-12-30T00:05:06"/>
    <d v="1899-12-30T00:04:58"/>
    <n v="1"/>
    <x v="0"/>
  </r>
  <r>
    <d v="2026-04-20T16:16:22"/>
    <s v="3003 - FirjanAtivo"/>
    <s v="6044-Roseli Honorato Dos Santos"/>
    <m/>
    <m/>
    <n v="2741719103"/>
    <n v="177671258256051"/>
    <s v="(21) 96500-6500"/>
    <s v="(21) 2038-4382"/>
    <s v="Sainte"/>
    <s v="Atendido"/>
    <s v="Fora de Area / Cx de Mensagens"/>
    <m/>
    <s v="Cliente"/>
    <n v="16"/>
    <m/>
    <m/>
    <d v="1899-12-30T00:00:17"/>
    <d v="1899-12-30T00:00:11"/>
    <s v=""/>
    <x v="0"/>
  </r>
  <r>
    <d v="2026-04-20T16:17:23"/>
    <s v="3003 - FirjanAtivo"/>
    <s v="6044-Roseli Honorato Dos Santos"/>
    <n v="64078000170"/>
    <n v="64078000170"/>
    <n v="652"/>
    <n v="177671264356121"/>
    <s v="(22) 99877-5886"/>
    <n v="3003"/>
    <s v="Discador"/>
    <s v="Atendido"/>
    <s v="Fora de Area / Cx de Mensagens"/>
    <s v="BPAtivo2"/>
    <s v="Agente"/>
    <n v="16"/>
    <m/>
    <m/>
    <d v="1899-12-30T00:00:18"/>
    <d v="1899-12-30T00:00:16"/>
    <s v=""/>
    <x v="0"/>
  </r>
  <r>
    <d v="2026-04-20T16:17:43"/>
    <s v="3003 - FirjanAtivo"/>
    <s v="6044-Roseli Honorato Dos Santos"/>
    <n v="94869000142"/>
    <n v="94869000142"/>
    <n v="653"/>
    <n v="177671266356161"/>
    <s v="(24) 97402-9988"/>
    <n v="3003"/>
    <s v="Discador"/>
    <s v="Atendido"/>
    <s v="Fora de Area / Cx de Mensagens"/>
    <s v="BPAtivo2"/>
    <s v="Cliente"/>
    <n v="16"/>
    <m/>
    <m/>
    <d v="1899-12-30T00:00:11"/>
    <d v="1899-12-30T00:00:09"/>
    <s v=""/>
    <x v="0"/>
  </r>
  <r>
    <d v="2026-04-20T16:18:13"/>
    <s v="3003 - FirjanAtivo"/>
    <s v="6052-Marcia Lima Peixoto"/>
    <n v="117961000180"/>
    <n v="117961000180"/>
    <n v="654"/>
    <n v="177671269356211"/>
    <s v="(21) 99965-1697"/>
    <n v="3003"/>
    <s v="Discador"/>
    <s v="Atendido"/>
    <s v="Tel Não Atende / Ocupado"/>
    <s v="BPAtivo2"/>
    <s v="Agente"/>
    <n v="16"/>
    <m/>
    <m/>
    <d v="1899-12-30T00:00:10"/>
    <d v="1899-12-30T00:00:09"/>
    <s v=""/>
    <x v="0"/>
  </r>
  <r>
    <d v="2026-04-20T16:18:26"/>
    <s v="3003 - FirjanAtivo"/>
    <s v="6052-Marcia Lima Peixoto"/>
    <n v="175438000100"/>
    <n v="175438000100"/>
    <n v="655"/>
    <n v="177671270656281"/>
    <s v="(21) 96418-1480"/>
    <n v="3003"/>
    <s v="Discador"/>
    <s v="Atendido"/>
    <s v="Tel Não Atende / Ocupado"/>
    <s v="BPAtivo2"/>
    <s v="Agente"/>
    <n v="16"/>
    <m/>
    <m/>
    <d v="1899-12-30T00:00:07"/>
    <d v="1899-12-30T00:00:05"/>
    <s v=""/>
    <x v="0"/>
  </r>
  <r>
    <d v="2026-04-20T16:18:28"/>
    <s v="3003 - FirjanAtivo"/>
    <s v="6044-Roseli Honorato Dos Santos"/>
    <m/>
    <m/>
    <n v="2775038167"/>
    <n v="177671270856301"/>
    <s v="(22) 99832-5437"/>
    <s v="(21) 2038-4382"/>
    <s v="Sainte"/>
    <s v="Atendido"/>
    <s v="Fora de Area / Cx de Mensagens"/>
    <m/>
    <s v="Cliente"/>
    <n v="16"/>
    <m/>
    <m/>
    <d v="1899-12-30T00:00:33"/>
    <d v="1899-12-30T00:00:03"/>
    <s v=""/>
    <x v="0"/>
  </r>
  <r>
    <d v="2026-04-20T16:19:01"/>
    <s v="3003 - FirjanAtivo"/>
    <s v="6052-Marcia Lima Peixoto"/>
    <n v="255310000157"/>
    <n v="255310000157"/>
    <n v="656"/>
    <n v="177671274156341"/>
    <s v="(24) 99911-7945"/>
    <n v="3003"/>
    <s v="Discador"/>
    <s v="Atendido"/>
    <s v="Fora de Area / Cx de Mensagens"/>
    <s v="BPAtivo2"/>
    <s v="Cliente"/>
    <n v="16"/>
    <m/>
    <m/>
    <d v="1899-12-30T00:00:09"/>
    <d v="1899-12-30T00:00:06"/>
    <s v=""/>
    <x v="0"/>
  </r>
  <r>
    <d v="2026-04-20T16:19:20"/>
    <s v="3003 - FirjanAtivo"/>
    <s v="6044-Roseli Honorato Dos Santos"/>
    <m/>
    <m/>
    <n v="2758167225"/>
    <n v="177671276056361"/>
    <s v="(24) 98145-4441"/>
    <s v="(21) 2038-4382"/>
    <s v="Sainte"/>
    <s v="Atendido"/>
    <s v="Fora de Area / Cx de Mensagens"/>
    <m/>
    <s v="Cliente"/>
    <n v="16"/>
    <m/>
    <m/>
    <d v="1899-12-30T00:00:15"/>
    <d v="1899-12-30T00:00:10"/>
    <s v=""/>
    <x v="0"/>
  </r>
  <r>
    <d v="2026-04-20T16:19:47"/>
    <s v="3003 - FirjanAtivo"/>
    <s v="6044-Roseli Honorato Dos Santos"/>
    <n v="350204000152"/>
    <n v="350204000152"/>
    <n v="657"/>
    <n v="177671278756401"/>
    <s v="(24) 99294-8155"/>
    <n v="3003"/>
    <s v="Discador"/>
    <s v="Atendido"/>
    <s v="Fora de Area / Cx de Mensagens"/>
    <s v="BPAtivo2"/>
    <s v="Cliente"/>
    <n v="16"/>
    <m/>
    <m/>
    <d v="1899-12-30T00:00:40"/>
    <d v="1899-12-30T00:00:39"/>
    <s v=""/>
    <x v="0"/>
  </r>
  <r>
    <d v="2026-04-20T16:20:32"/>
    <s v="3003 - FirjanAtivo"/>
    <s v="6044-Roseli Honorato Dos Santos"/>
    <n v="420622000179"/>
    <n v="420622000179"/>
    <n v="658"/>
    <n v="177671283256441"/>
    <s v="(21) 99107-8734"/>
    <n v="3003"/>
    <s v="Discador"/>
    <s v="Atendido"/>
    <s v="Fora de Area / Cx de Mensagens"/>
    <s v="BPAtivo2"/>
    <s v="Cliente"/>
    <n v="16"/>
    <m/>
    <m/>
    <d v="1899-12-30T00:00:23"/>
    <d v="1899-12-30T00:00:21"/>
    <s v=""/>
    <x v="0"/>
  </r>
  <r>
    <d v="2026-04-20T16:21:25"/>
    <s v="3003 - FirjanAtivo"/>
    <s v="6044-Roseli Honorato Dos Santos"/>
    <n v="451332000192"/>
    <n v="451332000192"/>
    <n v="659"/>
    <n v="177671288556461"/>
    <s v="(24) 98818-1800"/>
    <n v="3003"/>
    <s v="Discador"/>
    <s v="Atendido"/>
    <s v="Fora de Area / Cx de Mensagens"/>
    <s v="BPAtivo2"/>
    <s v="Agente"/>
    <n v="16"/>
    <m/>
    <m/>
    <d v="1899-12-30T00:00:28"/>
    <d v="1899-12-30T00:00:26"/>
    <s v=""/>
    <x v="0"/>
  </r>
  <r>
    <d v="2026-04-20T16:21:59"/>
    <s v="3003 - FirjanAtivo"/>
    <s v="6052-Marcia Lima Peixoto"/>
    <n v="550875000167"/>
    <n v="550875000167"/>
    <n v="660"/>
    <n v="177671291956491"/>
    <s v="(21) 98249-3809"/>
    <n v="3003"/>
    <s v="Discador"/>
    <s v="Atendido"/>
    <s v="Tel Não Atende / Ocupado"/>
    <s v="BPAtivo2"/>
    <s v="Agente"/>
    <n v="16"/>
    <m/>
    <m/>
    <d v="1899-12-30T00:00:41"/>
    <d v="1899-12-30T00:00:38"/>
    <s v=""/>
    <x v="0"/>
  </r>
  <r>
    <d v="2026-04-20T16:23:18"/>
    <s v="3003 - FirjanAtivo"/>
    <s v="6044-Roseli Honorato Dos Santos"/>
    <n v="631485000111"/>
    <n v="631485000111"/>
    <n v="661"/>
    <n v="177671299856681"/>
    <s v="(21) 96487-8084"/>
    <n v="3003"/>
    <s v="Discador"/>
    <s v="Atendido"/>
    <s v="Enviar E-mail"/>
    <s v="BPAtivo2"/>
    <s v="Agente"/>
    <n v="16"/>
    <m/>
    <m/>
    <d v="1899-12-30T00:03:19"/>
    <d v="1899-12-30T00:03:18"/>
    <n v="1"/>
    <x v="0"/>
  </r>
  <r>
    <d v="2026-04-20T16:30:11"/>
    <s v="3003 - FirjanAtivo"/>
    <s v="6052-Marcia Lima Peixoto"/>
    <n v="749145000190"/>
    <n v="749145000190"/>
    <n v="662"/>
    <n v="177671341157051"/>
    <s v="(21) 98497-4387"/>
    <n v="3003"/>
    <s v="Discador"/>
    <s v="Atendido"/>
    <s v="Tel Não Atende / Ocupado"/>
    <s v="BPAtivo2"/>
    <s v="Agente"/>
    <n v="16"/>
    <m/>
    <m/>
    <d v="1899-12-30T00:00:36"/>
    <d v="1899-12-30T00:00:34"/>
    <s v=""/>
    <x v="0"/>
  </r>
  <r>
    <d v="2026-04-20T16:30:58"/>
    <s v="3003 - FirjanAtivo"/>
    <s v="6052-Marcia Lima Peixoto"/>
    <n v="837531000133"/>
    <n v="837531000133"/>
    <n v="663"/>
    <n v="177671345857091"/>
    <s v="(24) 98117-4443"/>
    <n v="3003"/>
    <s v="Discador"/>
    <s v="Atendido"/>
    <s v="Tel Não Atende / Ocupado"/>
    <s v="BPAtivo2"/>
    <s v="Cliente"/>
    <n v="16"/>
    <m/>
    <m/>
    <d v="1899-12-30T00:00:16"/>
    <d v="1899-12-30T00:00:14"/>
    <s v=""/>
    <x v="0"/>
  </r>
  <r>
    <d v="2026-04-20T16:31:22"/>
    <s v="3003 - FirjanAtivo"/>
    <s v="6052-Marcia Lima Peixoto"/>
    <n v="845384000143"/>
    <n v="845384000143"/>
    <n v="664"/>
    <n v="177671348257121"/>
    <s v="(21) 96423-1738"/>
    <n v="3003"/>
    <s v="Discador"/>
    <s v="Atendido"/>
    <s v="Fora de Area / Cx de Mensagens"/>
    <s v="BPAtivo2"/>
    <s v="Agente"/>
    <n v="16"/>
    <m/>
    <m/>
    <d v="1899-12-30T00:00:07"/>
    <d v="1899-12-30T00:00:05"/>
    <s v=""/>
    <x v="0"/>
  </r>
  <r>
    <d v="2026-04-20T16:31:58"/>
    <s v="3003 - FirjanAtivo"/>
    <s v="6044-Roseli Honorato Dos Santos"/>
    <n v="863808000100"/>
    <n v="863808000100"/>
    <n v="665"/>
    <n v="177671351857151"/>
    <s v="(22) 98115-4179"/>
    <n v="3003"/>
    <s v="Discador"/>
    <s v="Atendido"/>
    <s v="Fora de Area / Cx de Mensagens"/>
    <s v="BPAtivo2"/>
    <s v="Cliente"/>
    <n v="16"/>
    <m/>
    <m/>
    <d v="1899-12-30T00:00:33"/>
    <d v="1899-12-30T00:00:31"/>
    <s v=""/>
    <x v="0"/>
  </r>
  <r>
    <d v="2026-04-20T16:33:09"/>
    <s v="3003 - FirjanAtivo"/>
    <s v="6052-Marcia Lima Peixoto"/>
    <n v="1014476000144"/>
    <n v="1014476000144"/>
    <n v="666"/>
    <n v="177671358957431"/>
    <s v="(21) 99443-9630"/>
    <n v="3003"/>
    <s v="Discador"/>
    <s v="Atendido"/>
    <s v="Tel Não Atende / Ocupado"/>
    <s v="BPAtivo2"/>
    <s v="Cliente"/>
    <n v="16"/>
    <m/>
    <m/>
    <d v="1899-12-30T00:00:07"/>
    <d v="1899-12-30T00:00:05"/>
    <s v=""/>
    <x v="0"/>
  </r>
  <r>
    <d v="2026-04-20T16:34:12"/>
    <s v="3003 - FirjanAtivo"/>
    <s v="---"/>
    <n v="1056628000171"/>
    <n v="1056628000171"/>
    <n v="667"/>
    <n v="177671361857631"/>
    <s v="(21) 96458-5784"/>
    <n v="3003"/>
    <s v="Discador"/>
    <s v="Atendido"/>
    <s v="Fora de Area / Cx de Mensagens"/>
    <s v="BPAtivo2"/>
    <s v="Cliente"/>
    <n v="131"/>
    <m/>
    <m/>
    <d v="1899-12-30T00:00:16"/>
    <s v="---"/>
    <s v=""/>
    <x v="0"/>
  </r>
  <r>
    <d v="2026-04-20T16:34:19"/>
    <s v="3003 - FirjanAtivo"/>
    <s v="6044-Roseli Honorato Dos Santos"/>
    <n v="1062613000116"/>
    <n v="1062613000116"/>
    <n v="668"/>
    <n v="177671365957821"/>
    <s v="(22) 98170-0037"/>
    <n v="3003"/>
    <s v="Discador"/>
    <s v="Atendido"/>
    <s v="Fora de Area / Cx de Mensagens"/>
    <s v="BPAtivo2"/>
    <s v="Cliente"/>
    <n v="16"/>
    <m/>
    <m/>
    <d v="1899-12-30T00:00:33"/>
    <d v="1899-12-30T00:00:30"/>
    <s v=""/>
    <x v="0"/>
  </r>
  <r>
    <d v="2026-04-20T16:35:29"/>
    <s v="3003 - FirjanAtivo"/>
    <s v="6052-Marcia Lima Peixoto"/>
    <n v="1104119000177"/>
    <n v="1104119000177"/>
    <n v="669"/>
    <n v="177671372957871"/>
    <s v="(21) 97294-8230"/>
    <n v="3003"/>
    <s v="Discador"/>
    <s v="Atendido"/>
    <s v="Ligação Muda"/>
    <s v="BPAtivo2"/>
    <s v="Agente"/>
    <n v="16"/>
    <m/>
    <m/>
    <d v="1899-12-30T00:00:21"/>
    <d v="1899-12-30T00:00:19"/>
    <s v=""/>
    <x v="0"/>
  </r>
  <r>
    <d v="2026-04-20T16:36:26"/>
    <s v="3003 - FirjanAtivo"/>
    <s v="6044-Roseli Honorato Dos Santos"/>
    <n v="1104266000309"/>
    <n v="1104266000309"/>
    <n v="670"/>
    <n v="177671378658081"/>
    <s v="(24) 99996-6765"/>
    <n v="3003"/>
    <s v="Discador"/>
    <s v="Atendido"/>
    <s v="INFORMADO"/>
    <s v="BPAtivo2"/>
    <s v="Cliente"/>
    <n v="16"/>
    <m/>
    <m/>
    <d v="1899-12-30T00:00:51"/>
    <d v="1899-12-30T00:00:49"/>
    <s v=""/>
    <x v="0"/>
  </r>
  <r>
    <d v="2026-04-20T16:37:30"/>
    <s v="3003 - FirjanAtivo"/>
    <s v="6052-Marcia Lima Peixoto"/>
    <n v="1209604000105"/>
    <n v="1209604000105"/>
    <n v="671"/>
    <n v="177671385058111"/>
    <s v="(21) 99713-8364"/>
    <n v="3003"/>
    <s v="Discador"/>
    <s v="Atendido"/>
    <s v="Tel Não Atende / Ocupado"/>
    <s v="BPAtivo2"/>
    <s v="Cliente"/>
    <n v="16"/>
    <m/>
    <m/>
    <d v="1899-12-30T00:00:13"/>
    <d v="1899-12-30T00:00:12"/>
    <s v=""/>
    <x v="0"/>
  </r>
  <r>
    <d v="2026-04-20T16:38:38"/>
    <s v="3003 - FirjanAtivo"/>
    <s v="6052-Marcia Lima Peixoto"/>
    <n v="1387961000163"/>
    <n v="1387961000163"/>
    <n v="673"/>
    <n v="177671391858271"/>
    <s v="(21) 97033-9066"/>
    <n v="3003"/>
    <s v="Discador"/>
    <s v="Atendido"/>
    <s v="Retornar"/>
    <s v="BPAtivo2"/>
    <s v="Agente"/>
    <n v="16"/>
    <m/>
    <m/>
    <d v="1899-12-30T00:00:35"/>
    <d v="1899-12-30T00:00:33"/>
    <s v=""/>
    <x v="0"/>
  </r>
  <r>
    <d v="2026-04-20T16:40:04"/>
    <s v="3003 - FirjanAtivo"/>
    <s v="6044-Roseli Honorato Dos Santos"/>
    <m/>
    <m/>
    <n v="2740880386"/>
    <n v="177671400458381"/>
    <s v="(21) 96416-6361"/>
    <s v="(21) 2038-4382"/>
    <s v="Sainte"/>
    <s v="Atendido"/>
    <s v="Fora de Area / Cx de Mensagens"/>
    <m/>
    <s v="Cliente"/>
    <n v="16"/>
    <m/>
    <m/>
    <d v="1899-12-30T00:00:23"/>
    <d v="1899-12-30T00:00:20"/>
    <s v=""/>
    <x v="0"/>
  </r>
  <r>
    <d v="2026-04-20T16:41:22"/>
    <s v="3003 - FirjanAtivo"/>
    <s v="6044-Roseli Honorato Dos Santos"/>
    <m/>
    <m/>
    <n v="2740880464"/>
    <n v="177671408258521"/>
    <s v="(21) 96416-6361"/>
    <s v="(21) 2038-4382"/>
    <s v="Sainte"/>
    <s v="Atendido"/>
    <s v="Fora de Area / Cx de Mensagens"/>
    <m/>
    <s v="Cliente"/>
    <n v="16"/>
    <m/>
    <m/>
    <d v="1899-12-30T00:00:23"/>
    <d v="1899-12-30T00:00:19"/>
    <s v=""/>
    <x v="0"/>
  </r>
  <r>
    <d v="2026-04-20T16:42:36"/>
    <s v="3003 - FirjanAtivo"/>
    <s v="6052-Marcia Lima Peixoto"/>
    <m/>
    <m/>
    <n v="2741334554"/>
    <n v="177671415658731"/>
    <s v="(21) 96462-0377"/>
    <s v="(21) 2038-4382"/>
    <s v="Sainte"/>
    <s v="Atendido"/>
    <s v="Tel Não Atende / Ocupado"/>
    <m/>
    <s v="Agente"/>
    <n v="16"/>
    <m/>
    <m/>
    <d v="1899-12-30T00:00:52"/>
    <d v="1899-12-30T00:00:49"/>
    <s v=""/>
    <x v="0"/>
  </r>
  <r>
    <d v="2026-04-20T16:42:55"/>
    <s v="3003 - FirjanAtivo"/>
    <s v="6044-Roseli Honorato Dos Santos"/>
    <m/>
    <m/>
    <n v="2765178709"/>
    <n v="177671417558751"/>
    <s v="(24) 98846-4510"/>
    <s v="(21) 2038-4382"/>
    <s v="Sainte"/>
    <s v="Atendido"/>
    <s v="Fora de Area / Cx de Mensagens"/>
    <m/>
    <s v="Agente"/>
    <n v="16"/>
    <m/>
    <m/>
    <d v="1899-12-30T00:00:19"/>
    <d v="1899-12-30T00:00:04"/>
    <s v=""/>
    <x v="0"/>
  </r>
  <r>
    <d v="2026-04-20T16:44:21"/>
    <s v="3003 - FirjanAtivo"/>
    <s v="6052-Marcia Lima Peixoto"/>
    <m/>
    <m/>
    <n v="2776674296"/>
    <n v="177671426158921"/>
    <s v="(24) 99996-0011"/>
    <s v="(21) 2038-4382"/>
    <s v="Sainte"/>
    <s v="Não Atendeu"/>
    <s v="Não Atendeu"/>
    <m/>
    <s v="Agente"/>
    <n v="19"/>
    <m/>
    <m/>
    <d v="1899-12-30T00:00:10"/>
    <s v="---"/>
    <s v=""/>
    <x v="0"/>
  </r>
  <r>
    <d v="2026-04-20T16:44:45"/>
    <s v="3003 - FirjanAtivo"/>
    <s v="6052-Marcia Lima Peixoto"/>
    <m/>
    <m/>
    <n v="2767776245"/>
    <n v="177671428559071"/>
    <s v="(21) 99106-1939"/>
    <s v="(21) 2038-4382"/>
    <s v="Sainte"/>
    <s v="Não Atendeu"/>
    <s v="Não Atendeu"/>
    <m/>
    <s v="Agente"/>
    <n v="19"/>
    <m/>
    <m/>
    <d v="1899-12-30T00:00:08"/>
    <s v="---"/>
    <s v=""/>
    <x v="0"/>
  </r>
  <r>
    <d v="2026-04-20T16:45:05"/>
    <s v="3003 - FirjanAtivo"/>
    <s v="6052-Marcia Lima Peixoto"/>
    <m/>
    <m/>
    <n v="2776371719"/>
    <n v="177671430559141"/>
    <s v="(24) 99965-7390"/>
    <s v="(21) 2038-4382"/>
    <s v="Sainte"/>
    <s v="Não Atendeu"/>
    <s v="Não Atendeu"/>
    <m/>
    <s v="Agente"/>
    <n v="19"/>
    <m/>
    <m/>
    <d v="1899-12-30T00:00:36"/>
    <s v="---"/>
    <s v=""/>
    <x v="0"/>
  </r>
  <r>
    <d v="2026-04-20T16:46:00"/>
    <s v="3003 - FirjanAtivo"/>
    <s v="6052-Marcia Lima Peixoto"/>
    <m/>
    <m/>
    <n v="2769255571"/>
    <n v="177671436059171"/>
    <s v="(21) 99254-1190"/>
    <s v="(21) 2038-4382"/>
    <s v="Sainte"/>
    <s v="Atendido"/>
    <s v="Tel Não Atende / Ocupado"/>
    <m/>
    <s v="Cliente"/>
    <n v="16"/>
    <m/>
    <m/>
    <d v="1899-12-30T00:00:15"/>
    <d v="1899-12-30T00:00:04"/>
    <s v=""/>
    <x v="0"/>
  </r>
  <r>
    <d v="2026-04-20T16:46:47"/>
    <s v="3003 - FirjanAtivo"/>
    <s v="6052-Marcia Lima Peixoto"/>
    <m/>
    <m/>
    <n v="2757856002"/>
    <n v="177671440759261"/>
    <s v="(24) 98114-1571"/>
    <s v="(21) 2038-4382"/>
    <s v="Sainte"/>
    <s v="Não Atendeu"/>
    <s v="Não Atendeu"/>
    <m/>
    <s v="Agente"/>
    <n v="19"/>
    <m/>
    <m/>
    <d v="1899-12-30T00:00:21"/>
    <s v="---"/>
    <s v=""/>
    <x v="0"/>
  </r>
  <r>
    <d v="2026-04-20T16:47:20"/>
    <s v="3003 - FirjanAtivo"/>
    <s v="6052-Marcia Lima Peixoto"/>
    <m/>
    <m/>
    <n v="2768922747"/>
    <n v="177671444059301"/>
    <s v="(21) 99220-8286"/>
    <s v="(21) 2038-4382"/>
    <s v="Sainte"/>
    <s v="Não Atendeu"/>
    <s v="Não Atendeu"/>
    <m/>
    <s v="Agente"/>
    <n v="19"/>
    <m/>
    <m/>
    <d v="1899-12-30T00:00:24"/>
    <s v="---"/>
    <s v=""/>
    <x v="0"/>
  </r>
  <r>
    <d v="2026-04-20T16:48:08"/>
    <s v="3003 - FirjanAtivo"/>
    <s v="6052-Marcia Lima Peixoto"/>
    <m/>
    <m/>
    <n v="2768817121"/>
    <n v="177671448859331"/>
    <s v="(91) 99210-2542"/>
    <s v="(21) 2038-4382"/>
    <s v="Sainte"/>
    <s v="Atendido"/>
    <s v="Retornar"/>
    <m/>
    <s v="Cliente"/>
    <n v="16"/>
    <m/>
    <m/>
    <d v="1899-12-30T00:00:52"/>
    <d v="1899-12-30T00:00:45"/>
    <s v=""/>
    <x v="0"/>
  </r>
  <r>
    <d v="2026-04-20T16:48:35"/>
    <s v="3003 - FirjanAtivo"/>
    <s v="6044-Roseli Honorato Dos Santos"/>
    <m/>
    <m/>
    <n v="2765179049"/>
    <n v="177671451559411"/>
    <s v="(24) 98846-4510"/>
    <s v="(21) 2038-4382"/>
    <s v="Sainte"/>
    <s v="Não Atendeu"/>
    <s v="Não Atendeu"/>
    <m/>
    <s v="Agente"/>
    <n v="19"/>
    <m/>
    <m/>
    <d v="1899-12-30T00:00:34"/>
    <s v="---"/>
    <s v=""/>
    <x v="0"/>
  </r>
  <r>
    <d v="2026-04-20T16:49:18"/>
    <s v="3003 - FirjanAtivo"/>
    <s v="6044-Roseli Honorato Dos Santos"/>
    <m/>
    <m/>
    <n v="2765179092"/>
    <n v="177671455859521"/>
    <s v="(24) 98846-4510"/>
    <s v="(21) 2038-4382"/>
    <s v="Sainte"/>
    <s v="Não Atendeu"/>
    <s v="Não Atendeu"/>
    <m/>
    <s v="Agente"/>
    <n v="19"/>
    <m/>
    <m/>
    <d v="1899-12-30T00:00:22"/>
    <s v="---"/>
    <s v=""/>
    <x v="0"/>
  </r>
  <r>
    <d v="2026-04-20T16:49:56"/>
    <s v="3003 - FirjanAtivo"/>
    <s v="6044-Roseli Honorato Dos Santos"/>
    <m/>
    <m/>
    <n v="2764956132"/>
    <n v="177671459659611"/>
    <s v="(24) 98824-1512"/>
    <s v="(21) 2038-4382"/>
    <s v="Sainte"/>
    <s v="Atendido"/>
    <s v="Fora de Area / Cx de Mensagens"/>
    <m/>
    <s v="Agente"/>
    <n v="16"/>
    <m/>
    <m/>
    <d v="1899-12-30T00:00:42"/>
    <d v="1899-12-30T00:00:02"/>
    <s v=""/>
    <x v="0"/>
  </r>
  <r>
    <d v="2026-04-20T16:49:57"/>
    <s v="3003 - FirjanAtivo"/>
    <s v="6052-Marcia Lima Peixoto"/>
    <m/>
    <m/>
    <n v="2764780627"/>
    <n v="177671459759631"/>
    <s v="(24) 98806-6006"/>
    <s v="(21) 2038-4382"/>
    <s v="Sainte"/>
    <s v="Não Atendeu"/>
    <s v="Não Atendeu"/>
    <m/>
    <s v="Agente"/>
    <n v="19"/>
    <m/>
    <m/>
    <d v="1899-12-30T00:00:05"/>
    <s v="---"/>
    <s v=""/>
    <x v="0"/>
  </r>
  <r>
    <d v="2026-04-20T16:50:17"/>
    <s v="3003 - FirjanAtivo"/>
    <s v="6052-Marcia Lima Peixoto"/>
    <m/>
    <m/>
    <n v="2768836856"/>
    <n v="177671461759661"/>
    <s v="(24) 99212-2215"/>
    <s v="(21) 2038-4382"/>
    <s v="Sainte"/>
    <s v="Atendido"/>
    <s v="Tel Não Atende / Ocupado"/>
    <m/>
    <s v="Cliente"/>
    <n v="16"/>
    <m/>
    <m/>
    <d v="1899-12-30T00:00:18"/>
    <d v="1899-12-30T00:00:13"/>
    <s v=""/>
    <x v="0"/>
  </r>
  <r>
    <d v="2026-04-20T16:53:42"/>
    <s v="3003 - FirjanAtivo"/>
    <s v="6052-Marcia Lima Peixoto"/>
    <m/>
    <m/>
    <n v="2764149373"/>
    <n v="177671482259981"/>
    <s v="(21) 98743-4530"/>
    <s v="(21) 2038-4382"/>
    <s v="Sainte"/>
    <s v="Atendido"/>
    <s v="Enviar E-mail"/>
    <m/>
    <s v="Agente"/>
    <n v="16"/>
    <m/>
    <m/>
    <d v="1899-12-30T00:02:31"/>
    <d v="1899-12-30T00:02:17"/>
    <n v="1"/>
    <x v="0"/>
  </r>
  <r>
    <d v="2026-04-20T16:55:15"/>
    <s v="3003 - FirjanAtivo"/>
    <s v="6044-Roseli Honorato Dos Santos"/>
    <m/>
    <m/>
    <n v="2741312432"/>
    <n v="177671491560071"/>
    <s v="(21) 96459-7496"/>
    <s v="(21) 2038-4382"/>
    <s v="Sainte"/>
    <s v="Atendido"/>
    <s v="Fora de Area / Cx de Mensagens"/>
    <m/>
    <s v="Cliente"/>
    <n v="16"/>
    <m/>
    <m/>
    <d v="1899-12-30T00:00:43"/>
    <d v="1899-12-30T00:00:20"/>
    <s v=""/>
    <x v="0"/>
  </r>
  <r>
    <d v="2026-04-20T16:56:38"/>
    <s v="3003 - FirjanAtivo"/>
    <s v="6044-Roseli Honorato Dos Santos"/>
    <m/>
    <m/>
    <n v="2776158052"/>
    <n v="177671499860111"/>
    <s v="(21) 99944-3033"/>
    <s v="(21) 2038-4382"/>
    <s v="Sainte"/>
    <s v="Atendido"/>
    <s v="Enviar E-mail"/>
    <m/>
    <s v="Cliente"/>
    <n v="16"/>
    <m/>
    <m/>
    <d v="1899-12-30T00:02:30"/>
    <d v="1899-12-30T00:02:19"/>
    <n v="1"/>
    <x v="0"/>
  </r>
  <r>
    <d v="2026-04-20T16:37:49"/>
    <s v="3003 - FirjanAtivo"/>
    <s v="---"/>
    <n v="1340549000198"/>
    <n v="1340549000198"/>
    <n v="672"/>
    <n v="177671386958141"/>
    <s v="(22) 99944-4350"/>
    <s v="Falha"/>
    <s v="Discador"/>
    <s v="Não Atendeu"/>
    <s v="Não Atendeu"/>
    <s v="BPAtivo2"/>
    <s v="--"/>
    <n v="19"/>
    <m/>
    <m/>
    <d v="1899-12-30T00:00:00"/>
    <s v="---"/>
    <s v=""/>
    <x v="0"/>
  </r>
  <r>
    <d v="2026-04-20T17:00:53"/>
    <s v="3003 - FirjanAtivo"/>
    <s v="6044-Roseli Honorato Dos Santos"/>
    <m/>
    <m/>
    <n v="2768768836"/>
    <n v="177671525360201"/>
    <s v="(22) 99205-3561"/>
    <s v="(21) 2038-4382"/>
    <s v="Sainte"/>
    <s v="Atendido"/>
    <s v="Fora de Area / Cx de Mensagens"/>
    <m/>
    <s v="Agente"/>
    <n v="16"/>
    <m/>
    <m/>
    <d v="1899-12-30T00:03:54"/>
    <d v="1899-12-30T00:03:22"/>
    <s v=""/>
    <x v="0"/>
  </r>
  <r>
    <d v="2026-04-20T17:05:36"/>
    <s v="3003 - FirjanAtivo"/>
    <s v="6044-Roseli Honorato Dos Santos"/>
    <m/>
    <m/>
    <n v="2761334037"/>
    <n v="177671553660441"/>
    <s v="(21) 98461-8480"/>
    <s v="(21) 2038-4382"/>
    <s v="Sainte"/>
    <s v="Atendido"/>
    <s v="Fora de Area / Cx de Mensagens"/>
    <m/>
    <s v="Agente"/>
    <n v="16"/>
    <m/>
    <m/>
    <d v="1899-12-30T00:00:32"/>
    <d v="1899-12-30T00:00:07"/>
    <s v=""/>
    <x v="0"/>
  </r>
  <r>
    <d v="2026-04-22T09:01:52"/>
    <s v="3003 - FirjanAtivo"/>
    <s v="6052-Marcia Lima Peixoto"/>
    <n v="1"/>
    <n v="64078000170"/>
    <n v="1"/>
    <n v="17768593123001"/>
    <s v="(22) 99877-5886"/>
    <n v="3003"/>
    <s v="Discador"/>
    <s v="Atendido"/>
    <s v="Ligação Muda"/>
    <s v="BPATIVO22042026"/>
    <s v="Agente"/>
    <n v="16"/>
    <m/>
    <m/>
    <d v="1899-12-30T00:00:31"/>
    <d v="1899-12-30T00:00:30"/>
    <s v=""/>
    <x v="1"/>
  </r>
  <r>
    <d v="2026-04-22T09:01:52"/>
    <s v="3003 - FirjanAtivo"/>
    <s v="6044-Roseli Honorato Dos Santos"/>
    <n v="2"/>
    <n v="94869000142"/>
    <n v="2"/>
    <n v="17768593123011"/>
    <s v="(24) 97402-9988"/>
    <n v="3003"/>
    <s v="Discador"/>
    <s v="Atendido"/>
    <s v="Fora de Area / Cx de Mensagens"/>
    <s v="BPATIVO22042026"/>
    <s v="Cliente"/>
    <n v="16"/>
    <m/>
    <m/>
    <d v="1899-12-30T00:00:42"/>
    <d v="1899-12-30T00:00:40"/>
    <s v=""/>
    <x v="1"/>
  </r>
  <r>
    <d v="2026-04-22T09:02:53"/>
    <s v="3003 - FirjanAtivo"/>
    <s v="6044-Roseli Honorato Dos Santos"/>
    <n v="3"/>
    <n v="117961000180"/>
    <n v="3"/>
    <n v="17768593733121"/>
    <s v="(21) 99965-1697"/>
    <n v="3003"/>
    <s v="Discador"/>
    <s v="Atendido"/>
    <s v="Tel Não Atende / Ocupado"/>
    <s v="BPATIVO22042026"/>
    <s v="Cliente"/>
    <n v="16"/>
    <m/>
    <m/>
    <d v="1899-12-30T00:00:07"/>
    <d v="1899-12-30T00:00:05"/>
    <s v=""/>
    <x v="1"/>
  </r>
  <r>
    <d v="2026-04-22T09:02:53"/>
    <s v="3003 - FirjanAtivo"/>
    <s v="6052-Marcia Lima Peixoto"/>
    <n v="4"/>
    <n v="175438000100"/>
    <n v="4"/>
    <n v="17768593733131"/>
    <s v="(21) 96418-1480"/>
    <n v="3003"/>
    <s v="Discador"/>
    <s v="Atendido"/>
    <s v="Fora de Area / Cx de Mensagens"/>
    <s v="BPATIVO22042026"/>
    <s v="Agente"/>
    <n v="16"/>
    <m/>
    <m/>
    <d v="1899-12-30T00:00:09"/>
    <d v="1899-12-30T00:00:07"/>
    <s v=""/>
    <x v="1"/>
  </r>
  <r>
    <d v="2026-04-22T09:03:08"/>
    <s v="3003 - FirjanAtivo"/>
    <s v="6052-Marcia Lima Peixoto"/>
    <n v="5"/>
    <n v="255310000157"/>
    <n v="5"/>
    <n v="17768593883171"/>
    <s v="(24) 99911-7945"/>
    <n v="3003"/>
    <s v="Discador"/>
    <s v="Atendido"/>
    <s v="Fora de Area / Cx de Mensagens"/>
    <s v="BPATIVO22042026"/>
    <s v="Cliente"/>
    <n v="16"/>
    <m/>
    <m/>
    <d v="1899-12-30T00:00:09"/>
    <d v="1899-12-30T00:00:07"/>
    <s v=""/>
    <x v="1"/>
  </r>
  <r>
    <d v="2026-04-22T09:03:57"/>
    <s v="3003 - FirjanAtivo"/>
    <s v="6044-Roseli Honorato Dos Santos"/>
    <n v="6"/>
    <n v="420622000179"/>
    <n v="6"/>
    <n v="17768594373201"/>
    <s v="(21) 99107-8734"/>
    <n v="3003"/>
    <s v="Discador"/>
    <s v="Atendido"/>
    <s v="Fora de Area / Cx de Mensagens"/>
    <s v="BPATIVO22042026"/>
    <s v="Cliente"/>
    <n v="16"/>
    <m/>
    <m/>
    <d v="1899-12-30T00:00:25"/>
    <d v="1899-12-30T00:00:23"/>
    <s v=""/>
    <x v="1"/>
  </r>
  <r>
    <d v="2026-04-22T09:04:52"/>
    <s v="3003 - FirjanAtivo"/>
    <s v="---"/>
    <n v="7"/>
    <n v="451332000192"/>
    <n v="7"/>
    <n v="17768594923291"/>
    <s v="(24) 98818-1800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09:05:40"/>
    <s v="3003 - FirjanAtivo"/>
    <s v="6052-Marcia Lima Peixoto"/>
    <n v="8"/>
    <n v="550875000167"/>
    <n v="8"/>
    <n v="17768595403351"/>
    <s v="(21) 98249-3809"/>
    <n v="3003"/>
    <s v="Discador"/>
    <s v="Atendido"/>
    <s v="Fora de Area / Cx de Mensagens"/>
    <s v="BPATIVO22042026"/>
    <s v="Agente"/>
    <n v="16"/>
    <m/>
    <m/>
    <d v="1899-12-30T00:00:10"/>
    <d v="1899-12-30T00:00:08"/>
    <s v=""/>
    <x v="1"/>
  </r>
  <r>
    <d v="2026-04-22T09:05:55"/>
    <s v="3003 - FirjanAtivo"/>
    <s v="6044-Roseli Honorato Dos Santos"/>
    <n v="9"/>
    <n v="749145000190"/>
    <n v="9"/>
    <n v="17768595553371"/>
    <s v="(21) 98497-4387"/>
    <n v="3003"/>
    <s v="Discador"/>
    <s v="Atendido"/>
    <s v="Fora de Area / Cx de Mensagens"/>
    <s v="BPATIVO22042026"/>
    <s v="Cliente"/>
    <n v="16"/>
    <m/>
    <m/>
    <d v="1899-12-30T00:00:32"/>
    <d v="1899-12-30T00:00:30"/>
    <s v=""/>
    <x v="1"/>
  </r>
  <r>
    <d v="2026-04-22T09:06:44"/>
    <s v="3003 - FirjanAtivo"/>
    <s v="6052-Marcia Lima Peixoto"/>
    <n v="10"/>
    <n v="837531000133"/>
    <n v="10"/>
    <n v="17768596043441"/>
    <s v="(24) 98117-4443"/>
    <n v="3003"/>
    <s v="Discador"/>
    <s v="Atendido"/>
    <s v="Ligação Muda"/>
    <s v="BPATIVO22042026"/>
    <s v="Cliente"/>
    <n v="16"/>
    <m/>
    <m/>
    <d v="1899-12-30T00:00:19"/>
    <d v="1899-12-30T00:00:18"/>
    <s v=""/>
    <x v="1"/>
  </r>
  <r>
    <d v="2026-04-22T09:07:41"/>
    <s v="3003 - FirjanAtivo"/>
    <s v="6044-Roseli Honorato Dos Santos"/>
    <n v="11"/>
    <n v="845384000143"/>
    <n v="11"/>
    <n v="17768596613591"/>
    <s v="(21) 96423-1738"/>
    <n v="3003"/>
    <s v="Discador"/>
    <s v="Atendido"/>
    <s v="Fora de Area / Cx de Mensagens"/>
    <s v="BPATIVO22042026"/>
    <s v="Agente"/>
    <n v="16"/>
    <m/>
    <m/>
    <d v="1899-12-30T00:00:20"/>
    <d v="1899-12-30T00:00:18"/>
    <s v=""/>
    <x v="1"/>
  </r>
  <r>
    <d v="2026-04-22T09:08:43"/>
    <s v="3003 - FirjanAtivo"/>
    <s v="6052-Marcia Lima Peixoto"/>
    <n v="12"/>
    <n v="863808000100"/>
    <n v="12"/>
    <n v="17768597233761"/>
    <s v="(22) 98115-4179"/>
    <n v="3003"/>
    <s v="Discador"/>
    <s v="Atendido"/>
    <s v="Ligação Muda"/>
    <s v="BPATIVO22042026"/>
    <s v="Agente"/>
    <n v="16"/>
    <m/>
    <m/>
    <d v="1899-12-30T00:00:19"/>
    <d v="1899-12-30T00:00:17"/>
    <s v=""/>
    <x v="1"/>
  </r>
  <r>
    <d v="2026-04-22T09:09:38"/>
    <s v="3003 - FirjanAtivo"/>
    <s v="---"/>
    <n v="13"/>
    <n v="1056628000171"/>
    <n v="13"/>
    <n v="17768597784001"/>
    <s v="(21) 96458-578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09:10:28"/>
    <s v="3003 - FirjanAtivo"/>
    <s v="6044-Roseli Honorato Dos Santos"/>
    <n v="14"/>
    <n v="1062613000116"/>
    <n v="14"/>
    <n v="17768598284091"/>
    <s v="(22) 98170-0037"/>
    <n v="3003"/>
    <s v="Discador"/>
    <s v="Atendido"/>
    <s v="Ligação Muda"/>
    <s v="BPATIVO22042026"/>
    <s v="Cliente"/>
    <n v="16"/>
    <m/>
    <m/>
    <d v="1899-12-30T00:00:31"/>
    <d v="1899-12-30T00:00:29"/>
    <s v=""/>
    <x v="1"/>
  </r>
  <r>
    <d v="2026-04-22T09:11:39"/>
    <s v="3003 - FirjanAtivo"/>
    <s v="6052-Marcia Lima Peixoto"/>
    <n v="15"/>
    <n v="1104119000177"/>
    <n v="15"/>
    <n v="17768598994361"/>
    <s v="(21) 97294-8230"/>
    <n v="3003"/>
    <s v="Discador"/>
    <s v="Atendido"/>
    <s v="Ligação Muda"/>
    <s v="BPATIVO22042026"/>
    <s v="Cliente"/>
    <n v="16"/>
    <m/>
    <m/>
    <d v="1899-12-30T00:00:06"/>
    <d v="1899-12-30T00:00:05"/>
    <s v=""/>
    <x v="1"/>
  </r>
  <r>
    <d v="2026-04-22T09:12:22"/>
    <s v="3003 - FirjanAtivo"/>
    <s v="6044-Roseli Honorato Dos Santos"/>
    <n v="16"/>
    <n v="1209604000105"/>
    <n v="16"/>
    <n v="17768599424541"/>
    <s v="(21) 99713-8364"/>
    <n v="3003"/>
    <s v="Discador"/>
    <s v="Atendido"/>
    <s v="Fora de Area / Cx de Mensagens"/>
    <s v="BPATIVO22042026"/>
    <s v="Cliente"/>
    <n v="16"/>
    <m/>
    <m/>
    <d v="1899-12-30T00:00:18"/>
    <d v="1899-12-30T00:00:17"/>
    <s v=""/>
    <x v="1"/>
  </r>
  <r>
    <d v="2026-04-22T09:12:42"/>
    <s v="3003 - FirjanAtivo"/>
    <s v="---"/>
    <n v="17"/>
    <n v="1340549000198"/>
    <n v="17"/>
    <n v="17768599624631"/>
    <s v="(22) 99944-4350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09:13:31"/>
    <s v="3003 - FirjanAtivo"/>
    <s v="---"/>
    <n v="18"/>
    <n v="1387961000163"/>
    <n v="18"/>
    <n v="17768600114681"/>
    <s v="(21) 97033-9066"/>
    <n v="3003"/>
    <s v="Discador"/>
    <s v="Atendido"/>
    <s v="Fora de Area / Cx de Mensagens"/>
    <s v="BPATIVO22042026"/>
    <s v="Cliente"/>
    <n v="131"/>
    <m/>
    <m/>
    <d v="1899-12-30T00:00:01"/>
    <s v="---"/>
    <s v=""/>
    <x v="1"/>
  </r>
  <r>
    <d v="2026-04-22T09:13:48"/>
    <s v="3003 - FirjanAtivo"/>
    <s v="---"/>
    <n v="19"/>
    <n v="1399122000165"/>
    <n v="19"/>
    <n v="17768600284791"/>
    <s v="(22) 99941-8171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09:14:50"/>
    <s v="3003 - FirjanAtivo"/>
    <s v="6044-Roseli Honorato Dos Santos"/>
    <n v="20"/>
    <n v="1401398000130"/>
    <n v="20"/>
    <n v="17768600904861"/>
    <s v="(22) 98824-7841"/>
    <n v="3003"/>
    <s v="Discador"/>
    <s v="Atendido"/>
    <s v="Enviar E-mail"/>
    <s v="BPATIVO22042026"/>
    <s v="Cliente"/>
    <n v="16"/>
    <m/>
    <m/>
    <d v="1899-12-30T00:02:36"/>
    <d v="1899-12-30T00:02:34"/>
    <n v="1"/>
    <x v="1"/>
  </r>
  <r>
    <d v="2026-04-22T09:17:34"/>
    <s v="3003 - FirjanAtivo"/>
    <s v="6044-Roseli Honorato Dos Santos"/>
    <n v="21"/>
    <n v="1485063000148"/>
    <n v="21"/>
    <n v="17768602545311"/>
    <s v="(21) 99351-8317"/>
    <n v="3003"/>
    <s v="Discador"/>
    <s v="Atendido"/>
    <s v="Fora de Area / Cx de Mensagens"/>
    <s v="BPATIVO22042026"/>
    <s v="Cliente"/>
    <n v="16"/>
    <m/>
    <m/>
    <d v="1899-12-30T00:00:09"/>
    <d v="1899-12-30T00:00:07"/>
    <s v=""/>
    <x v="1"/>
  </r>
  <r>
    <d v="2026-04-22T09:18:07"/>
    <s v="3003 - FirjanAtivo"/>
    <s v="---"/>
    <n v="22"/>
    <n v="1632895000140"/>
    <n v="22"/>
    <n v="17768602555331"/>
    <s v="(21) 99983-2180"/>
    <n v="3003"/>
    <s v="Discador"/>
    <s v="Atendido"/>
    <s v="Fora de Area / Cx de Mensagens"/>
    <s v="BPATIVO22042026"/>
    <s v="Cliente"/>
    <n v="131"/>
    <m/>
    <m/>
    <d v="1899-12-30T00:00:21"/>
    <s v="---"/>
    <s v=""/>
    <x v="1"/>
  </r>
  <r>
    <d v="2026-04-22T09:18:35"/>
    <s v="3003 - FirjanAtivo"/>
    <s v="---"/>
    <n v="23"/>
    <n v="1721269000120"/>
    <n v="23"/>
    <n v="17768602895521"/>
    <s v="(21) 99890-8170"/>
    <n v="3003"/>
    <s v="Discador"/>
    <s v="Atendido"/>
    <s v="Fora de Area / Cx de Mensagens"/>
    <s v="BPATIVO22042026"/>
    <s v="Cliente"/>
    <n v="131"/>
    <m/>
    <m/>
    <d v="1899-12-30T00:00:27"/>
    <s v="---"/>
    <s v=""/>
    <x v="1"/>
  </r>
  <r>
    <d v="2026-04-22T09:18:43"/>
    <s v="3003 - FirjanAtivo"/>
    <s v="6044-Roseli Honorato Dos Santos"/>
    <n v="24"/>
    <n v="1728820000167"/>
    <n v="24"/>
    <n v="17768603235661"/>
    <s v="(24) 99942-3948"/>
    <n v="3003"/>
    <s v="Discador"/>
    <s v="Atendido"/>
    <s v="Enviar E-mail"/>
    <s v="BPATIVO22042026"/>
    <s v="Cliente"/>
    <n v="16"/>
    <m/>
    <m/>
    <d v="1899-12-30T00:02:42"/>
    <d v="1899-12-30T00:02:40"/>
    <n v="1"/>
    <x v="1"/>
  </r>
  <r>
    <d v="2026-04-22T09:21:31"/>
    <s v="3003 - FirjanAtivo"/>
    <s v="6052-Marcia Lima Peixoto"/>
    <n v="25"/>
    <n v="1784604000139"/>
    <n v="25"/>
    <n v="17768604915831"/>
    <s v="(24) 98135-5351"/>
    <n v="3003"/>
    <s v="Discador"/>
    <s v="Atendido"/>
    <s v="Enviar E-mail"/>
    <s v="BPATIVO22042026"/>
    <s v="Agente"/>
    <n v="16"/>
    <m/>
    <m/>
    <d v="1899-12-30T00:03:18"/>
    <d v="1899-12-30T00:03:16"/>
    <n v="1"/>
    <x v="1"/>
  </r>
  <r>
    <d v="2026-04-22T09:25:29"/>
    <s v="3003 - FirjanAtivo"/>
    <s v="6044-Roseli Honorato Dos Santos"/>
    <n v="27"/>
    <n v="1959285000155"/>
    <n v="27"/>
    <n v="17768607296461"/>
    <s v="(21) 99118-6778"/>
    <n v="3003"/>
    <s v="Discador"/>
    <s v="Atendido"/>
    <s v="Fora de Area / Cx de Mensagens"/>
    <s v="BPATIVO22042026"/>
    <s v="Cliente"/>
    <n v="16"/>
    <m/>
    <m/>
    <d v="1899-12-30T00:00:25"/>
    <d v="1899-12-30T00:00:23"/>
    <s v=""/>
    <x v="1"/>
  </r>
  <r>
    <d v="2026-04-22T09:30:05"/>
    <s v="3003 - FirjanAtivo"/>
    <s v="---"/>
    <n v="28"/>
    <n v="1978794000125"/>
    <n v="28"/>
    <n v="17768607896551"/>
    <s v="(21) 97998-5990"/>
    <n v="3003"/>
    <s v="Discador"/>
    <s v="Atendido"/>
    <s v="Fora de Area / Cx de Mensagens"/>
    <s v="BPATIVO22042026"/>
    <s v="Cliente"/>
    <n v="131"/>
    <m/>
    <m/>
    <d v="1899-12-30T00:03:08"/>
    <s v="---"/>
    <s v=""/>
    <x v="1"/>
  </r>
  <r>
    <d v="2026-04-22T09:30:21"/>
    <s v="3003 - FirjanAtivo"/>
    <s v="6044-Roseli Honorato Dos Santos"/>
    <n v="30"/>
    <n v="2055500000156"/>
    <n v="30"/>
    <n v="17768610217311"/>
    <s v="(24) 98114-1403"/>
    <n v="3003"/>
    <s v="Discador"/>
    <s v="Atendido"/>
    <s v="Ligação Muda"/>
    <s v="BPATIVO22042026"/>
    <s v="Agente"/>
    <n v="16"/>
    <m/>
    <m/>
    <d v="1899-12-30T00:00:40"/>
    <d v="1899-12-30T00:00:38"/>
    <s v=""/>
    <x v="1"/>
  </r>
  <r>
    <d v="2026-04-22T09:31:16"/>
    <s v="3003 - FirjanAtivo"/>
    <s v="6052-Marcia Lima Peixoto"/>
    <n v="31"/>
    <n v="2079896000171"/>
    <n v="31"/>
    <n v="17768610767341"/>
    <s v="(21) 99106-1939"/>
    <n v="3003"/>
    <s v="Discador"/>
    <s v="Atendido"/>
    <s v="Tel Não Atende / Ocupado"/>
    <s v="BPATIVO22042026"/>
    <s v="Agente"/>
    <n v="16"/>
    <m/>
    <m/>
    <d v="1899-12-30T00:00:25"/>
    <d v="1899-12-30T00:00:23"/>
    <s v=""/>
    <x v="1"/>
  </r>
  <r>
    <d v="2026-04-22T09:32:36"/>
    <s v="3003 - FirjanAtivo"/>
    <s v="---"/>
    <n v="32"/>
    <n v="2113776000143"/>
    <n v="32"/>
    <n v="17768611147471"/>
    <s v="(21) 97033-4306"/>
    <n v="3003"/>
    <s v="Discador"/>
    <s v="Atendido"/>
    <s v="Fora de Area / Cx de Mensagens"/>
    <s v="BPATIVO22042026"/>
    <s v="Cliente"/>
    <n v="131"/>
    <m/>
    <m/>
    <d v="1899-12-30T00:00:39"/>
    <s v="---"/>
    <s v=""/>
    <x v="1"/>
  </r>
  <r>
    <d v="2026-04-22T09:34:21"/>
    <s v="3003 - FirjanAtivo"/>
    <s v="---"/>
    <n v="33"/>
    <n v="2148473000166"/>
    <n v="33"/>
    <n v="17768611667621"/>
    <s v="(21) 98461-8480"/>
    <n v="3003"/>
    <s v="Discador"/>
    <s v="Atendido"/>
    <s v="Fora de Area / Cx de Mensagens"/>
    <s v="BPATIVO22042026"/>
    <s v="Cliente"/>
    <n v="131"/>
    <m/>
    <m/>
    <d v="1899-12-30T00:01:18"/>
    <s v="---"/>
    <s v=""/>
    <x v="1"/>
  </r>
  <r>
    <d v="2026-04-22T09:34:37"/>
    <s v="3003 - FirjanAtivo"/>
    <s v="---"/>
    <n v="35"/>
    <n v="2326459000105"/>
    <n v="35"/>
    <n v="17768612778421"/>
    <s v="(21) 98741-118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09:35:40"/>
    <s v="3003 - FirjanAtivo"/>
    <s v="6044-Roseli Honorato Dos Santos"/>
    <n v="36"/>
    <n v="2427859000107"/>
    <n v="36"/>
    <n v="17768613408571"/>
    <s v="(21) 97655-1215"/>
    <n v="3003"/>
    <s v="Discador"/>
    <s v="Atendido"/>
    <s v="Fora de Area / Cx de Mensagens"/>
    <s v="BPATIVO22042026"/>
    <s v="Cliente"/>
    <n v="16"/>
    <m/>
    <m/>
    <d v="1899-12-30T00:00:30"/>
    <d v="1899-12-30T00:00:28"/>
    <s v=""/>
    <x v="1"/>
  </r>
  <r>
    <d v="2026-04-22T09:36:27"/>
    <s v="3003 - FirjanAtivo"/>
    <s v="6052-Marcia Lima Peixoto"/>
    <n v="37"/>
    <n v="2464189000107"/>
    <n v="37"/>
    <n v="17768613878861"/>
    <s v="(22) 98123-3894"/>
    <n v="3003"/>
    <s v="Discador"/>
    <s v="Atendido"/>
    <s v="Ligação Muda"/>
    <s v="BPATIVO22042026"/>
    <s v="Agente"/>
    <n v="16"/>
    <m/>
    <m/>
    <d v="1899-12-30T00:00:22"/>
    <d v="1899-12-30T00:00:20"/>
    <s v=""/>
    <x v="1"/>
  </r>
  <r>
    <d v="2026-04-22T09:37:26"/>
    <s v="3003 - FirjanAtivo"/>
    <s v="6044-Roseli Honorato Dos Santos"/>
    <n v="38"/>
    <n v="2495060000158"/>
    <n v="38"/>
    <n v="17768614469041"/>
    <s v="(21) 99989-9107"/>
    <n v="3003"/>
    <s v="Discador"/>
    <s v="Atendido"/>
    <s v="Enviar E-mail"/>
    <s v="BPATIVO22042026"/>
    <s v="Cliente"/>
    <n v="16"/>
    <m/>
    <m/>
    <d v="1899-12-30T00:02:48"/>
    <d v="1899-12-30T00:02:46"/>
    <n v="1"/>
    <x v="1"/>
  </r>
  <r>
    <d v="2026-04-22T09:40:21"/>
    <s v="3003 - FirjanAtivo"/>
    <s v="---"/>
    <n v="39"/>
    <n v="2510074000101"/>
    <n v="39"/>
    <n v="17768616219241"/>
    <s v="(22) 97401-1109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09:41:08"/>
    <s v="3003 - FirjanAtivo"/>
    <s v="---"/>
    <n v="40"/>
    <n v="2604580000151"/>
    <n v="40"/>
    <n v="17768616689271"/>
    <s v="(24) 99913-406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09:42:49"/>
    <s v="3003 - FirjanAtivo"/>
    <s v="---"/>
    <n v="41"/>
    <n v="2605792000153"/>
    <n v="41"/>
    <n v="17768617179481"/>
    <s v="(22) 99278-8136"/>
    <n v="3003"/>
    <s v="Discador"/>
    <s v="Atendido"/>
    <s v="Fora de Area / Cx de Mensagens"/>
    <s v="BPATIVO22042026"/>
    <s v="Cliente"/>
    <n v="131"/>
    <m/>
    <m/>
    <d v="1899-12-30T00:00:47"/>
    <s v="---"/>
    <s v=""/>
    <x v="1"/>
  </r>
  <r>
    <d v="2026-04-22T09:42:55"/>
    <s v="3003 - FirjanAtivo"/>
    <s v="6044-Roseli Honorato Dos Santos"/>
    <n v="42"/>
    <n v="2746258000167"/>
    <n v="42"/>
    <n v="17768617759641"/>
    <s v="(24) 98119-5740"/>
    <n v="3003"/>
    <s v="Discador"/>
    <s v="Atendido"/>
    <s v="Fora de Area / Cx de Mensagens"/>
    <s v="BPATIVO22042026"/>
    <s v="Cliente"/>
    <n v="16"/>
    <m/>
    <m/>
    <d v="1899-12-30T00:00:39"/>
    <d v="1899-12-30T00:00:37"/>
    <s v=""/>
    <x v="1"/>
  </r>
  <r>
    <d v="2026-04-22T09:43:55"/>
    <s v="3003 - FirjanAtivo"/>
    <s v="6052-Marcia Lima Peixoto"/>
    <n v="43"/>
    <n v="2755969000106"/>
    <n v="43"/>
    <n v="17768618359871"/>
    <s v="(21) 98485-8817"/>
    <n v="3003"/>
    <s v="Discador"/>
    <s v="Atendido"/>
    <s v="Fora de Area / Cx de Mensagens"/>
    <s v="BPATIVO22042026"/>
    <s v="Agente"/>
    <n v="16"/>
    <m/>
    <m/>
    <d v="1899-12-30T00:00:12"/>
    <d v="1899-12-30T00:00:10"/>
    <s v=""/>
    <x v="1"/>
  </r>
  <r>
    <d v="2026-04-22T09:48:13"/>
    <s v="3003 - FirjanAtivo"/>
    <s v="---"/>
    <n v="44"/>
    <n v="2823246000199"/>
    <n v="44"/>
    <n v="17768618829941"/>
    <s v="(21) 98142-5542"/>
    <n v="3003"/>
    <s v="Discador"/>
    <s v="Atendido"/>
    <s v="Fora de Area / Cx de Mensagens"/>
    <s v="BPATIVO22042026"/>
    <s v="Cliente"/>
    <n v="131"/>
    <m/>
    <m/>
    <d v="1899-12-30T00:03:04"/>
    <s v="---"/>
    <s v=""/>
    <x v="1"/>
  </r>
  <r>
    <d v="2026-04-22T09:48:18"/>
    <s v="3003 - FirjanAtivo"/>
    <s v="6052-Marcia Lima Peixoto"/>
    <n v="45"/>
    <n v="2918682000141"/>
    <n v="45"/>
    <n v="177686209810541"/>
    <s v="(91) 99210-2542"/>
    <n v="3003"/>
    <s v="Discador"/>
    <s v="Atendido"/>
    <s v="Fora de Area / Cx de Mensagens"/>
    <s v="BPATIVO22042026"/>
    <s v="Agente"/>
    <n v="16"/>
    <m/>
    <m/>
    <d v="1899-12-30T00:00:08"/>
    <d v="1899-12-30T00:00:06"/>
    <s v=""/>
    <x v="1"/>
  </r>
  <r>
    <d v="2026-04-22T09:48:48"/>
    <s v="3003 - FirjanAtivo"/>
    <s v="---"/>
    <n v="46"/>
    <n v="2961614000165"/>
    <n v="46"/>
    <n v="177686212810561"/>
    <s v="(22) 99861-2688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09:54:47"/>
    <s v="3003 - FirjanAtivo"/>
    <s v="---"/>
    <n v="47"/>
    <n v="3063053000140"/>
    <n v="47"/>
    <n v="177686217610581"/>
    <s v="(22) 99969-6384"/>
    <n v="3003"/>
    <s v="Discador"/>
    <s v="Atendido"/>
    <s v="Fora de Area / Cx de Mensagens"/>
    <s v="BPATIVO22042026"/>
    <s v="Cliente"/>
    <n v="131"/>
    <m/>
    <m/>
    <d v="1899-12-30T00:05:03"/>
    <s v="---"/>
    <s v=""/>
    <x v="1"/>
  </r>
  <r>
    <d v="2026-04-22T09:54:53"/>
    <s v="3003 - FirjanAtivo"/>
    <s v="---"/>
    <n v="49"/>
    <n v="3130917000107"/>
    <n v="49"/>
    <n v="177686249311821"/>
    <s v="(24) 98131-68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09:55:36"/>
    <s v="3003 - FirjanAtivo"/>
    <s v="---"/>
    <n v="50"/>
    <n v="3135802000105"/>
    <n v="50"/>
    <n v="177686253611951"/>
    <s v="(22) 98177-761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09:56:07"/>
    <s v="3003 - FirjanAtivo"/>
    <s v="---"/>
    <n v="51"/>
    <n v="3276131000194"/>
    <n v="51"/>
    <n v="177686256712111"/>
    <s v="(21) 96484-9137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09:56:27"/>
    <s v="3003 - FirjanAtivo"/>
    <s v="---"/>
    <n v="52"/>
    <n v="3311811000100"/>
    <n v="52"/>
    <n v="177686258712191"/>
    <s v="(22) 99954-803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09:56:47"/>
    <s v="3003 - FirjanAtivo"/>
    <s v="---"/>
    <n v="53"/>
    <n v="3463826000185"/>
    <n v="53"/>
    <n v="177686260712321"/>
    <s v="(21) 96526-2338"/>
    <n v="3003"/>
    <s v="Discador"/>
    <s v="Atendido"/>
    <s v="Fora de Area / Cx de Mensagens"/>
    <s v="BPATIVO22042026"/>
    <s v="Cliente"/>
    <n v="131"/>
    <m/>
    <m/>
    <d v="1899-12-30T00:00:12"/>
    <s v="---"/>
    <s v=""/>
    <x v="1"/>
  </r>
  <r>
    <d v="2026-04-22T09:57:12"/>
    <s v="3003 - FirjanAtivo"/>
    <s v="---"/>
    <n v="54"/>
    <n v="3478949000190"/>
    <n v="54"/>
    <n v="177686263212421"/>
    <s v="(22) 99899-159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09:57:31"/>
    <s v="3003 - FirjanAtivo"/>
    <s v="---"/>
    <n v="55"/>
    <n v="3488597000153"/>
    <n v="55"/>
    <n v="177686265112541"/>
    <s v="(21) 98187-7389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09:57:54"/>
    <s v="3003 - FirjanAtivo"/>
    <s v="---"/>
    <n v="56"/>
    <n v="3569821000131"/>
    <n v="56"/>
    <n v="177686267412631"/>
    <s v="(22) 99799-0091"/>
    <n v="3003"/>
    <s v="Discador"/>
    <s v="Atendido"/>
    <s v="Fora de Area / Cx de Mensagens"/>
    <s v="BPATIVO22042026"/>
    <s v="--"/>
    <n v="131"/>
    <m/>
    <m/>
    <d v="1899-12-30T00:00:01"/>
    <s v="---"/>
    <s v=""/>
    <x v="1"/>
  </r>
  <r>
    <d v="2026-04-22T09:58:17"/>
    <s v="3003 - FirjanAtivo"/>
    <s v="---"/>
    <n v="57"/>
    <n v="3651229000184"/>
    <n v="57"/>
    <n v="177686269712721"/>
    <s v="(21) 98739-281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09:58:51"/>
    <s v="3003 - FirjanAtivo"/>
    <s v="6044-Roseli Honorato Dos Santos"/>
    <n v="58"/>
    <n v="3850983000143"/>
    <n v="58"/>
    <n v="177686273112801"/>
    <s v="(21) 96736-1113"/>
    <n v="3003"/>
    <s v="Discador"/>
    <s v="Atendido"/>
    <s v="Ligação Muda"/>
    <s v="BPATIVO22042026"/>
    <s v="Cliente"/>
    <n v="16"/>
    <m/>
    <m/>
    <d v="1899-12-30T00:00:05"/>
    <s v="---"/>
    <s v=""/>
    <x v="1"/>
  </r>
  <r>
    <d v="2026-04-22T09:59:14"/>
    <s v="3003 - FirjanAtivo"/>
    <s v="---"/>
    <n v="59"/>
    <n v="3904574000182"/>
    <n v="59"/>
    <n v="177686275412851"/>
    <s v="(22) 99708-942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09:59:33"/>
    <s v="3003 - FirjanAtivo"/>
    <s v="---"/>
    <n v="60"/>
    <n v="3954733000153"/>
    <n v="60"/>
    <n v="177686277312961"/>
    <s v="(21) 96857-917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09:59:52"/>
    <s v="3003 - FirjanAtivo"/>
    <s v="---"/>
    <n v="61"/>
    <n v="3995747000115"/>
    <n v="61"/>
    <n v="177686279213021"/>
    <s v="(21) 98835-020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0:04"/>
    <s v="3003 - FirjanAtivo"/>
    <s v="---"/>
    <n v="62"/>
    <n v="4028062000162"/>
    <n v="62"/>
    <n v="177686280413041"/>
    <s v="(22) 98819-832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0:39"/>
    <s v="3003 - FirjanAtivo"/>
    <s v="---"/>
    <n v="63"/>
    <n v="4044746000158"/>
    <n v="63"/>
    <n v="177686283913061"/>
    <s v="(22) 98802-72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0:50"/>
    <s v="3003 - FirjanAtivo"/>
    <s v="---"/>
    <n v="64"/>
    <n v="4048649000133"/>
    <n v="64"/>
    <n v="177686285013141"/>
    <s v="(21) 99805-222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1:03"/>
    <s v="3003 - FirjanAtivo"/>
    <s v="---"/>
    <n v="65"/>
    <n v="4063828000140"/>
    <n v="65"/>
    <n v="177686286313201"/>
    <s v="(22) 99936-54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1:32"/>
    <s v="3003 - FirjanAtivo"/>
    <s v="---"/>
    <n v="66"/>
    <n v="4137354000133"/>
    <n v="66"/>
    <n v="177686289213221"/>
    <s v="(21) 99422-67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1:58"/>
    <s v="3003 - FirjanAtivo"/>
    <s v="---"/>
    <n v="67"/>
    <n v="4160599000181"/>
    <n v="67"/>
    <n v="177686291813281"/>
    <s v="(24) 98107-825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2:35"/>
    <s v="3003 - FirjanAtivo"/>
    <s v="---"/>
    <n v="68"/>
    <n v="4356149000169"/>
    <n v="68"/>
    <n v="177686295513301"/>
    <s v="(21) 97123-078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3:18"/>
    <s v="3003 - FirjanAtivo"/>
    <s v="---"/>
    <n v="69"/>
    <n v="4371864000170"/>
    <n v="69"/>
    <n v="177686299813451"/>
    <s v="(22) 99965-101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3:40"/>
    <s v="3003 - FirjanAtivo"/>
    <s v="---"/>
    <n v="70"/>
    <n v="4373195000176"/>
    <n v="70"/>
    <n v="177686302013471"/>
    <s v="(21) 99371-916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3:57"/>
    <s v="3003 - FirjanAtivo"/>
    <s v="---"/>
    <n v="71"/>
    <n v="4433625000106"/>
    <n v="71"/>
    <n v="177686303713491"/>
    <s v="(21) 98225-7925"/>
    <n v="3003"/>
    <s v="Discador"/>
    <s v="Atendido"/>
    <s v="Fora de Area / Cx de Mensagens"/>
    <s v="BPATIVO22042026"/>
    <s v="Cliente"/>
    <n v="131"/>
    <m/>
    <m/>
    <d v="1899-12-30T00:00:04"/>
    <s v="---"/>
    <s v=""/>
    <x v="1"/>
  </r>
  <r>
    <d v="2026-04-22T10:04:12"/>
    <s v="3003 - FirjanAtivo"/>
    <s v="---"/>
    <n v="72"/>
    <n v="4652839000165"/>
    <n v="72"/>
    <n v="177686305213581"/>
    <s v="(21) 99953-15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4:47"/>
    <s v="3003 - FirjanAtivo"/>
    <s v="---"/>
    <n v="73"/>
    <n v="4728735000197"/>
    <n v="73"/>
    <n v="177686308713611"/>
    <s v="(22) 99835-027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0:05:30"/>
    <s v="3003 - FirjanAtivo"/>
    <s v="---"/>
    <n v="74"/>
    <n v="4900076000124"/>
    <n v="74"/>
    <n v="177686313013691"/>
    <s v="(21) 98882-567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5:41"/>
    <s v="3003 - FirjanAtivo"/>
    <s v="---"/>
    <n v="75"/>
    <n v="4987252000107"/>
    <n v="75"/>
    <n v="177686314113711"/>
    <s v="(21) 99335-6612"/>
    <n v="3003"/>
    <s v="Discador"/>
    <s v="Atendido"/>
    <s v="Fora de Area / Cx de Mensagens"/>
    <s v="BPATIVO22042026"/>
    <s v="--"/>
    <n v="131"/>
    <m/>
    <m/>
    <d v="1899-12-30T00:00:03"/>
    <s v="---"/>
    <s v=""/>
    <x v="1"/>
  </r>
  <r>
    <d v="2026-04-22T10:06:00"/>
    <s v="3003 - FirjanAtivo"/>
    <s v="---"/>
    <n v="76"/>
    <n v="5068583000106"/>
    <n v="76"/>
    <n v="177686316013771"/>
    <s v="(21) 99701-899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6:14"/>
    <s v="3003 - FirjanAtivo"/>
    <s v="---"/>
    <n v="77"/>
    <n v="5105470000133"/>
    <n v="77"/>
    <n v="177686317413791"/>
    <s v="(21) 99254-119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6:26"/>
    <s v="3003 - FirjanAtivo"/>
    <s v="---"/>
    <n v="78"/>
    <n v="5124020000198"/>
    <n v="78"/>
    <n v="177686318613871"/>
    <s v="(21) 96416-636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6:54"/>
    <s v="3003 - FirjanAtivo"/>
    <s v="---"/>
    <n v="79"/>
    <n v="5133369000196"/>
    <n v="79"/>
    <n v="177686321413951"/>
    <s v="(21) 98160-016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7:22"/>
    <s v="3003 - FirjanAtivo"/>
    <s v="---"/>
    <n v="80"/>
    <n v="5207886000162"/>
    <n v="80"/>
    <n v="177686324214041"/>
    <s v="(21) 98208-39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8:09"/>
    <s v="3003 - FirjanAtivo"/>
    <s v="---"/>
    <n v="81"/>
    <n v="5476516000120"/>
    <n v="81"/>
    <n v="177686328914211"/>
    <s v="(21) 99999-707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8:18"/>
    <s v="3003 - FirjanAtivo"/>
    <s v="---"/>
    <n v="82"/>
    <n v="5483497000160"/>
    <n v="82"/>
    <n v="177686329814281"/>
    <s v="(24) 99999-746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8:27"/>
    <s v="3003 - FirjanAtivo"/>
    <s v="---"/>
    <n v="83"/>
    <n v="5485452000124"/>
    <n v="83"/>
    <n v="177686330714301"/>
    <s v="(81) 99651-3130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0:08:57"/>
    <s v="3003 - FirjanAtivo"/>
    <s v="---"/>
    <n v="84"/>
    <n v="5487548000121"/>
    <n v="84"/>
    <n v="177686333714441"/>
    <s v="(21) 98478-185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9:11"/>
    <s v="3003 - FirjanAtivo"/>
    <s v="---"/>
    <n v="85"/>
    <n v="5587109000190"/>
    <n v="85"/>
    <n v="177686335114541"/>
    <s v="(21) 96500-65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09:24"/>
    <s v="3003 - FirjanAtivo"/>
    <s v="---"/>
    <n v="86"/>
    <n v="5600088000104"/>
    <n v="86"/>
    <n v="177686336414561"/>
    <s v="(21) 96769-1155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0:10:00"/>
    <s v="3003 - FirjanAtivo"/>
    <s v="6044-Roseli Honorato Dos Santos"/>
    <n v="87"/>
    <n v="5813848000153"/>
    <n v="87"/>
    <n v="177686340014661"/>
    <s v="(22) 99971-7111"/>
    <n v="3003"/>
    <s v="Discador"/>
    <s v="Atendido"/>
    <s v="Enviar E-mail"/>
    <s v="BPATIVO22042026"/>
    <s v="Cliente"/>
    <n v="16"/>
    <m/>
    <m/>
    <d v="1899-12-30T00:02:30"/>
    <d v="1899-12-30T00:02:27"/>
    <n v="1"/>
    <x v="1"/>
  </r>
  <r>
    <d v="2026-04-22T10:12:50"/>
    <s v="3003 - FirjanAtivo"/>
    <s v="---"/>
    <n v="88"/>
    <n v="5870198000188"/>
    <n v="88"/>
    <n v="177686357014721"/>
    <s v="(22) 99999-7377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0:13:34"/>
    <s v="3003 - FirjanAtivo"/>
    <s v="---"/>
    <n v="89"/>
    <n v="5887391000121"/>
    <n v="89"/>
    <n v="177686361414771"/>
    <s v="(22) 99780-66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14:17"/>
    <s v="3003 - FirjanAtivo"/>
    <s v="---"/>
    <n v="90"/>
    <n v="5951912000162"/>
    <n v="90"/>
    <n v="177686365714791"/>
    <s v="(22) 99278-483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14:32"/>
    <s v="3003 - FirjanAtivo"/>
    <s v="---"/>
    <n v="91"/>
    <n v="6058857000149"/>
    <n v="91"/>
    <n v="177686367214811"/>
    <s v="(22) 99832-543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0:15:34"/>
    <s v="3003 - FirjanAtivo"/>
    <s v="---"/>
    <n v="92"/>
    <n v="6093542000132"/>
    <n v="92"/>
    <n v="177686373415031"/>
    <s v="(22) 98115-0323"/>
    <n v="3003"/>
    <s v="Discador"/>
    <s v="Atendido"/>
    <s v="Fora de Area / Cx de Mensagens"/>
    <s v="BPATIVO22042026"/>
    <s v="--"/>
    <n v="131"/>
    <m/>
    <m/>
    <d v="1899-12-30T00:00:00"/>
    <s v="---"/>
    <s v=""/>
    <x v="1"/>
  </r>
  <r>
    <d v="2026-04-22T10:15:48"/>
    <s v="3003 - FirjanAtivo"/>
    <s v="---"/>
    <n v="93"/>
    <n v="6100968000176"/>
    <n v="93"/>
    <n v="177686374815041"/>
    <s v="(55) 21998-910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0:16:18"/>
    <s v="3003 - FirjanAtivo"/>
    <s v="---"/>
    <n v="94"/>
    <n v="6215708000146"/>
    <n v="94"/>
    <n v="177686377815181"/>
    <s v="(21) 99859-4453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0:17:01"/>
    <s v="3003 - FirjanAtivo"/>
    <s v="---"/>
    <n v="95"/>
    <n v="6236859000180"/>
    <n v="95"/>
    <n v="177686382115311"/>
    <s v="(24) 99277-76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17:24"/>
    <s v="3003 - FirjanAtivo"/>
    <s v="---"/>
    <n v="96"/>
    <n v="6276371000187"/>
    <n v="96"/>
    <n v="177686384415401"/>
    <s v="(21) 96459-205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17:42"/>
    <s v="3003 - FirjanAtivo"/>
    <s v="---"/>
    <n v="97"/>
    <n v="6326043000148"/>
    <n v="97"/>
    <n v="177686386215621"/>
    <s v="(24) 99983-297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17:53"/>
    <s v="3003 - FirjanAtivo"/>
    <s v="---"/>
    <n v="98"/>
    <n v="6652280000107"/>
    <n v="98"/>
    <n v="177686387215781"/>
    <s v="(55) 21969-7751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0:17:53"/>
    <s v="3003 - FirjanAtivo"/>
    <s v="---"/>
    <n v="99"/>
    <n v="6983876000181"/>
    <n v="99"/>
    <n v="177686387315801"/>
    <s v="(24) 99926-552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18:05"/>
    <s v="3003 - FirjanAtivo"/>
    <s v="---"/>
    <n v="100"/>
    <n v="7042642000364"/>
    <n v="100"/>
    <n v="177686388515851"/>
    <s v="(22) 99883-6782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0:18:29"/>
    <s v="3003 - FirjanAtivo"/>
    <s v="6052-Marcia Lima Peixoto"/>
    <n v="101"/>
    <n v="7072293000161"/>
    <n v="101"/>
    <n v="177686390915871"/>
    <s v="(21) 96452-4707"/>
    <n v="3003"/>
    <s v="Discador"/>
    <s v="Atendido"/>
    <s v="Enviar E-mail"/>
    <s v="BPATIVO22042026"/>
    <s v="Agente"/>
    <n v="16"/>
    <m/>
    <m/>
    <d v="1899-12-30T00:04:09"/>
    <d v="1899-12-30T00:04:06"/>
    <n v="1"/>
    <x v="1"/>
  </r>
  <r>
    <d v="2026-04-22T10:22:59"/>
    <s v="3003 - FirjanAtivo"/>
    <s v="---"/>
    <n v="102"/>
    <n v="7211888000150"/>
    <n v="102"/>
    <n v="177686417916271"/>
    <s v="(21) 97041-61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23:26"/>
    <s v="3003 - FirjanAtivo"/>
    <s v="---"/>
    <n v="103"/>
    <n v="7355123000194"/>
    <n v="103"/>
    <n v="177686420616401"/>
    <s v="(24) 3326-4426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0:24:12"/>
    <s v="3003 - FirjanAtivo"/>
    <s v="---"/>
    <n v="104"/>
    <n v="7368744000102"/>
    <n v="104"/>
    <n v="177686425216541"/>
    <s v="(21) 98309-169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24:36"/>
    <s v="3003 - FirjanAtivo"/>
    <s v="6044-Roseli Honorato Dos Santos"/>
    <n v="105"/>
    <n v="7477770000179"/>
    <n v="105"/>
    <n v="177686427616551"/>
    <s v="(21) 96011-4588"/>
    <n v="3003"/>
    <s v="Discador"/>
    <s v="Atendido"/>
    <s v="Ligação Muda"/>
    <s v="BPATIVO22042026"/>
    <s v="Cliente"/>
    <n v="16"/>
    <m/>
    <m/>
    <d v="1899-12-30T00:00:07"/>
    <d v="1899-12-30T00:00:01"/>
    <s v=""/>
    <x v="1"/>
  </r>
  <r>
    <d v="2026-04-22T10:24:58"/>
    <s v="3003 - FirjanAtivo"/>
    <s v="---"/>
    <n v="106"/>
    <n v="7485047000131"/>
    <n v="106"/>
    <n v="177686429816581"/>
    <s v="(22) 99218-145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25:32"/>
    <s v="3003 - FirjanAtivo"/>
    <s v="6052-Marcia Lima Peixoto"/>
    <n v="107"/>
    <n v="7525932000105"/>
    <n v="107"/>
    <n v="177686433216781"/>
    <s v="(21) 97390-5049"/>
    <n v="3003"/>
    <s v="Discador"/>
    <s v="Atendido"/>
    <s v="Engano"/>
    <s v="BPATIVO22042026"/>
    <s v="Cliente"/>
    <n v="16"/>
    <m/>
    <m/>
    <d v="1899-12-30T00:00:38"/>
    <d v="1899-12-30T00:00:32"/>
    <s v=""/>
    <x v="1"/>
  </r>
  <r>
    <d v="2026-04-22T10:26:44"/>
    <s v="3003 - FirjanAtivo"/>
    <s v="---"/>
    <n v="108"/>
    <n v="7560240000190"/>
    <n v="108"/>
    <n v="177686437616881"/>
    <s v="(21) 99252-0142"/>
    <n v="3003"/>
    <s v="Discador"/>
    <s v="Atendido"/>
    <s v="Fora de Area / Cx de Mensagens"/>
    <s v="BPATIVO22042026"/>
    <s v="Cliente"/>
    <n v="131"/>
    <m/>
    <m/>
    <d v="1899-12-30T00:00:19"/>
    <s v="---"/>
    <s v=""/>
    <x v="1"/>
  </r>
  <r>
    <d v="2026-04-22T10:26:52"/>
    <s v="3003 - FirjanAtivo"/>
    <s v="6044-Roseli Honorato Dos Santos"/>
    <n v="109"/>
    <n v="7564658000175"/>
    <n v="109"/>
    <n v="177686441217011"/>
    <s v="(22) 99924-1184"/>
    <n v="3003"/>
    <s v="Discador"/>
    <s v="Atendido"/>
    <s v="Enviar E-mail"/>
    <s v="BPATIVO22042026"/>
    <s v="Cliente"/>
    <n v="16"/>
    <m/>
    <m/>
    <d v="1899-12-30T00:02:11"/>
    <d v="1899-12-30T00:02:08"/>
    <n v="1"/>
    <x v="1"/>
  </r>
  <r>
    <d v="2026-04-22T10:29:15"/>
    <s v="3003 - FirjanAtivo"/>
    <s v="---"/>
    <n v="110"/>
    <n v="7585606000185"/>
    <n v="110"/>
    <n v="177686455517551"/>
    <s v="(24) 98181-05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29:44"/>
    <s v="3003 - FirjanAtivo"/>
    <s v="6052-Marcia Lima Peixoto"/>
    <n v="111"/>
    <n v="7638597000143"/>
    <n v="111"/>
    <n v="177686458417571"/>
    <s v="(22) 99969-6384"/>
    <n v="3003"/>
    <s v="Discador"/>
    <s v="Atendido"/>
    <s v="Tel Não Atende / Ocupado"/>
    <s v="BPATIVO22042026"/>
    <s v="Cliente"/>
    <n v="16"/>
    <m/>
    <m/>
    <d v="1899-12-30T00:00:11"/>
    <d v="1899-12-30T00:00:05"/>
    <s v=""/>
    <x v="1"/>
  </r>
  <r>
    <d v="2026-04-22T10:30:04"/>
    <s v="3003 - FirjanAtivo"/>
    <s v="---"/>
    <n v="112"/>
    <n v="7762793000125"/>
    <n v="112"/>
    <n v="177686460417601"/>
    <s v="(24) 93500-079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30:27"/>
    <s v="3003 - FirjanAtivo"/>
    <s v="---"/>
    <n v="113"/>
    <n v="7783371000136"/>
    <n v="113"/>
    <n v="177686462717691"/>
    <s v="(24) 99969-699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30:41"/>
    <s v="3003 - FirjanAtivo"/>
    <s v="---"/>
    <n v="114"/>
    <n v="7876652000133"/>
    <n v="114"/>
    <n v="177686464117711"/>
    <s v="(22) 98819-282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31:03"/>
    <s v="3003 - FirjanAtivo"/>
    <s v="---"/>
    <n v="115"/>
    <n v="7955927000124"/>
    <n v="115"/>
    <n v="177686466317791"/>
    <s v="(22) 98101-229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31:17"/>
    <s v="3003 - FirjanAtivo"/>
    <s v="---"/>
    <n v="116"/>
    <n v="8083779000168"/>
    <n v="116"/>
    <n v="177686467717811"/>
    <s v="(24) 98133-2595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0:32:43"/>
    <s v="3003 - FirjanAtivo"/>
    <s v="---"/>
    <n v="117"/>
    <n v="8117661000103"/>
    <n v="117"/>
    <n v="177686476317921"/>
    <s v="(24) 99850-015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0:40:15"/>
    <s v="3003 - FirjanAtivo"/>
    <s v="---"/>
    <n v="118"/>
    <n v="8144303000190"/>
    <n v="118"/>
    <n v="177686521518841"/>
    <s v="(21) 99989-160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40:25"/>
    <s v="3003 - FirjanAtivo"/>
    <s v="6052-Marcia Lima Peixoto"/>
    <n v="119"/>
    <n v="8174306000176"/>
    <n v="119"/>
    <n v="177686522518861"/>
    <s v="(21) 98636-6416"/>
    <n v="3003"/>
    <s v="Discador"/>
    <s v="Atendido"/>
    <s v="Tel Não Atende / Ocupado"/>
    <s v="BPATIVO22042026"/>
    <s v="Cliente"/>
    <n v="16"/>
    <m/>
    <m/>
    <d v="1899-12-30T00:00:12"/>
    <d v="1899-12-30T00:00:07"/>
    <s v=""/>
    <x v="1"/>
  </r>
  <r>
    <d v="2026-04-22T10:40:47"/>
    <s v="3003 - FirjanAtivo"/>
    <s v="---"/>
    <n v="120"/>
    <n v="8226364000104"/>
    <n v="120"/>
    <n v="177686524718891"/>
    <s v="(24) 99855-13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41:30"/>
    <s v="3003 - FirjanAtivo"/>
    <s v="---"/>
    <n v="121"/>
    <n v="8311819000262"/>
    <n v="121"/>
    <n v="177686529019021"/>
    <s v="(24) 98122-949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41:54"/>
    <s v="3003 - FirjanAtivo"/>
    <s v="---"/>
    <n v="122"/>
    <n v="8518829000354"/>
    <n v="122"/>
    <n v="177686531419051"/>
    <s v="(21) 99188-746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42:23"/>
    <s v="3003 - FirjanAtivo"/>
    <s v="---"/>
    <n v="123"/>
    <n v="8537926000122"/>
    <n v="123"/>
    <n v="177686534319071"/>
    <s v="(21) 99635-889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42:42"/>
    <s v="3003 - FirjanAtivo"/>
    <s v="---"/>
    <n v="124"/>
    <n v="8599024000110"/>
    <n v="124"/>
    <n v="177686536219091"/>
    <s v="(24) 98814-92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43:07"/>
    <s v="3003 - FirjanAtivo"/>
    <s v="---"/>
    <n v="125"/>
    <n v="8665134000133"/>
    <n v="125"/>
    <n v="177686538719211"/>
    <s v="(22) 99265-612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43:26"/>
    <s v="3003 - FirjanAtivo"/>
    <s v="---"/>
    <n v="126"/>
    <n v="8764146000115"/>
    <n v="126"/>
    <n v="177686540619231"/>
    <s v="(21) 97113-19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43:44"/>
    <s v="3003 - FirjanAtivo"/>
    <s v="---"/>
    <n v="127"/>
    <n v="8879331000155"/>
    <n v="127"/>
    <n v="177686542419311"/>
    <s v="(21) 99951-7659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0:44:07"/>
    <s v="3003 - FirjanAtivo"/>
    <s v="---"/>
    <n v="128"/>
    <n v="8892204000196"/>
    <n v="128"/>
    <n v="177686544719391"/>
    <s v="(21) 99465-427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44:34"/>
    <s v="3003 - FirjanAtivo"/>
    <s v="---"/>
    <n v="129"/>
    <n v="8912389000153"/>
    <n v="129"/>
    <n v="177686547419541"/>
    <s v="(21) 99752-2322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0:45:16"/>
    <s v="3003 - FirjanAtivo"/>
    <s v="6052-Marcia Lima Peixoto"/>
    <n v="130"/>
    <n v="8951936000100"/>
    <n v="130"/>
    <n v="177686551619611"/>
    <s v="(22) 99959-3764"/>
    <n v="3003"/>
    <s v="Discador"/>
    <s v="Atendido"/>
    <s v="Tel Não Atende / Ocupado"/>
    <s v="BPATIVO22042026"/>
    <s v="Cliente"/>
    <n v="16"/>
    <m/>
    <m/>
    <d v="1899-12-30T00:00:03"/>
    <s v="---"/>
    <s v=""/>
    <x v="1"/>
  </r>
  <r>
    <d v="2026-04-22T10:45:26"/>
    <s v="3003 - FirjanAtivo"/>
    <s v="---"/>
    <n v="131"/>
    <n v="8973205000165"/>
    <n v="131"/>
    <n v="177686552619641"/>
    <s v="(24) 99860-523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45:56"/>
    <s v="3003 - FirjanAtivo"/>
    <s v="---"/>
    <n v="132"/>
    <n v="8996355000194"/>
    <n v="132"/>
    <n v="177686555619661"/>
    <s v="(21) 97990-0311"/>
    <n v="3003"/>
    <s v="Discador"/>
    <s v="Atendido"/>
    <s v="Fora de Area / Cx de Mensagens"/>
    <s v="BPATIVO22042026"/>
    <s v="--"/>
    <n v="128"/>
    <m/>
    <m/>
    <d v="1899-12-30T00:00:03"/>
    <s v="---"/>
    <s v=""/>
    <x v="1"/>
  </r>
  <r>
    <d v="2026-04-22T10:46:17"/>
    <s v="3003 - FirjanAtivo"/>
    <s v="---"/>
    <n v="133"/>
    <n v="9082639000138"/>
    <n v="133"/>
    <n v="177686557719681"/>
    <s v="(22) 99824-939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47:00"/>
    <s v="3003 - FirjanAtivo"/>
    <s v="---"/>
    <n v="134"/>
    <n v="9158698000142"/>
    <n v="134"/>
    <n v="177686562019701"/>
    <s v="(24) 99956-16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47:27"/>
    <s v="3003 - FirjanAtivo"/>
    <s v="6044-Roseli Honorato Dos Santos"/>
    <n v="135"/>
    <n v="9213671000105"/>
    <n v="135"/>
    <n v="177686564719841"/>
    <s v="(21) 97672-6902"/>
    <n v="3003"/>
    <s v="Discador"/>
    <s v="Atendido"/>
    <s v="Enviar E-mail"/>
    <s v="BPATIVO22042026"/>
    <s v="Cliente"/>
    <n v="16"/>
    <m/>
    <m/>
    <d v="1899-12-30T00:01:47"/>
    <d v="1899-12-30T00:01:42"/>
    <n v="1"/>
    <x v="1"/>
  </r>
  <r>
    <d v="2026-04-22T10:49:19"/>
    <s v="3003 - FirjanAtivo"/>
    <s v="---"/>
    <n v="136"/>
    <n v="9232340000112"/>
    <n v="136"/>
    <n v="177686575920021"/>
    <s v="(24) 98881-036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50:02"/>
    <s v="3003 - FirjanAtivo"/>
    <s v="---"/>
    <n v="137"/>
    <n v="9243828000145"/>
    <n v="137"/>
    <n v="177686580220041"/>
    <s v="(21) 98320-004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50:29"/>
    <s v="3003 - FirjanAtivo"/>
    <s v="6052-Marcia Lima Peixoto"/>
    <n v="138"/>
    <n v="9292503000152"/>
    <n v="138"/>
    <n v="177686582920121"/>
    <s v="(21) 97213-5109"/>
    <n v="3003"/>
    <s v="Discador"/>
    <s v="Atendido"/>
    <s v="Enviar E-mail"/>
    <s v="BPATIVO22042026"/>
    <s v="Cliente"/>
    <n v="16"/>
    <m/>
    <m/>
    <d v="1899-12-30T00:03:33"/>
    <d v="1899-12-30T00:03:29"/>
    <n v="1"/>
    <x v="1"/>
  </r>
  <r>
    <d v="2026-04-22T10:54:29"/>
    <s v="3003 - FirjanAtivo"/>
    <s v="6052-Marcia Lima Peixoto"/>
    <n v="140"/>
    <n v="9450692000144"/>
    <n v="140"/>
    <n v="177686606920751"/>
    <s v="(22) 99205-3561"/>
    <n v="3003"/>
    <s v="Discador"/>
    <s v="Atendido"/>
    <s v="Retornar"/>
    <s v="BPATIVO22042026"/>
    <s v="Agente"/>
    <n v="16"/>
    <m/>
    <m/>
    <d v="1899-12-30T00:00:34"/>
    <d v="1899-12-30T00:00:29"/>
    <s v=""/>
    <x v="1"/>
  </r>
  <r>
    <d v="2026-04-22T10:55:15"/>
    <s v="3003 - FirjanAtivo"/>
    <s v="---"/>
    <n v="141"/>
    <n v="9477090000180"/>
    <n v="141"/>
    <n v="177686611520861"/>
    <s v="(21) 98141-441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55:31"/>
    <s v="3003 - FirjanAtivo"/>
    <s v="---"/>
    <n v="142"/>
    <n v="9524235000157"/>
    <n v="142"/>
    <n v="177686613120881"/>
    <s v="(22) 98120-3199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0:56:13"/>
    <s v="3003 - FirjanAtivo"/>
    <s v="---"/>
    <n v="143"/>
    <n v="10199619000120"/>
    <n v="143"/>
    <n v="177686617320901"/>
    <s v="(32) 98406-813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56:44"/>
    <s v="3003 - FirjanAtivo"/>
    <s v="---"/>
    <n v="144"/>
    <n v="10312430000100"/>
    <n v="144"/>
    <n v="177686620420931"/>
    <s v="(24) 99839-887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57:20"/>
    <s v="3003 - FirjanAtivo"/>
    <s v="---"/>
    <n v="145"/>
    <n v="10320742000158"/>
    <n v="145"/>
    <n v="177686624020951"/>
    <s v="(21) 99819-678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58:50"/>
    <s v="3003 - FirjanAtivo"/>
    <s v="---"/>
    <n v="146"/>
    <n v="10335794000106"/>
    <n v="146"/>
    <n v="177686627221091"/>
    <s v="(22) 99871-5643"/>
    <n v="3003"/>
    <s v="Discador"/>
    <s v="Atendido"/>
    <s v="Fora de Area / Cx de Mensagens"/>
    <s v="BPATIVO22042026"/>
    <s v="Cliente"/>
    <n v="131"/>
    <m/>
    <m/>
    <d v="1899-12-30T00:00:49"/>
    <s v="---"/>
    <s v=""/>
    <x v="1"/>
  </r>
  <r>
    <d v="2026-04-22T10:59:07"/>
    <s v="3003 - FirjanAtivo"/>
    <s v="---"/>
    <n v="147"/>
    <n v="10364002000113"/>
    <n v="147"/>
    <n v="177686634721481"/>
    <s v="(21) 99567-20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0:59:49"/>
    <s v="3003 - FirjanAtivo"/>
    <s v="---"/>
    <n v="148"/>
    <n v="10379649000119"/>
    <n v="148"/>
    <n v="177686638921581"/>
    <s v="(24) 99275-600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00:24"/>
    <s v="3003 - FirjanAtivo"/>
    <s v="---"/>
    <n v="149"/>
    <n v="10433504000159"/>
    <n v="149"/>
    <n v="177686642421691"/>
    <s v="(22) 98177-043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00:35"/>
    <s v="3003 - FirjanAtivo"/>
    <s v="---"/>
    <n v="150"/>
    <n v="10443491000107"/>
    <n v="150"/>
    <n v="177686643521721"/>
    <s v="(22) 98169-663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1:01:28"/>
    <s v="3003 - FirjanAtivo"/>
    <s v="---"/>
    <n v="151"/>
    <n v="10479198000191"/>
    <n v="151"/>
    <n v="177686648821941"/>
    <s v="(22) 98832-51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01:40"/>
    <s v="3003 - FirjanAtivo"/>
    <s v="---"/>
    <n v="152"/>
    <n v="10480153000137"/>
    <n v="152"/>
    <n v="177686650022021"/>
    <s v="(24) 99941-876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02:02"/>
    <s v="3003 - FirjanAtivo"/>
    <s v="---"/>
    <n v="153"/>
    <n v="10594727000106"/>
    <n v="153"/>
    <n v="177686652222111"/>
    <s v="(24) 98803-7230"/>
    <n v="3003"/>
    <s v="Discador"/>
    <s v="Atendido"/>
    <s v="Fora de Area / Cx de Mensagens"/>
    <s v="BPATIVO22042026"/>
    <s v="--"/>
    <n v="128"/>
    <m/>
    <m/>
    <d v="1899-12-30T00:00:04"/>
    <s v="---"/>
    <s v=""/>
    <x v="1"/>
  </r>
  <r>
    <d v="2026-04-22T11:02:17"/>
    <s v="3003 - FirjanAtivo"/>
    <s v="---"/>
    <n v="154"/>
    <n v="10737265000120"/>
    <n v="154"/>
    <n v="177686653722231"/>
    <s v="(22) 99212-85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02:30"/>
    <s v="3003 - FirjanAtivo"/>
    <s v="---"/>
    <n v="155"/>
    <n v="10745721000184"/>
    <n v="155"/>
    <n v="177686655022251"/>
    <s v="(21) 98204-73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02:54"/>
    <s v="3003 - FirjanAtivo"/>
    <s v="---"/>
    <n v="156"/>
    <n v="10746169000149"/>
    <n v="156"/>
    <n v="177686657422331"/>
    <s v="(21) 98808-88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03:23"/>
    <s v="3003 - FirjanAtivo"/>
    <s v="---"/>
    <n v="157"/>
    <n v="10790942000174"/>
    <n v="157"/>
    <n v="177686660322551"/>
    <s v="(21) 96475-70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03:40"/>
    <s v="3003 - FirjanAtivo"/>
    <s v="---"/>
    <n v="158"/>
    <n v="10888515000123"/>
    <n v="158"/>
    <n v="177686662022591"/>
    <s v="(21) 96496-726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04:09"/>
    <s v="3003 - FirjanAtivo"/>
    <s v="---"/>
    <n v="159"/>
    <n v="10984785000138"/>
    <n v="159"/>
    <n v="177686664922731"/>
    <s v="(21) 98474-319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04:22"/>
    <s v="3003 - FirjanAtivo"/>
    <s v="---"/>
    <n v="160"/>
    <n v="11013156000123"/>
    <n v="160"/>
    <n v="177686666222801"/>
    <s v="(22) 99261-976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04:48"/>
    <s v="3003 - FirjanAtivo"/>
    <s v="---"/>
    <n v="161"/>
    <n v="11117005000115"/>
    <n v="161"/>
    <n v="177686668822821"/>
    <s v="(24) 99303-91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05:06"/>
    <s v="3003 - FirjanAtivo"/>
    <s v="6044-Roseli Honorato Dos Santos"/>
    <n v="162"/>
    <n v="11294825000182"/>
    <n v="162"/>
    <n v="177686670622901"/>
    <s v="(22) 99909-4860"/>
    <n v="3003"/>
    <s v="Discador"/>
    <s v="Atendido"/>
    <s v="Enviar E-mail"/>
    <s v="BPATIVO22042026"/>
    <s v="Cliente"/>
    <n v="16"/>
    <m/>
    <m/>
    <d v="1899-12-30T00:03:09"/>
    <d v="1899-12-30T00:03:04"/>
    <n v="1"/>
    <x v="1"/>
  </r>
  <r>
    <d v="2026-04-22T11:08:22"/>
    <s v="3003 - FirjanAtivo"/>
    <s v="---"/>
    <n v="163"/>
    <n v="11360283000107"/>
    <n v="163"/>
    <n v="177686690223251"/>
    <s v="(21) 96448-2900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1:08:35"/>
    <s v="3003 - FirjanAtivo"/>
    <s v="---"/>
    <n v="164"/>
    <n v="11642542000184"/>
    <n v="164"/>
    <n v="177686691523271"/>
    <s v="(24) 99904-2812"/>
    <n v="3003"/>
    <s v="Discador"/>
    <s v="Atendido"/>
    <s v="Fora de Area / Cx de Mensagens"/>
    <s v="BPATIVO22042026"/>
    <s v="--"/>
    <n v="131"/>
    <m/>
    <m/>
    <d v="1899-12-30T00:00:04"/>
    <s v="---"/>
    <s v=""/>
    <x v="1"/>
  </r>
  <r>
    <d v="2026-04-22T11:08:49"/>
    <s v="3003 - FirjanAtivo"/>
    <s v="---"/>
    <n v="165"/>
    <n v="11649203000120"/>
    <n v="165"/>
    <n v="177686692923291"/>
    <s v="(24) 99825-729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09:01"/>
    <s v="3003 - FirjanAtivo"/>
    <s v="---"/>
    <n v="166"/>
    <n v="11661920000177"/>
    <n v="166"/>
    <n v="177686694123311"/>
    <s v="(24) 99227-17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09:22"/>
    <s v="3003 - FirjanAtivo"/>
    <s v="---"/>
    <n v="167"/>
    <n v="11701732000125"/>
    <n v="167"/>
    <n v="177686696223331"/>
    <s v="(22) 99737-282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10:08"/>
    <s v="3003 - FirjanAtivo"/>
    <s v="6044-Roseli Honorato Dos Santos"/>
    <n v="168"/>
    <n v="11720659000139"/>
    <n v="168"/>
    <n v="177686700823351"/>
    <s v="(24) 98158-8077"/>
    <n v="3003"/>
    <s v="Discador"/>
    <s v="Atendido"/>
    <s v="Cliente Desligou"/>
    <s v="BPATIVO22042026"/>
    <s v="Cliente"/>
    <n v="16"/>
    <m/>
    <m/>
    <d v="1899-12-30T00:00:15"/>
    <d v="1899-12-30T00:00:12"/>
    <s v=""/>
    <x v="1"/>
  </r>
  <r>
    <d v="2026-04-22T11:10:31"/>
    <s v="3003 - FirjanAtivo"/>
    <s v="---"/>
    <n v="169"/>
    <n v="11750615000151"/>
    <n v="169"/>
    <n v="177686703123381"/>
    <s v="(22) 98864-2310"/>
    <n v="3003"/>
    <s v="Discador"/>
    <s v="Atendido"/>
    <s v="Fora de Area / Cx de Mensagens"/>
    <s v="BPATIVO22042026"/>
    <s v="Cliente"/>
    <n v="131"/>
    <m/>
    <m/>
    <d v="1899-12-30T00:00:06"/>
    <s v="---"/>
    <s v=""/>
    <x v="1"/>
  </r>
  <r>
    <d v="2026-04-22T11:10:53"/>
    <s v="3003 - FirjanAtivo"/>
    <s v="---"/>
    <n v="170"/>
    <n v="12022419000123"/>
    <n v="170"/>
    <n v="177686705323421"/>
    <s v="(21) 99623-4556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1:11:37"/>
    <s v="3003 - FirjanAtivo"/>
    <s v="---"/>
    <n v="171"/>
    <n v="12072761000138"/>
    <n v="171"/>
    <n v="177686709723431"/>
    <s v="(24) 97102-4094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1:11:38"/>
    <s v="3003 - FirjanAtivo"/>
    <s v="---"/>
    <n v="172"/>
    <n v="12098243000193"/>
    <n v="172"/>
    <n v="177686709823451"/>
    <s v="(22) 99941-799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12:10"/>
    <s v="3003 - FirjanAtivo"/>
    <s v="---"/>
    <n v="173"/>
    <n v="12266091000190"/>
    <n v="173"/>
    <n v="177686713023461"/>
    <s v="(21) 98782-4932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1:12:40"/>
    <s v="3003 - FirjanAtivo"/>
    <s v="---"/>
    <n v="174"/>
    <n v="12284895000112"/>
    <n v="174"/>
    <n v="177686716023511"/>
    <s v="(21) 99849-4691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1:13:26"/>
    <s v="3003 - FirjanAtivo"/>
    <s v="---"/>
    <n v="175"/>
    <n v="12573708000110"/>
    <n v="175"/>
    <n v="177686720623561"/>
    <s v="(21) 99642-704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15:16"/>
    <s v="3003 - FirjanAtivo"/>
    <s v="---"/>
    <n v="176"/>
    <n v="12584713000129"/>
    <n v="176"/>
    <n v="177686731623791"/>
    <s v="(21) 98168-002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15:47"/>
    <s v="3003 - FirjanAtivo"/>
    <s v="---"/>
    <n v="177"/>
    <n v="12710766000149"/>
    <n v="177"/>
    <n v="177686734723901"/>
    <s v="(22) 99253-850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16:54"/>
    <s v="3003 - FirjanAtivo"/>
    <s v="---"/>
    <n v="178"/>
    <n v="12959066000192"/>
    <n v="178"/>
    <n v="177686741424081"/>
    <s v="(21) 99513-221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1:17:39"/>
    <s v="3003 - FirjanAtivo"/>
    <s v="---"/>
    <n v="179"/>
    <n v="12995318000139"/>
    <n v="179"/>
    <n v="177686745924161"/>
    <s v="(24) 98838-5385"/>
    <s v="Falha"/>
    <s v="Discador"/>
    <s v="Não Atendeu"/>
    <s v="Não Atendeu"/>
    <s v="BPATIVO22042026"/>
    <s v="--"/>
    <n v="21"/>
    <m/>
    <m/>
    <d v="1899-12-30T00:00:00"/>
    <s v="---"/>
    <s v=""/>
    <x v="1"/>
  </r>
  <r>
    <d v="2026-04-22T11:18:12"/>
    <s v="3003 - FirjanAtivo"/>
    <s v="---"/>
    <n v="180"/>
    <n v="13065020000192"/>
    <n v="180"/>
    <n v="177686749224221"/>
    <s v="(24) 99231-6184"/>
    <n v="3003"/>
    <s v="Discador"/>
    <s v="Atendido"/>
    <s v="Fora de Area / Cx de Mensagens"/>
    <s v="BPATIVO22042026"/>
    <s v="Cliente"/>
    <n v="131"/>
    <m/>
    <m/>
    <d v="1899-12-30T00:00:06"/>
    <s v="---"/>
    <s v=""/>
    <x v="1"/>
  </r>
  <r>
    <d v="2026-04-22T11:18:28"/>
    <s v="3003 - FirjanAtivo"/>
    <s v="---"/>
    <n v="181"/>
    <n v="13262186000107"/>
    <n v="181"/>
    <n v="177686750824301"/>
    <s v="(21) 99611-816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1:18:41"/>
    <s v="3003 - FirjanAtivo"/>
    <s v="---"/>
    <n v="182"/>
    <n v="13265421000196"/>
    <n v="182"/>
    <n v="177686752124381"/>
    <s v="(24) 99835-723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18:58"/>
    <s v="3003 - FirjanAtivo"/>
    <s v="---"/>
    <n v="183"/>
    <n v="13385694000174"/>
    <n v="183"/>
    <n v="177686753824411"/>
    <s v="(32) 99940-5619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1:19:41"/>
    <s v="3003 - FirjanAtivo"/>
    <s v="---"/>
    <n v="184"/>
    <n v="13410313000160"/>
    <n v="184"/>
    <n v="177686758124561"/>
    <s v="(21) 99259-5895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1:20:28"/>
    <s v="3003 - FirjanAtivo"/>
    <s v="6044-Roseli Honorato Dos Santos"/>
    <n v="185"/>
    <n v="13445409000163"/>
    <n v="185"/>
    <n v="177686762824641"/>
    <s v="(21) 99210-9372"/>
    <n v="3003"/>
    <s v="Discador"/>
    <s v="Atendido"/>
    <s v="Enviar E-mail"/>
    <s v="BPATIVO22042026"/>
    <s v="Cliente"/>
    <n v="16"/>
    <m/>
    <m/>
    <d v="1899-12-30T00:03:08"/>
    <d v="1899-12-30T00:03:02"/>
    <n v="1"/>
    <x v="1"/>
  </r>
  <r>
    <d v="2026-04-22T11:23:54"/>
    <s v="3003 - FirjanAtivo"/>
    <s v="6052-Marcia Lima Peixoto"/>
    <n v="186"/>
    <n v="13449967000105"/>
    <n v="186"/>
    <n v="177686783425001"/>
    <s v="(21) 98153-2533"/>
    <n v="3003"/>
    <s v="Discador"/>
    <s v="Atendido"/>
    <s v="Não tem interesse"/>
    <s v="BPATIVO22042026"/>
    <s v="Cliente"/>
    <n v="16"/>
    <m/>
    <m/>
    <d v="1899-12-30T00:01:14"/>
    <d v="1899-12-30T00:01:11"/>
    <s v=""/>
    <x v="1"/>
  </r>
  <r>
    <d v="2026-04-22T11:25:19"/>
    <s v="3003 - FirjanAtivo"/>
    <s v="---"/>
    <n v="187"/>
    <n v="13464960000154"/>
    <n v="187"/>
    <n v="177686791925171"/>
    <s v="(21) 98392-848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25:37"/>
    <s v="3003 - FirjanAtivo"/>
    <s v="---"/>
    <n v="188"/>
    <n v="13495794000153"/>
    <n v="188"/>
    <n v="177686793725251"/>
    <s v="(24) 98182-079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1:26:25"/>
    <s v="3003 - FirjanAtivo"/>
    <s v="6044-Roseli Honorato Dos Santos"/>
    <n v="189"/>
    <n v="13721695000142"/>
    <n v="189"/>
    <n v="177686798525341"/>
    <s v="(21) 99243-2774"/>
    <n v="3003"/>
    <s v="Discador"/>
    <s v="Atendido"/>
    <s v="Ligação Muda"/>
    <s v="BPATIVO22042026"/>
    <s v="Cliente"/>
    <n v="16"/>
    <m/>
    <m/>
    <d v="1899-12-30T00:00:04"/>
    <s v="---"/>
    <s v=""/>
    <x v="1"/>
  </r>
  <r>
    <d v="2026-04-22T11:26:50"/>
    <s v="3003 - FirjanAtivo"/>
    <s v="---"/>
    <n v="190"/>
    <n v="13744177000144"/>
    <n v="190"/>
    <n v="177686801025401"/>
    <s v="(24) 98838-129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27:05"/>
    <s v="3003 - FirjanAtivo"/>
    <s v="6052-Marcia Lima Peixoto"/>
    <n v="191"/>
    <n v="14002941000179"/>
    <n v="191"/>
    <n v="177686802525561"/>
    <s v="(24) 99291-9252"/>
    <n v="3003"/>
    <s v="Discador"/>
    <s v="Atendido"/>
    <s v="Enviar E-mail"/>
    <s v="BPATIVO22042026"/>
    <s v="Agente"/>
    <n v="16"/>
    <m/>
    <m/>
    <d v="1899-12-30T00:03:36"/>
    <d v="1899-12-30T00:03:30"/>
    <n v="1"/>
    <x v="1"/>
  </r>
  <r>
    <d v="2026-04-22T11:34:43"/>
    <s v="3003 - FirjanAtivo"/>
    <s v="---"/>
    <n v="192"/>
    <n v="14059527000104"/>
    <n v="192"/>
    <n v="177686848326291"/>
    <s v="(21) 96430-263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35:11"/>
    <s v="3003 - FirjanAtivo"/>
    <s v="---"/>
    <n v="193"/>
    <n v="14370573000111"/>
    <n v="193"/>
    <n v="177686851126321"/>
    <s v="(55) 22998-5655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1:35:12"/>
    <s v="3003 - FirjanAtivo"/>
    <s v="---"/>
    <n v="194"/>
    <n v="14440968000143"/>
    <n v="194"/>
    <n v="177686851226341"/>
    <s v="(22) 99881-291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35:27"/>
    <s v="3003 - FirjanAtivo"/>
    <s v="---"/>
    <n v="195"/>
    <n v="14450781000120"/>
    <n v="195"/>
    <n v="177686852726351"/>
    <s v="(24) 99999-2670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1:36:15"/>
    <s v="3003 - FirjanAtivo"/>
    <s v="---"/>
    <n v="196"/>
    <n v="14565807000186"/>
    <n v="196"/>
    <n v="177686857526441"/>
    <s v="(22) 99999-941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36:24"/>
    <s v="3003 - FirjanAtivo"/>
    <s v="---"/>
    <n v="197"/>
    <n v="14766966000149"/>
    <n v="197"/>
    <n v="177686858426521"/>
    <s v="(24) 99832-65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37:05"/>
    <s v="3003 - FirjanAtivo"/>
    <s v="---"/>
    <n v="198"/>
    <n v="14811950000100"/>
    <n v="198"/>
    <n v="177686862526611"/>
    <s v="(24) 99300-37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37:49"/>
    <s v="3003 - FirjanAtivo"/>
    <s v="---"/>
    <n v="199"/>
    <n v="14965593000135"/>
    <n v="199"/>
    <n v="177686866926731"/>
    <s v="(21) 2782-1128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1:38:02"/>
    <s v="3003 - FirjanAtivo"/>
    <s v="---"/>
    <n v="200"/>
    <n v="15255973000149"/>
    <n v="200"/>
    <n v="177686868226761"/>
    <s v="(21) 98685-281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38:28"/>
    <s v="3003 - FirjanAtivo"/>
    <s v="6044-Roseli Honorato Dos Santos"/>
    <n v="201"/>
    <n v="15782727000145"/>
    <n v="201"/>
    <n v="177686870826841"/>
    <s v="(24) 98821-1173"/>
    <n v="3003"/>
    <s v="Discador"/>
    <s v="Atendido"/>
    <s v="Enviar E-mail"/>
    <s v="BPATIVO22042026"/>
    <s v="Cliente"/>
    <n v="16"/>
    <m/>
    <m/>
    <d v="1899-12-30T00:02:21"/>
    <d v="1899-12-30T00:02:16"/>
    <n v="1"/>
    <x v="1"/>
  </r>
  <r>
    <d v="2026-04-22T11:40:59"/>
    <s v="3003 - FirjanAtivo"/>
    <s v="---"/>
    <n v="202"/>
    <n v="16385008000153"/>
    <n v="202"/>
    <n v="177686885926881"/>
    <s v="(22) 98809-0123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1:41:20"/>
    <s v="3003 - FirjanAtivo"/>
    <s v="---"/>
    <n v="203"/>
    <n v="16720728000128"/>
    <n v="203"/>
    <n v="177686888026901"/>
    <s v="(22) 99836-443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41:57"/>
    <s v="3003 - FirjanAtivo"/>
    <s v="---"/>
    <n v="204"/>
    <n v="16918406000198"/>
    <n v="204"/>
    <n v="177686891726921"/>
    <s v="(21) 98216-56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42:19"/>
    <s v="3003 - FirjanAtivo"/>
    <s v="---"/>
    <n v="205"/>
    <n v="16918406000198"/>
    <n v="205"/>
    <n v="177686893926941"/>
    <s v="(21) 98216-56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42:34"/>
    <s v="3003 - FirjanAtivo"/>
    <s v="---"/>
    <n v="206"/>
    <n v="16927109000109"/>
    <n v="206"/>
    <n v="177686895426961"/>
    <s v="(21) 99756-9477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1:42:56"/>
    <s v="3003 - FirjanAtivo"/>
    <s v="---"/>
    <n v="207"/>
    <n v="16959774000184"/>
    <n v="207"/>
    <n v="177686897626981"/>
    <s v="(24) 97404-247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43:28"/>
    <s v="3003 - FirjanAtivo"/>
    <s v="---"/>
    <n v="208"/>
    <n v="17043182000180"/>
    <n v="208"/>
    <n v="177686899227121"/>
    <s v="(24) 99824-1721"/>
    <n v="3003"/>
    <s v="Discador"/>
    <s v="Atendido"/>
    <s v="Fora de Area / Cx de Mensagens"/>
    <s v="BPATIVO22042026"/>
    <s v="Cliente"/>
    <n v="131"/>
    <m/>
    <m/>
    <d v="1899-12-30T00:00:13"/>
    <s v="---"/>
    <s v=""/>
    <x v="1"/>
  </r>
  <r>
    <d v="2026-04-22T11:43:29"/>
    <s v="3003 - FirjanAtivo"/>
    <s v="---"/>
    <n v="209"/>
    <n v="17230906000103"/>
    <n v="209"/>
    <n v="177686900927161"/>
    <s v="(21) 98085-22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44:13"/>
    <s v="3003 - FirjanAtivo"/>
    <s v="---"/>
    <n v="210"/>
    <n v="17232038000192"/>
    <n v="210"/>
    <n v="177686905327301"/>
    <s v="(22) 99701-659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44:29"/>
    <s v="3003 - FirjanAtivo"/>
    <s v="---"/>
    <n v="211"/>
    <n v="17404008000116"/>
    <n v="211"/>
    <n v="177686906927331"/>
    <s v="(21) 99998-759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44:38"/>
    <s v="3003 - FirjanAtivo"/>
    <s v="---"/>
    <n v="212"/>
    <n v="17446625000184"/>
    <n v="212"/>
    <n v="177686907827401"/>
    <s v="(22) 99841-14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45:04"/>
    <s v="3003 - FirjanAtivo"/>
    <s v="---"/>
    <n v="213"/>
    <n v="17845803000140"/>
    <n v="213"/>
    <n v="177686910427431"/>
    <s v="(24) 97402-305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45:42"/>
    <s v="3003 - FirjanAtivo"/>
    <s v="---"/>
    <n v="214"/>
    <n v="18341732000100"/>
    <n v="214"/>
    <n v="177686914227491"/>
    <s v="(24) 99228-2708"/>
    <n v="3003"/>
    <s v="Discador"/>
    <s v="Atendido"/>
    <s v="Fora de Area / Cx de Mensagens"/>
    <s v="BPATIVO22042026"/>
    <s v="--"/>
    <n v="128"/>
    <m/>
    <m/>
    <d v="1899-12-30T00:00:05"/>
    <s v="---"/>
    <s v=""/>
    <x v="1"/>
  </r>
  <r>
    <d v="2026-04-22T11:45:54"/>
    <s v="3003 - FirjanAtivo"/>
    <s v="---"/>
    <n v="215"/>
    <n v="18414594000142"/>
    <n v="215"/>
    <n v="177686915427511"/>
    <s v="(21) 99856-36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46:09"/>
    <s v="3003 - FirjanAtivo"/>
    <s v="---"/>
    <n v="216"/>
    <n v="18705825000177"/>
    <n v="216"/>
    <n v="177686916927531"/>
    <s v="(21) 99581-3916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1:46:56"/>
    <s v="3003 - FirjanAtivo"/>
    <s v="---"/>
    <n v="217"/>
    <n v="18863657000148"/>
    <n v="217"/>
    <n v="177686921627611"/>
    <s v="(24) 99999-05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47:06"/>
    <s v="3003 - FirjanAtivo"/>
    <s v="---"/>
    <n v="218"/>
    <n v="18889258000156"/>
    <n v="218"/>
    <n v="177686922627631"/>
    <s v="(21) 96711-7352"/>
    <n v="3003"/>
    <s v="Discador"/>
    <s v="Atendido"/>
    <s v="Fora de Area / Cx de Mensagens"/>
    <s v="BPATIVO22042026"/>
    <s v="--"/>
    <n v="131"/>
    <m/>
    <m/>
    <d v="1899-12-30T00:00:00"/>
    <s v="---"/>
    <s v=""/>
    <x v="1"/>
  </r>
  <r>
    <d v="2026-04-22T11:47:16"/>
    <s v="3003 - FirjanAtivo"/>
    <s v="---"/>
    <n v="219"/>
    <n v="18977285000180"/>
    <n v="219"/>
    <n v="177686923627711"/>
    <s v="(21) 98187-062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47:26"/>
    <s v="3003 - FirjanAtivo"/>
    <s v="6052-Marcia Lima Peixoto"/>
    <n v="220"/>
    <n v="19028175000135"/>
    <n v="220"/>
    <n v="177686924627731"/>
    <s v="(22) 99925-4022"/>
    <n v="3003"/>
    <s v="Discador"/>
    <s v="Atendido"/>
    <s v="Cliente Desligou"/>
    <s v="BPATIVO22042026"/>
    <s v="Cliente"/>
    <n v="16"/>
    <m/>
    <m/>
    <d v="1899-12-30T00:00:12"/>
    <d v="1899-12-30T00:00:08"/>
    <s v=""/>
    <x v="1"/>
  </r>
  <r>
    <d v="2026-04-22T11:47:48"/>
    <s v="3003 - FirjanAtivo"/>
    <s v="---"/>
    <n v="221"/>
    <n v="19047535000146"/>
    <n v="221"/>
    <n v="177686926827761"/>
    <s v="(22) 99964-142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1:48:31"/>
    <s v="3003 - FirjanAtivo"/>
    <s v="6044-Roseli Honorato Dos Santos"/>
    <n v="222"/>
    <n v="19290323000195"/>
    <n v="222"/>
    <n v="177686931127981"/>
    <s v="(21) 96459-7496"/>
    <n v="3003"/>
    <s v="Discador"/>
    <s v="Atendido"/>
    <s v="Ligação Muda"/>
    <s v="BPATIVO22042026"/>
    <s v="Cliente"/>
    <n v="16"/>
    <m/>
    <m/>
    <d v="1899-12-30T00:00:16"/>
    <d v="1899-12-30T00:00:13"/>
    <s v=""/>
    <x v="1"/>
  </r>
  <r>
    <d v="2026-04-22T11:48:55"/>
    <s v="3003 - FirjanAtivo"/>
    <s v="---"/>
    <n v="223"/>
    <n v="19410510000165"/>
    <n v="223"/>
    <n v="177686933528121"/>
    <s v="(21) 98848-18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49:05"/>
    <s v="3003 - FirjanAtivo"/>
    <s v="---"/>
    <n v="224"/>
    <n v="19420382000211"/>
    <n v="224"/>
    <n v="177686934528141"/>
    <s v="(24) 99968-302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49:49"/>
    <s v="3003 - FirjanAtivo"/>
    <s v="6052-Marcia Lima Peixoto"/>
    <n v="225"/>
    <n v="19454803000144"/>
    <n v="225"/>
    <n v="177686938928281"/>
    <s v="(21) 99797-6969"/>
    <n v="3003"/>
    <s v="Discador"/>
    <s v="Atendido"/>
    <s v="Engano"/>
    <s v="BPATIVO22042026"/>
    <s v="Agente"/>
    <n v="16"/>
    <m/>
    <m/>
    <d v="1899-12-30T00:00:36"/>
    <d v="1899-12-30T00:00:30"/>
    <s v=""/>
    <x v="1"/>
  </r>
  <r>
    <d v="2026-04-22T11:50:32"/>
    <s v="3003 - FirjanAtivo"/>
    <s v="---"/>
    <n v="226"/>
    <n v="19753199000157"/>
    <n v="226"/>
    <n v="177686943228381"/>
    <s v="(21) 96752-421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50:45"/>
    <s v="3003 - FirjanAtivo"/>
    <s v="6044-Roseli Honorato Dos Santos"/>
    <n v="227"/>
    <n v="19823654000143"/>
    <n v="227"/>
    <n v="177686944528441"/>
    <s v="(21) 99195-9811"/>
    <n v="3003"/>
    <s v="Discador"/>
    <s v="Atendido"/>
    <s v="Retornar"/>
    <s v="BPATIVO22042026"/>
    <s v="Cliente"/>
    <n v="16"/>
    <m/>
    <m/>
    <d v="1899-12-30T00:00:30"/>
    <d v="1899-12-30T00:00:27"/>
    <s v=""/>
    <x v="1"/>
  </r>
  <r>
    <d v="2026-04-22T11:51:28"/>
    <s v="3003 - FirjanAtivo"/>
    <s v="6052-Marcia Lima Peixoto"/>
    <n v="228"/>
    <n v="20025886000135"/>
    <n v="228"/>
    <n v="177686948828701"/>
    <s v="(21) 99307-4494"/>
    <n v="3003"/>
    <s v="Discador"/>
    <s v="Atendido"/>
    <s v="Enviar E-mail"/>
    <s v="BPATIVO22042026"/>
    <s v="Agente"/>
    <n v="16"/>
    <m/>
    <m/>
    <d v="1899-12-30T00:02:44"/>
    <d v="1899-12-30T00:02:39"/>
    <n v="1"/>
    <x v="1"/>
  </r>
  <r>
    <d v="2026-04-22T11:54:21"/>
    <s v="3003 - FirjanAtivo"/>
    <s v="---"/>
    <n v="229"/>
    <n v="20045556000101"/>
    <n v="229"/>
    <n v="177686966129121"/>
    <s v="(22) 99940-411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55:03"/>
    <s v="3003 - FirjanAtivo"/>
    <s v="---"/>
    <n v="230"/>
    <n v="20331303000102"/>
    <n v="230"/>
    <n v="177686970329341"/>
    <s v="(21) 99727-339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55:24"/>
    <s v="3003 - FirjanAtivo"/>
    <s v="---"/>
    <n v="231"/>
    <n v="20415965000152"/>
    <n v="231"/>
    <n v="177686972429401"/>
    <s v="(21) 98565-13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55:36"/>
    <s v="3003 - FirjanAtivo"/>
    <s v="---"/>
    <n v="232"/>
    <n v="20458968000173"/>
    <n v="232"/>
    <n v="177686973629421"/>
    <s v="(22) 99243-73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55:45"/>
    <s v="3003 - FirjanAtivo"/>
    <s v="---"/>
    <n v="233"/>
    <n v="20458968000254"/>
    <n v="233"/>
    <n v="177686974529441"/>
    <s v="(22) 99243-73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55:55"/>
    <s v="3003 - FirjanAtivo"/>
    <s v="---"/>
    <n v="234"/>
    <n v="20813461000190"/>
    <n v="234"/>
    <n v="177686975529501"/>
    <s v="(21) 99143-000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1:56:12"/>
    <s v="3003 - FirjanAtivo"/>
    <s v="---"/>
    <n v="235"/>
    <n v="20816553000124"/>
    <n v="235"/>
    <n v="177686977229521"/>
    <s v="(21) 99684-145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1:56:41"/>
    <s v="3003 - FirjanAtivo"/>
    <s v="---"/>
    <n v="236"/>
    <n v="20843735000194"/>
    <n v="236"/>
    <n v="177686980129601"/>
    <s v="(55) 11973-5599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1:56:41"/>
    <s v="3003 - FirjanAtivo"/>
    <s v="---"/>
    <n v="237"/>
    <n v="20920341000192"/>
    <n v="237"/>
    <n v="177686980129621"/>
    <s v="(22) 99830-28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1:56:55"/>
    <s v="3003 - FirjanAtivo"/>
    <s v="6044-Roseli Honorato Dos Santos"/>
    <n v="238"/>
    <n v="21065802000150"/>
    <n v="238"/>
    <n v="177686981529691"/>
    <s v="(21) 98451-9051"/>
    <n v="3003"/>
    <s v="Discador"/>
    <s v="Atendido"/>
    <s v="Enviar E-mail"/>
    <s v="BPATIVO22042026"/>
    <s v="Cliente"/>
    <n v="16"/>
    <m/>
    <m/>
    <d v="1899-12-30T00:03:42"/>
    <d v="1899-12-30T00:03:39"/>
    <n v="1"/>
    <x v="1"/>
  </r>
  <r>
    <d v="2026-04-22T12:00:58"/>
    <s v="3003 - FirjanAtivo"/>
    <s v="---"/>
    <n v="240"/>
    <n v="21108715000132"/>
    <n v="240"/>
    <n v="177687005830381"/>
    <s v="(22) 99214-5801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2:00:58"/>
    <s v="3003 - FirjanAtivo"/>
    <s v="---"/>
    <n v="241"/>
    <n v="21147409000105"/>
    <n v="241"/>
    <n v="177687005830391"/>
    <s v="(21) 98047-668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0:58"/>
    <s v="3003 - FirjanAtivo"/>
    <s v="---"/>
    <n v="242"/>
    <n v="21466995000150"/>
    <n v="242"/>
    <n v="177687005830401"/>
    <s v="(24) 99961-312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2:00:58"/>
    <s v="3003 - FirjanAtivo"/>
    <s v="---"/>
    <n v="243"/>
    <n v="21511926000111"/>
    <n v="243"/>
    <n v="177687005830411"/>
    <s v="(21) 98790-3656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2:00:58"/>
    <s v="3003 - FirjanAtivo"/>
    <s v="---"/>
    <n v="244"/>
    <n v="21536041000177"/>
    <n v="244"/>
    <n v="177687005830421"/>
    <s v="(21) 2660-5797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2:01:53"/>
    <s v="3003 - FirjanAtivo"/>
    <s v="---"/>
    <n v="246"/>
    <n v="21918143000157"/>
    <n v="246"/>
    <n v="177687011330611"/>
    <s v="(21) 97672-690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1:53"/>
    <s v="3003 - FirjanAtivo"/>
    <s v="---"/>
    <n v="247"/>
    <n v="21934634000191"/>
    <n v="247"/>
    <n v="177687011330621"/>
    <s v="(21) 99585-836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1:53"/>
    <s v="3003 - FirjanAtivo"/>
    <s v="---"/>
    <n v="248"/>
    <n v="22122960000167"/>
    <n v="248"/>
    <n v="177687011330631"/>
    <s v="(21) 97428-36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1:53"/>
    <s v="3003 - FirjanAtivo"/>
    <s v="---"/>
    <n v="249"/>
    <n v="22213087000118"/>
    <n v="249"/>
    <n v="177687011330641"/>
    <s v="(21) 96466-098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1:53"/>
    <s v="3003 - FirjanAtivo"/>
    <s v="6052-Marcia Lima Peixoto"/>
    <n v="250"/>
    <n v="22506417000163"/>
    <n v="250"/>
    <n v="177687011330651"/>
    <s v="(21) 97601-6865"/>
    <n v="3003"/>
    <s v="Discador"/>
    <s v="Atendido"/>
    <s v="Ligação Muda"/>
    <s v="BPATIVO22042026"/>
    <s v="Cliente"/>
    <n v="16"/>
    <m/>
    <m/>
    <d v="1899-12-30T00:00:06"/>
    <d v="1899-12-30T00:00:02"/>
    <s v=""/>
    <x v="1"/>
  </r>
  <r>
    <d v="2026-04-22T12:02:39"/>
    <s v="3003 - FirjanAtivo"/>
    <s v="---"/>
    <n v="252"/>
    <n v="22843195000174"/>
    <n v="252"/>
    <n v="177687015930751"/>
    <s v="(21) 99830-030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2:39"/>
    <s v="3003 - FirjanAtivo"/>
    <s v="6044-Roseli Honorato Dos Santos"/>
    <n v="253"/>
    <n v="22964768000118"/>
    <n v="253"/>
    <n v="177687015930761"/>
    <s v="(21) 96409-3114"/>
    <n v="3003"/>
    <s v="Discador"/>
    <s v="Atendido"/>
    <s v="Cliente Desligou"/>
    <s v="BPATIVO22042026"/>
    <s v="Cliente"/>
    <n v="16"/>
    <m/>
    <m/>
    <d v="1899-12-30T00:00:27"/>
    <d v="1899-12-30T00:00:22"/>
    <s v=""/>
    <x v="1"/>
  </r>
  <r>
    <d v="2026-04-22T12:02:39"/>
    <s v="3003 - FirjanAtivo"/>
    <s v="---"/>
    <n v="254"/>
    <n v="23054134000190"/>
    <n v="254"/>
    <n v="177687015930771"/>
    <s v="(22) 99857-442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2:39"/>
    <s v="3003 - FirjanAtivo"/>
    <s v="---"/>
    <n v="255"/>
    <n v="23108884000106"/>
    <n v="255"/>
    <n v="177687015930781"/>
    <s v="(21) 99967-786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2:39"/>
    <s v="3003 - FirjanAtivo"/>
    <s v="---"/>
    <n v="256"/>
    <n v="23277156000110"/>
    <n v="256"/>
    <n v="177687015930791"/>
    <s v="(24) 98831-833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3:25"/>
    <s v="3003 - FirjanAtivo"/>
    <s v="---"/>
    <n v="258"/>
    <n v="23391798000145"/>
    <n v="258"/>
    <n v="177687020530931"/>
    <s v="(24) 99241-463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3:25"/>
    <s v="3003 - FirjanAtivo"/>
    <s v="---"/>
    <n v="259"/>
    <n v="23628802000146"/>
    <n v="259"/>
    <n v="177687020530941"/>
    <s v="(21) 98048-109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2:03:25"/>
    <s v="3003 - FirjanAtivo"/>
    <s v="---"/>
    <n v="260"/>
    <n v="23836838000115"/>
    <n v="260"/>
    <n v="177687020530951"/>
    <s v="(24) 99909-70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3:25"/>
    <s v="3003 - FirjanAtivo"/>
    <s v="---"/>
    <n v="261"/>
    <n v="23884500000139"/>
    <n v="261"/>
    <n v="177687020530961"/>
    <s v="(24) 98824-151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3:26"/>
    <s v="3003 - FirjanAtivo"/>
    <s v="---"/>
    <n v="262"/>
    <n v="24021427000134"/>
    <n v="262"/>
    <n v="177687020630971"/>
    <s v="(21) 97272-875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4:14"/>
    <s v="3003 - FirjanAtivo"/>
    <s v="---"/>
    <n v="263"/>
    <n v="24265410000122"/>
    <n v="263"/>
    <n v="177687025431151"/>
    <s v="(21) 99860-23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4:29"/>
    <s v="3003 - FirjanAtivo"/>
    <s v="---"/>
    <n v="264"/>
    <n v="24323383000105"/>
    <n v="264"/>
    <n v="177687026931171"/>
    <s v="(24) 99996-001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4:49"/>
    <s v="3003 - FirjanAtivo"/>
    <s v="---"/>
    <n v="265"/>
    <n v="24373917000108"/>
    <n v="265"/>
    <n v="177687028931191"/>
    <s v="(24) 98152-001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5:35"/>
    <s v="3003 - FirjanAtivo"/>
    <s v="---"/>
    <n v="266"/>
    <n v="24415773000105"/>
    <n v="266"/>
    <n v="177687033531211"/>
    <s v="(24) 99940-069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6:05"/>
    <s v="3003 - FirjanAtivo"/>
    <s v="---"/>
    <n v="267"/>
    <n v="24569455000190"/>
    <n v="267"/>
    <n v="177687036531271"/>
    <s v="(21) 98627-356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6:37"/>
    <s v="3003 - FirjanAtivo"/>
    <s v="---"/>
    <n v="268"/>
    <n v="24583913000146"/>
    <n v="268"/>
    <n v="177687039731291"/>
    <s v="(21) 96461-8814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2:06:40"/>
    <s v="3003 - FirjanAtivo"/>
    <s v="---"/>
    <n v="269"/>
    <n v="25344452000111"/>
    <n v="269"/>
    <n v="177687040031321"/>
    <s v="(21) 97996-93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6:50"/>
    <s v="3003 - FirjanAtivo"/>
    <s v="---"/>
    <n v="270"/>
    <n v="25404835000138"/>
    <n v="270"/>
    <n v="177687041031381"/>
    <s v="(22) 99821-945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7:34"/>
    <s v="3003 - FirjanAtivo"/>
    <s v="---"/>
    <n v="271"/>
    <n v="25405605000193"/>
    <n v="271"/>
    <n v="177687045431471"/>
    <s v="(22) 99848-231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8:18"/>
    <s v="3003 - FirjanAtivo"/>
    <s v="---"/>
    <n v="272"/>
    <n v="26054449000126"/>
    <n v="272"/>
    <n v="177687049831591"/>
    <s v="(24) 98831-686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8:33"/>
    <s v="3003 - FirjanAtivo"/>
    <s v="---"/>
    <n v="273"/>
    <n v="26181076000154"/>
    <n v="273"/>
    <n v="177687051331731"/>
    <s v="(24) 98105-15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8:46"/>
    <s v="3003 - FirjanAtivo"/>
    <s v="---"/>
    <n v="274"/>
    <n v="26185307000106"/>
    <n v="274"/>
    <n v="177687052631751"/>
    <s v="(24) 99217-773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2:09:07"/>
    <s v="3003 - FirjanAtivo"/>
    <s v="---"/>
    <n v="275"/>
    <n v="26252435000117"/>
    <n v="275"/>
    <n v="177687054731841"/>
    <s v="(22) 98181-76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09:19"/>
    <s v="3003 - FirjanAtivo"/>
    <s v="---"/>
    <n v="276"/>
    <n v="26295622000188"/>
    <n v="276"/>
    <n v="177687055931861"/>
    <s v="(22) 99773-7282"/>
    <n v="3003"/>
    <s v="Discador"/>
    <s v="Atendido"/>
    <s v="Fora de Area / Cx de Mensagens"/>
    <s v="BPATIVO22042026"/>
    <s v="--"/>
    <n v="128"/>
    <m/>
    <m/>
    <d v="1899-12-30T00:00:04"/>
    <s v="---"/>
    <s v=""/>
    <x v="1"/>
  </r>
  <r>
    <d v="2026-04-22T12:09:27"/>
    <s v="3003 - FirjanAtivo"/>
    <s v="---"/>
    <n v="277"/>
    <n v="26344541000120"/>
    <n v="277"/>
    <n v="177687056731881"/>
    <s v="(21) 99523-106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2:10:17"/>
    <s v="3003 - FirjanAtivo"/>
    <s v="---"/>
    <n v="278"/>
    <n v="26350061000172"/>
    <n v="278"/>
    <n v="177687061731971"/>
    <s v="(22) 99720-7021"/>
    <n v="3003"/>
    <s v="Discador"/>
    <s v="Atendido"/>
    <s v="Fora de Area / Cx de Mensagens"/>
    <s v="BPATIVO22042026"/>
    <s v="--"/>
    <n v="128"/>
    <m/>
    <m/>
    <d v="1899-12-30T00:00:05"/>
    <s v="---"/>
    <s v=""/>
    <x v="1"/>
  </r>
  <r>
    <d v="2026-04-22T12:10:35"/>
    <s v="3003 - FirjanAtivo"/>
    <s v="---"/>
    <n v="279"/>
    <n v="26401298000135"/>
    <n v="279"/>
    <n v="177687063532021"/>
    <s v="(21) 99649-785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11:18"/>
    <s v="3003 - FirjanAtivo"/>
    <s v="---"/>
    <n v="280"/>
    <n v="26419801000180"/>
    <n v="280"/>
    <n v="177687067832231"/>
    <s v="(24) 99832-65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12:01"/>
    <s v="3003 - FirjanAtivo"/>
    <s v="---"/>
    <n v="281"/>
    <n v="26596537000150"/>
    <n v="281"/>
    <n v="177687072132261"/>
    <s v="(22) 99727-64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12:18"/>
    <s v="3003 - FirjanAtivo"/>
    <s v="---"/>
    <n v="282"/>
    <n v="26753972000140"/>
    <n v="282"/>
    <n v="177687073832341"/>
    <s v="(21) 19829-6975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2:12:19"/>
    <s v="3003 - FirjanAtivo"/>
    <s v="---"/>
    <n v="283"/>
    <n v="26789035000145"/>
    <n v="283"/>
    <n v="177687073932361"/>
    <s v="(21) 99726-298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12:56"/>
    <s v="3003 - FirjanAtivo"/>
    <s v="---"/>
    <n v="284"/>
    <n v="26871189000181"/>
    <n v="284"/>
    <n v="177687077632481"/>
    <s v="(24) 99305-256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13:17"/>
    <s v="3003 - FirjanAtivo"/>
    <s v="---"/>
    <n v="285"/>
    <n v="26960926000112"/>
    <n v="285"/>
    <n v="177687079732581"/>
    <s v="(24) 99965-739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14:00"/>
    <s v="3003 - FirjanAtivo"/>
    <s v="---"/>
    <n v="286"/>
    <n v="26990729000146"/>
    <n v="286"/>
    <n v="177687084032731"/>
    <s v="(22) 99905-432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14:24"/>
    <s v="3003 - FirjanAtivo"/>
    <s v="---"/>
    <n v="287"/>
    <n v="27015155000158"/>
    <n v="287"/>
    <n v="177687086432751"/>
    <s v="(21) 99222-40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15:04"/>
    <s v="3003 - FirjanAtivo"/>
    <s v="---"/>
    <n v="288"/>
    <n v="27037167000183"/>
    <n v="288"/>
    <n v="177687090432811"/>
    <s v="(21) 96416-6361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2:15:22"/>
    <s v="3003 - FirjanAtivo"/>
    <s v="---"/>
    <n v="289"/>
    <n v="27179316000149"/>
    <n v="289"/>
    <n v="177687092232831"/>
    <s v="(24) 97402-581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15:47"/>
    <s v="3003 - FirjanAtivo"/>
    <s v="---"/>
    <n v="290"/>
    <n v="27316226000152"/>
    <n v="290"/>
    <n v="177687094732851"/>
    <s v="(21) 99297-218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16:12"/>
    <s v="3003 - FirjanAtivo"/>
    <s v="---"/>
    <n v="291"/>
    <n v="27379033000140"/>
    <n v="291"/>
    <n v="177687097232871"/>
    <s v="(21) 98241-6981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2:16:54"/>
    <s v="3003 - FirjanAtivo"/>
    <s v="---"/>
    <n v="292"/>
    <n v="27439229000183"/>
    <n v="292"/>
    <n v="177687101432951"/>
    <s v="(21) 97428-3682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2:17:38"/>
    <s v="3003 - FirjanAtivo"/>
    <s v="---"/>
    <n v="293"/>
    <n v="27559945000102"/>
    <n v="293"/>
    <n v="177687105833021"/>
    <s v="(22) 99265-340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18:01"/>
    <s v="3003 - FirjanAtivo"/>
    <s v="---"/>
    <n v="294"/>
    <n v="27813377000116"/>
    <n v="294"/>
    <n v="177687108133041"/>
    <s v="(21) 96468-135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18:45"/>
    <s v="3003 - FirjanAtivo"/>
    <s v="---"/>
    <n v="295"/>
    <n v="27931047000125"/>
    <n v="295"/>
    <n v="177687112533101"/>
    <s v="(22) 99744-0953"/>
    <n v="3003"/>
    <s v="Discador"/>
    <s v="Atendido"/>
    <s v="Fora de Area / Cx de Mensagens"/>
    <s v="BPATIVO22042026"/>
    <s v="--"/>
    <n v="128"/>
    <m/>
    <m/>
    <d v="1899-12-30T00:00:04"/>
    <s v="---"/>
    <s v=""/>
    <x v="1"/>
  </r>
  <r>
    <d v="2026-04-22T12:18:52"/>
    <s v="3003 - FirjanAtivo"/>
    <s v="6052-Marcia Lima Peixoto"/>
    <n v="296"/>
    <n v="28031856000143"/>
    <n v="296"/>
    <n v="177687113233181"/>
    <s v="(21) 98131-3334"/>
    <n v="3003"/>
    <s v="Discador"/>
    <s v="Atendido"/>
    <s v="Enviar E-mail"/>
    <s v="BPATIVO22042026"/>
    <s v="Cliente"/>
    <n v="16"/>
    <m/>
    <m/>
    <d v="1899-12-30T00:03:31"/>
    <d v="1899-12-30T00:03:27"/>
    <n v="1"/>
    <x v="1"/>
  </r>
  <r>
    <d v="2026-04-22T12:22:44"/>
    <s v="3003 - FirjanAtivo"/>
    <s v="---"/>
    <n v="298"/>
    <n v="28093477000188"/>
    <n v="298"/>
    <n v="177687136433921"/>
    <s v="(24) 99219-255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22:44"/>
    <s v="3003 - FirjanAtivo"/>
    <s v="---"/>
    <n v="299"/>
    <n v="28113645000150"/>
    <n v="299"/>
    <n v="177687136433931"/>
    <s v="(21) 99649-2814"/>
    <n v="3003"/>
    <s v="Discador"/>
    <s v="Atendido"/>
    <s v="Fora de Area / Cx de Mensagens"/>
    <s v="BPATIVO22042026"/>
    <s v="--"/>
    <n v="147"/>
    <m/>
    <m/>
    <d v="1899-12-30T00:00:05"/>
    <s v="---"/>
    <s v=""/>
    <x v="1"/>
  </r>
  <r>
    <d v="2026-04-22T12:22:44"/>
    <s v="3003 - FirjanAtivo"/>
    <s v="---"/>
    <n v="300"/>
    <n v="28483585000167"/>
    <n v="300"/>
    <n v="177687136433941"/>
    <s v="(21) 97021-2590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2:22:44"/>
    <s v="3003 - FirjanAtivo"/>
    <s v="---"/>
    <n v="301"/>
    <n v="28566081000100"/>
    <n v="301"/>
    <n v="177687136433951"/>
    <s v="(24) 98818-043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22:44"/>
    <s v="3003 - FirjanAtivo"/>
    <s v="---"/>
    <n v="302"/>
    <n v="28584852000192"/>
    <n v="302"/>
    <n v="177687136433961"/>
    <s v="(21) 96467-655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23:31"/>
    <s v="3003 - FirjanAtivo"/>
    <s v="---"/>
    <n v="304"/>
    <n v="28673609000140"/>
    <n v="304"/>
    <n v="177687141134071"/>
    <s v="(21) 98273-948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23:31"/>
    <s v="3003 - FirjanAtivo"/>
    <s v="---"/>
    <n v="305"/>
    <n v="28679579000180"/>
    <n v="305"/>
    <n v="177687141134081"/>
    <s v="(24) 99856-672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23:56"/>
    <s v="3003 - FirjanAtivo"/>
    <s v="---"/>
    <n v="306"/>
    <n v="28757458000109"/>
    <n v="306"/>
    <n v="177687143634161"/>
    <s v="(21) 99755-464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24:15"/>
    <s v="3003 - FirjanAtivo"/>
    <s v="---"/>
    <n v="307"/>
    <n v="28774621000141"/>
    <n v="307"/>
    <n v="177687145534301"/>
    <s v="(21) 98857-3664"/>
    <n v="3003"/>
    <s v="Discador"/>
    <s v="Atendido"/>
    <s v="Fora de Area / Cx de Mensagens"/>
    <s v="BPATIVO22042026"/>
    <s v="Cliente"/>
    <n v="131"/>
    <m/>
    <m/>
    <d v="1899-12-30T00:00:09"/>
    <s v="---"/>
    <s v=""/>
    <x v="1"/>
  </r>
  <r>
    <d v="2026-04-22T12:24:47"/>
    <s v="3003 - FirjanAtivo"/>
    <s v="---"/>
    <n v="308"/>
    <n v="28801829000102"/>
    <n v="308"/>
    <n v="177687148734421"/>
    <s v="(22) 99820-773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24:57"/>
    <s v="3003 - FirjanAtivo"/>
    <s v="---"/>
    <n v="309"/>
    <n v="28804490000106"/>
    <n v="309"/>
    <n v="177687149734471"/>
    <s v="(24) 99257-759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25:44"/>
    <s v="3003 - FirjanAtivo"/>
    <s v="---"/>
    <n v="310"/>
    <n v="28818441000114"/>
    <n v="310"/>
    <n v="177687154434581"/>
    <s v="(21) 98151-192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26:01"/>
    <s v="3003 - FirjanAtivo"/>
    <s v="---"/>
    <n v="311"/>
    <n v="28839589000135"/>
    <n v="311"/>
    <n v="177687156134601"/>
    <s v="(21) 98152-377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26:14"/>
    <s v="3003 - FirjanAtivo"/>
    <s v="---"/>
    <n v="312"/>
    <n v="28886281000140"/>
    <n v="312"/>
    <n v="177687157434621"/>
    <s v="(22) 99953-802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26:42"/>
    <s v="3003 - FirjanAtivo"/>
    <s v="---"/>
    <n v="313"/>
    <n v="28889028000140"/>
    <n v="313"/>
    <n v="177687160234681"/>
    <s v="(21) 98157-428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27:27"/>
    <s v="3003 - FirjanAtivo"/>
    <s v="---"/>
    <n v="314"/>
    <n v="29203700000165"/>
    <n v="314"/>
    <n v="177687164734831"/>
    <s v="(21) 99808-47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27:43"/>
    <s v="3003 - FirjanAtivo"/>
    <s v="---"/>
    <n v="315"/>
    <n v="29230335000188"/>
    <n v="315"/>
    <n v="177687166334861"/>
    <s v="(21) 97123-214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28:10"/>
    <s v="3003 - FirjanAtivo"/>
    <s v="6044-Roseli Honorato Dos Santos"/>
    <n v="316"/>
    <n v="29265311000164"/>
    <n v="316"/>
    <n v="177687169034941"/>
    <s v="(24) 99994-2313"/>
    <n v="3003"/>
    <s v="Discador"/>
    <s v="Atendido"/>
    <s v="Enviar E-mail"/>
    <s v="BPATIVO22042026"/>
    <s v="Cliente"/>
    <n v="16"/>
    <m/>
    <m/>
    <d v="1899-12-30T00:02:56"/>
    <d v="1899-12-30T00:02:51"/>
    <n v="1"/>
    <x v="1"/>
  </r>
  <r>
    <d v="2026-04-22T12:32:13"/>
    <s v="3003 - FirjanAtivo"/>
    <s v="---"/>
    <n v="318"/>
    <n v="29313890000173"/>
    <n v="318"/>
    <n v="177687193335681"/>
    <s v="(55) 21989-9831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2:32:13"/>
    <s v="3003 - FirjanAtivo"/>
    <s v="6052-Marcia Lima Peixoto"/>
    <n v="319"/>
    <n v="29347851000197"/>
    <n v="319"/>
    <n v="177687193335691"/>
    <s v="(22) 99287-8450"/>
    <n v="3003"/>
    <s v="Discador"/>
    <s v="Atendido"/>
    <s v="Enviar E-mail"/>
    <s v="BPATIVO22042026"/>
    <s v="Agente"/>
    <n v="16"/>
    <m/>
    <m/>
    <d v="1899-12-30T00:03:07"/>
    <d v="1899-12-30T00:03:02"/>
    <n v="1"/>
    <x v="1"/>
  </r>
  <r>
    <d v="2026-04-22T12:32:13"/>
    <s v="3003 - FirjanAtivo"/>
    <s v="---"/>
    <n v="320"/>
    <n v="29348695000189"/>
    <n v="320"/>
    <n v="177687193335701"/>
    <s v="(21) 99986-93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32:13"/>
    <s v="3003 - FirjanAtivo"/>
    <s v="6044-Roseli Honorato Dos Santos"/>
    <n v="321"/>
    <n v="29546140000141"/>
    <n v="321"/>
    <n v="177687193335711"/>
    <s v="(21) 99954-9956"/>
    <n v="3003"/>
    <s v="Discador"/>
    <s v="Atendido"/>
    <s v="Enviar E-mail"/>
    <s v="BPATIVO22042026"/>
    <s v="Cliente"/>
    <n v="16"/>
    <m/>
    <m/>
    <d v="1899-12-30T00:02:42"/>
    <d v="1899-12-30T00:02:36"/>
    <n v="1"/>
    <x v="1"/>
  </r>
  <r>
    <d v="2026-04-22T12:32:13"/>
    <s v="3003 - FirjanAtivo"/>
    <s v="---"/>
    <n v="322"/>
    <n v="29549276000105"/>
    <n v="322"/>
    <n v="177687193335721"/>
    <s v="(21) 99800-936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35:30"/>
    <s v="3003 - FirjanAtivo"/>
    <s v="---"/>
    <n v="323"/>
    <n v="29627007000110"/>
    <n v="323"/>
    <n v="177687213036021"/>
    <s v="(22) 99924-213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36:22"/>
    <s v="3003 - FirjanAtivo"/>
    <s v="6052-Marcia Lima Peixoto"/>
    <n v="324"/>
    <n v="29638942000181"/>
    <n v="324"/>
    <n v="177687218236041"/>
    <s v="(27) 99512-7119"/>
    <n v="3003"/>
    <s v="Discador"/>
    <s v="Atendido"/>
    <s v="Enviar E-mail"/>
    <s v="BPATIVO22042026"/>
    <s v="Agente"/>
    <n v="16"/>
    <m/>
    <m/>
    <d v="1899-12-30T00:03:54"/>
    <d v="1899-12-30T00:03:50"/>
    <n v="1"/>
    <x v="1"/>
  </r>
  <r>
    <d v="2026-04-22T12:40:29"/>
    <s v="3003 - FirjanAtivo"/>
    <s v="---"/>
    <n v="325"/>
    <n v="29654365000111"/>
    <n v="325"/>
    <n v="177687242936381"/>
    <s v="(21) 96411-300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40:44"/>
    <s v="3003 - FirjanAtivo"/>
    <s v="---"/>
    <n v="326"/>
    <n v="29688710000138"/>
    <n v="326"/>
    <n v="177687244436401"/>
    <s v="(22) 99844-3236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2:40:56"/>
    <s v="3003 - FirjanAtivo"/>
    <s v="---"/>
    <n v="327"/>
    <n v="29732268000108"/>
    <n v="327"/>
    <n v="177687245636421"/>
    <s v="(22) 98141-8451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2:41:44"/>
    <s v="3003 - FirjanAtivo"/>
    <s v="---"/>
    <n v="328"/>
    <n v="29762098000104"/>
    <n v="328"/>
    <n v="177687250436531"/>
    <s v="(24) 99284-4720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2:42:31"/>
    <s v="3003 - FirjanAtivo"/>
    <s v="---"/>
    <n v="329"/>
    <n v="29763215000146"/>
    <n v="329"/>
    <n v="177687255136541"/>
    <s v="(21) 97956-0542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2:43:16"/>
    <s v="3003 - FirjanAtivo"/>
    <s v="---"/>
    <n v="330"/>
    <n v="29804549000110"/>
    <n v="330"/>
    <n v="177687259636551"/>
    <s v="(24) 99263-77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43:36"/>
    <s v="3003 - FirjanAtivo"/>
    <s v="---"/>
    <n v="331"/>
    <n v="29971512000187"/>
    <n v="331"/>
    <n v="177687261636571"/>
    <s v="(21) 98400-5977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2:44:19"/>
    <s v="3003 - FirjanAtivo"/>
    <s v="---"/>
    <n v="332"/>
    <n v="29976990000180"/>
    <n v="332"/>
    <n v="177687265936591"/>
    <s v="(21) 99211-268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44:35"/>
    <s v="3003 - FirjanAtivo"/>
    <s v="---"/>
    <n v="333"/>
    <n v="30116263000121"/>
    <n v="333"/>
    <n v="177687267536611"/>
    <s v="(21) 99191-084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2:45:30"/>
    <s v="3003 - FirjanAtivo"/>
    <s v="---"/>
    <n v="334"/>
    <n v="30162531000141"/>
    <n v="334"/>
    <n v="177687273036631"/>
    <s v="(21) 99362-968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45:41"/>
    <s v="3003 - FirjanAtivo"/>
    <s v="---"/>
    <n v="335"/>
    <n v="30165203000107"/>
    <n v="335"/>
    <n v="177687274136641"/>
    <s v="(24) 98802-434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46:27"/>
    <s v="3003 - FirjanAtivo"/>
    <s v="---"/>
    <n v="336"/>
    <n v="30168759000149"/>
    <n v="336"/>
    <n v="177687278736721"/>
    <s v="(24) 99713-0782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2:46:27"/>
    <s v="3003 - FirjanAtivo"/>
    <s v="---"/>
    <n v="337"/>
    <n v="30182814000155"/>
    <n v="337"/>
    <n v="177687278736741"/>
    <s v="(21) 97256-670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46:51"/>
    <s v="3003 - FirjanAtivo"/>
    <s v="---"/>
    <n v="338"/>
    <n v="30220686000197"/>
    <n v="338"/>
    <n v="177687281136751"/>
    <s v="(22) 98831-34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47:37"/>
    <s v="3003 - FirjanAtivo"/>
    <s v="---"/>
    <n v="339"/>
    <n v="30287967000167"/>
    <n v="339"/>
    <n v="177687285736961"/>
    <s v="(21) 99888-388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47:56"/>
    <s v="3003 - FirjanAtivo"/>
    <s v="---"/>
    <n v="340"/>
    <n v="30301105000141"/>
    <n v="340"/>
    <n v="177687287637061"/>
    <s v="(21) 96805-465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2:48:11"/>
    <s v="3003 - FirjanAtivo"/>
    <s v="---"/>
    <n v="341"/>
    <n v="30410728000152"/>
    <n v="341"/>
    <n v="177687289137121"/>
    <s v="(22) 99833-4300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2:48:54"/>
    <s v="3003 - FirjanAtivo"/>
    <s v="---"/>
    <n v="342"/>
    <n v="30540991000166"/>
    <n v="342"/>
    <n v="177687293437261"/>
    <s v="(22) 99277-290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49:03"/>
    <s v="3003 - FirjanAtivo"/>
    <s v="---"/>
    <n v="343"/>
    <n v="30546429000140"/>
    <n v="343"/>
    <n v="177687294337311"/>
    <s v="(21) 98109-83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49:15"/>
    <s v="3003 - FirjanAtivo"/>
    <s v="---"/>
    <n v="344"/>
    <n v="30548467000131"/>
    <n v="344"/>
    <n v="177687295537371"/>
    <s v="(55) 21982-826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2:49:46"/>
    <s v="3003 - FirjanAtivo"/>
    <s v="---"/>
    <n v="345"/>
    <n v="30603615000173"/>
    <n v="345"/>
    <n v="177687298637431"/>
    <s v="(21) 96635-623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50:01"/>
    <s v="3003 - FirjanAtivo"/>
    <s v="---"/>
    <n v="346"/>
    <n v="30704910000116"/>
    <n v="346"/>
    <n v="177687300137441"/>
    <s v="(21) 98331-7903"/>
    <n v="3003"/>
    <s v="Discador"/>
    <s v="Atendido"/>
    <s v="Fora de Area / Cx de Mensagens"/>
    <s v="BPATIVO22042026"/>
    <s v="Cliente"/>
    <n v="131"/>
    <m/>
    <m/>
    <d v="1899-12-30T00:00:07"/>
    <s v="---"/>
    <s v=""/>
    <x v="1"/>
  </r>
  <r>
    <d v="2026-04-22T12:50:22"/>
    <s v="3003 - FirjanAtivo"/>
    <s v="---"/>
    <n v="347"/>
    <n v="30780625000184"/>
    <n v="347"/>
    <n v="177687302237531"/>
    <s v="(21) 99245-6513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2:50:35"/>
    <s v="3003 - FirjanAtivo"/>
    <s v="---"/>
    <n v="348"/>
    <n v="30828743000115"/>
    <n v="348"/>
    <n v="177687303537551"/>
    <s v="(21) 99880-5967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2:51:19"/>
    <s v="3003 - FirjanAtivo"/>
    <s v="---"/>
    <n v="349"/>
    <n v="30905379000140"/>
    <n v="349"/>
    <n v="177687307937621"/>
    <s v="(24) 98881-171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2:51:31"/>
    <s v="3003 - FirjanAtivo"/>
    <s v="---"/>
    <n v="350"/>
    <n v="31084270000151"/>
    <n v="350"/>
    <n v="177687309137631"/>
    <s v="(21) 97046-396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51:46"/>
    <s v="3003 - FirjanAtivo"/>
    <s v="---"/>
    <n v="351"/>
    <n v="31086168000195"/>
    <n v="351"/>
    <n v="177687310637651"/>
    <s v="(22) 99493-516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2:51:48"/>
    <s v="3003 - FirjanAtivo"/>
    <s v="---"/>
    <n v="352"/>
    <n v="31131246000126"/>
    <n v="352"/>
    <n v="177687310837671"/>
    <s v="(24) 98846-451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52:31"/>
    <s v="3003 - FirjanAtivo"/>
    <s v="---"/>
    <n v="353"/>
    <n v="31131998000197"/>
    <n v="353"/>
    <n v="177687315137801"/>
    <s v="(21) 99911-891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52:42"/>
    <s v="3003 - FirjanAtivo"/>
    <s v="---"/>
    <n v="354"/>
    <n v="31142292000120"/>
    <n v="354"/>
    <n v="177687316237871"/>
    <s v="(21) 99678-28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53:02"/>
    <s v="3003 - FirjanAtivo"/>
    <s v="---"/>
    <n v="355"/>
    <n v="31142572000139"/>
    <n v="355"/>
    <n v="177687318237941"/>
    <s v="(21) 99851-082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53:46"/>
    <s v="3003 - FirjanAtivo"/>
    <s v="---"/>
    <n v="356"/>
    <n v="31301737000178"/>
    <n v="356"/>
    <n v="177687322638171"/>
    <s v="(21) 98133-4719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2:54:01"/>
    <s v="3003 - FirjanAtivo"/>
    <s v="---"/>
    <n v="357"/>
    <n v="31307787000162"/>
    <n v="357"/>
    <n v="177687324138241"/>
    <s v="(22) 99981-3134"/>
    <n v="3003"/>
    <s v="Discador"/>
    <s v="Atendido"/>
    <s v="Fora de Area / Cx de Mensagens"/>
    <s v="BPATIVO22042026"/>
    <s v="Cliente"/>
    <n v="131"/>
    <m/>
    <m/>
    <d v="1899-12-30T00:00:11"/>
    <s v="---"/>
    <s v=""/>
    <x v="1"/>
  </r>
  <r>
    <d v="2026-04-22T12:54:19"/>
    <s v="3003 - FirjanAtivo"/>
    <s v="---"/>
    <n v="358"/>
    <n v="31396511000106"/>
    <n v="358"/>
    <n v="177687325938361"/>
    <s v="(21) 98149-983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2:54:36"/>
    <s v="3003 - FirjanAtivo"/>
    <s v="---"/>
    <n v="359"/>
    <n v="31441165000122"/>
    <n v="359"/>
    <n v="177687327638381"/>
    <s v="(22) 99231-8360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2:54:50"/>
    <s v="3003 - FirjanAtivo"/>
    <s v="6044-Roseli Honorato Dos Santos"/>
    <n v="360"/>
    <n v="31446867000107"/>
    <n v="360"/>
    <n v="177687329038401"/>
    <s v="(22) 99287-8450"/>
    <n v="3003"/>
    <s v="Discador"/>
    <s v="Atendido"/>
    <s v="Enviar E-mail"/>
    <s v="BPATIVO22042026"/>
    <s v="Cliente"/>
    <n v="16"/>
    <m/>
    <m/>
    <d v="1899-12-30T00:00:44"/>
    <d v="1899-12-30T00:00:40"/>
    <n v="1"/>
    <x v="1"/>
  </r>
  <r>
    <d v="2026-04-22T12:55:42"/>
    <s v="3003 - FirjanAtivo"/>
    <s v="---"/>
    <n v="361"/>
    <n v="31591969000108"/>
    <n v="361"/>
    <n v="177687334238471"/>
    <s v="(21) 97597-816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56:10"/>
    <s v="3003 - FirjanAtivo"/>
    <s v="---"/>
    <n v="362"/>
    <n v="31627306000104"/>
    <n v="362"/>
    <n v="177687337038491"/>
    <s v="(22) 99758-9897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2:56:21"/>
    <s v="3003 - FirjanAtivo"/>
    <s v="---"/>
    <n v="363"/>
    <n v="31650389000144"/>
    <n v="363"/>
    <n v="177687338138571"/>
    <s v="(21) 96786-0282"/>
    <n v="3003"/>
    <s v="Discador"/>
    <s v="Atendido"/>
    <s v="Fora de Area / Cx de Mensagens"/>
    <s v="BPATIVO22042026"/>
    <s v="Cliente"/>
    <n v="131"/>
    <m/>
    <m/>
    <d v="1899-12-30T00:00:04"/>
    <s v="---"/>
    <s v=""/>
    <x v="1"/>
  </r>
  <r>
    <d v="2026-04-22T12:56:42"/>
    <s v="3003 - FirjanAtivo"/>
    <s v="---"/>
    <n v="364"/>
    <n v="31669377000161"/>
    <n v="364"/>
    <n v="177687340238661"/>
    <s v="(55) 21268-769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2:56:43"/>
    <s v="3003 - FirjanAtivo"/>
    <s v="---"/>
    <n v="365"/>
    <n v="31865488000143"/>
    <n v="365"/>
    <n v="177687340338681"/>
    <s v="(21) 99959-656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57:02"/>
    <s v="3003 - FirjanAtivo"/>
    <s v="---"/>
    <n v="366"/>
    <n v="31967201000196"/>
    <n v="366"/>
    <n v="177687342238691"/>
    <s v="(24) 98142-53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57:23"/>
    <s v="3003 - FirjanAtivo"/>
    <s v="---"/>
    <n v="367"/>
    <n v="31969017000185"/>
    <n v="367"/>
    <n v="177687344338711"/>
    <s v="(24) 99983-297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57:32"/>
    <s v="3003 - FirjanAtivo"/>
    <s v="6044-Roseli Honorato Dos Santos"/>
    <n v="368"/>
    <n v="32020943000172"/>
    <n v="368"/>
    <n v="177687345238731"/>
    <s v="(21) 97172-5441"/>
    <n v="3003"/>
    <s v="Discador"/>
    <s v="Atendido"/>
    <s v="Ligação Muda"/>
    <s v="BPATIVO22042026"/>
    <s v="Cliente"/>
    <n v="16"/>
    <m/>
    <m/>
    <d v="1899-12-30T00:00:09"/>
    <d v="1899-12-30T00:00:04"/>
    <s v=""/>
    <x v="1"/>
  </r>
  <r>
    <d v="2026-04-22T12:57:49"/>
    <s v="3003 - FirjanAtivo"/>
    <s v="---"/>
    <n v="369"/>
    <n v="32121837000185"/>
    <n v="369"/>
    <n v="177687346938761"/>
    <s v="(21) 97972-1348"/>
    <n v="3003"/>
    <s v="Discador"/>
    <s v="Atendido"/>
    <s v="Fora de Area / Cx de Mensagens"/>
    <s v="BPATIVO22042026"/>
    <s v="Cliente"/>
    <n v="131"/>
    <m/>
    <m/>
    <d v="1899-12-30T00:00:10"/>
    <s v="---"/>
    <s v=""/>
    <x v="1"/>
  </r>
  <r>
    <d v="2026-04-22T12:58:08"/>
    <s v="3003 - FirjanAtivo"/>
    <s v="---"/>
    <n v="370"/>
    <n v="32256448000167"/>
    <n v="370"/>
    <n v="177687348838831"/>
    <s v="(21) 96756-026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58:18"/>
    <s v="3003 - FirjanAtivo"/>
    <s v="---"/>
    <n v="371"/>
    <n v="32258196000105"/>
    <n v="371"/>
    <n v="177687349838891"/>
    <s v="(21) 99443-717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59:08"/>
    <s v="3003 - FirjanAtivo"/>
    <s v="---"/>
    <n v="372"/>
    <n v="32303404000140"/>
    <n v="372"/>
    <n v="177687354839051"/>
    <s v="(21) 99685-444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59:08"/>
    <s v="3003 - FirjanAtivo"/>
    <s v="---"/>
    <n v="373"/>
    <n v="32333337000107"/>
    <n v="373"/>
    <n v="177687354839061"/>
    <s v="(22) 99983-140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59:08"/>
    <s v="3003 - FirjanAtivo"/>
    <s v="---"/>
    <n v="374"/>
    <n v="32514234000143"/>
    <n v="374"/>
    <n v="177687354839071"/>
    <s v="(24) 98806-600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2:59:51"/>
    <s v="3003 - FirjanAtivo"/>
    <s v="---"/>
    <n v="375"/>
    <n v="32579807000117"/>
    <n v="375"/>
    <n v="177687359139161"/>
    <s v="(22) 99978-138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00:05"/>
    <s v="3003 - FirjanAtivo"/>
    <s v="---"/>
    <n v="376"/>
    <n v="32599342000166"/>
    <n v="376"/>
    <n v="177687720544181"/>
    <s v="(22) 99989-25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00:05"/>
    <s v="3003 - FirjanAtivo"/>
    <s v="---"/>
    <n v="377"/>
    <n v="32956821000192"/>
    <n v="377"/>
    <n v="177687720544191"/>
    <s v="(24) 99216-7770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00:05"/>
    <s v="3003 - FirjanAtivo"/>
    <s v="---"/>
    <n v="378"/>
    <n v="32968396000151"/>
    <n v="378"/>
    <n v="177687720544201"/>
    <s v="(21) 98323-903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00:36"/>
    <s v="3003 - FirjanAtivo"/>
    <s v="---"/>
    <n v="379"/>
    <n v="33045782000134"/>
    <n v="379"/>
    <n v="177687723644341"/>
    <s v="(21) 98864-2505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01:36"/>
    <s v="3003 - FirjanAtivo"/>
    <s v="---"/>
    <n v="380"/>
    <n v="33117243000163"/>
    <n v="380"/>
    <n v="177687729644571"/>
    <s v="(21) 99220-828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02:20"/>
    <s v="3003 - FirjanAtivo"/>
    <s v="---"/>
    <n v="381"/>
    <n v="33208034000125"/>
    <n v="381"/>
    <n v="177687734044671"/>
    <s v="(21) 98834-2617"/>
    <n v="3003"/>
    <s v="Discador"/>
    <s v="Atendido"/>
    <s v="Fora de Area / Cx de Mensagens"/>
    <s v="BPATIVO22042026"/>
    <s v="Cliente"/>
    <n v="131"/>
    <m/>
    <m/>
    <d v="1899-12-30T00:00:07"/>
    <s v="---"/>
    <s v=""/>
    <x v="1"/>
  </r>
  <r>
    <d v="2026-04-22T14:02:43"/>
    <s v="3003 - FirjanAtivo"/>
    <s v="---"/>
    <n v="382"/>
    <n v="33208174000101"/>
    <n v="382"/>
    <n v="177687736344771"/>
    <s v="(21) 98584-82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03:16"/>
    <s v="3003 - FirjanAtivo"/>
    <s v="---"/>
    <n v="383"/>
    <n v="33242199000113"/>
    <n v="383"/>
    <n v="177687739644901"/>
    <s v="(21) 98757-201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03:36"/>
    <s v="3003 - FirjanAtivo"/>
    <s v="---"/>
    <n v="384"/>
    <n v="33262916000179"/>
    <n v="384"/>
    <n v="177687741644981"/>
    <s v="(21) 96477-27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04:08"/>
    <s v="3003 - FirjanAtivo"/>
    <s v="---"/>
    <n v="385"/>
    <n v="33472846000183"/>
    <n v="385"/>
    <n v="177687744845171"/>
    <s v="(21) 96547-3391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04:56"/>
    <s v="3003 - FirjanAtivo"/>
    <s v="---"/>
    <n v="386"/>
    <n v="33524117000123"/>
    <n v="386"/>
    <n v="177687749645331"/>
    <s v="(21) 99769-962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05:39"/>
    <s v="3003 - FirjanAtivo"/>
    <s v="---"/>
    <n v="387"/>
    <n v="33524950000174"/>
    <n v="387"/>
    <n v="177687753945351"/>
    <s v="(21) 99311-420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05:53"/>
    <s v="3003 - FirjanAtivo"/>
    <s v="---"/>
    <n v="388"/>
    <n v="33833660000102"/>
    <n v="388"/>
    <n v="177687755345371"/>
    <s v="(22) 99760-7085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06:04"/>
    <s v="3003 - FirjanAtivo"/>
    <s v="---"/>
    <n v="389"/>
    <n v="33863778000183"/>
    <n v="389"/>
    <n v="177687756445391"/>
    <s v="(21) 99182-492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06:53"/>
    <s v="3003 - FirjanAtivo"/>
    <s v="---"/>
    <n v="390"/>
    <n v="33880863000150"/>
    <n v="390"/>
    <n v="177687761345451"/>
    <s v="(21) 99540-371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07:17"/>
    <s v="3003 - FirjanAtivo"/>
    <s v="---"/>
    <n v="391"/>
    <n v="33889341000119"/>
    <n v="391"/>
    <n v="177687763745461"/>
    <s v="(21) 99493-843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07:57"/>
    <s v="3003 - FirjanAtivo"/>
    <s v="---"/>
    <n v="392"/>
    <n v="33979964000182"/>
    <n v="392"/>
    <n v="177687767745541"/>
    <s v="(21) 99944-830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08:11"/>
    <s v="3003 - FirjanAtivo"/>
    <s v="---"/>
    <n v="393"/>
    <n v="34005108000199"/>
    <n v="393"/>
    <n v="177687769145561"/>
    <s v="(21) 99948-26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08:24"/>
    <s v="3003 - FirjanAtivo"/>
    <s v="---"/>
    <n v="394"/>
    <n v="34050567000194"/>
    <n v="394"/>
    <n v="177687770445681"/>
    <s v="(21) 99977-18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08:34"/>
    <s v="3003 - FirjanAtivo"/>
    <s v="---"/>
    <n v="395"/>
    <n v="34058701000101"/>
    <n v="395"/>
    <n v="177687771445701"/>
    <s v="(21) 99338-911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08:50"/>
    <s v="3003 - FirjanAtivo"/>
    <s v="---"/>
    <n v="396"/>
    <n v="34413663000150"/>
    <n v="396"/>
    <n v="177687773045841"/>
    <s v="(22) 99741-120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09:17"/>
    <s v="3003 - FirjanAtivo"/>
    <s v="---"/>
    <n v="397"/>
    <n v="34484975000154"/>
    <n v="397"/>
    <n v="177687775745911"/>
    <s v="(21) 99816-040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09:28"/>
    <s v="3003 - FirjanAtivo"/>
    <s v="---"/>
    <n v="398"/>
    <n v="34851161000100"/>
    <n v="398"/>
    <n v="177687776845941"/>
    <s v="(24) 99997-504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09:49"/>
    <s v="3003 - FirjanAtivo"/>
    <s v="---"/>
    <n v="399"/>
    <n v="34978275000116"/>
    <n v="399"/>
    <n v="177687778945971"/>
    <s v="(21) 99557-621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10:15"/>
    <s v="3003 - FirjanAtivo"/>
    <s v="---"/>
    <n v="400"/>
    <n v="35055430000195"/>
    <n v="400"/>
    <n v="177687781546051"/>
    <s v="(24) 99833-182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11:01"/>
    <s v="3003 - FirjanAtivo"/>
    <s v="6052-Marcia Lima Peixoto"/>
    <n v="401"/>
    <n v="35152881000140"/>
    <n v="401"/>
    <n v="177687786146321"/>
    <s v="(24) 99992-8114"/>
    <n v="3003"/>
    <s v="Discador"/>
    <s v="Atendido"/>
    <s v="Retornar"/>
    <s v="BPATIVO22042026"/>
    <s v="Cliente"/>
    <n v="16"/>
    <m/>
    <m/>
    <d v="1899-12-30T00:00:34"/>
    <d v="1899-12-30T00:00:30"/>
    <s v=""/>
    <x v="1"/>
  </r>
  <r>
    <d v="2026-04-22T14:11:40"/>
    <s v="3003 - FirjanAtivo"/>
    <s v="---"/>
    <n v="402"/>
    <n v="35700816000102"/>
    <n v="402"/>
    <n v="177687790046551"/>
    <s v="(22) 99257-0909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12:29"/>
    <s v="3003 - FirjanAtivo"/>
    <s v="---"/>
    <n v="403"/>
    <n v="35765734000146"/>
    <n v="403"/>
    <n v="177687794946731"/>
    <s v="(21) 98897-01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12:38"/>
    <s v="3003 - FirjanAtivo"/>
    <s v="---"/>
    <n v="404"/>
    <n v="35872118000194"/>
    <n v="404"/>
    <n v="177687795846811"/>
    <s v="(24) 97404-145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12:49"/>
    <s v="3003 - FirjanAtivo"/>
    <s v="---"/>
    <n v="405"/>
    <n v="35981385000108"/>
    <n v="405"/>
    <n v="177687796946901"/>
    <s v="(22) 99946-826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13:18"/>
    <s v="3003 - FirjanAtivo"/>
    <s v="---"/>
    <n v="406"/>
    <n v="35982209000182"/>
    <n v="406"/>
    <n v="177687799846951"/>
    <s v="(21) 97014-642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13:32"/>
    <s v="3003 - FirjanAtivo"/>
    <s v="6044-Roseli Honorato Dos Santos"/>
    <n v="407"/>
    <n v="36073112000110"/>
    <n v="407"/>
    <n v="177687801247011"/>
    <s v="(21) 98803-2696"/>
    <n v="3003"/>
    <s v="Discador"/>
    <s v="Atendido"/>
    <s v="Cliente Desligou"/>
    <s v="BPATIVO22042026"/>
    <s v="Cliente"/>
    <n v="16"/>
    <m/>
    <m/>
    <d v="1899-12-30T00:00:15"/>
    <d v="1899-12-30T00:00:10"/>
    <s v=""/>
    <x v="1"/>
  </r>
  <r>
    <d v="2026-04-22T14:13:54"/>
    <s v="3003 - FirjanAtivo"/>
    <s v="---"/>
    <n v="408"/>
    <n v="36085439000101"/>
    <n v="408"/>
    <n v="177687803447041"/>
    <s v="(21) 96900-7409"/>
    <n v="3003"/>
    <s v="Discador"/>
    <s v="Atendido"/>
    <s v="Fora de Area / Cx de Mensagens"/>
    <s v="BPATIVO22042026"/>
    <s v="--"/>
    <n v="128"/>
    <m/>
    <m/>
    <d v="1899-12-30T00:00:03"/>
    <s v="---"/>
    <s v=""/>
    <x v="1"/>
  </r>
  <r>
    <d v="2026-04-22T14:14:08"/>
    <s v="3003 - FirjanAtivo"/>
    <s v="---"/>
    <n v="409"/>
    <n v="36158632000125"/>
    <n v="409"/>
    <n v="177687804847061"/>
    <s v="(21) 99461-811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14:23"/>
    <s v="3003 - FirjanAtivo"/>
    <s v="---"/>
    <n v="410"/>
    <n v="36204923000102"/>
    <n v="410"/>
    <n v="177687806347081"/>
    <s v="(22) 99833-32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15:07"/>
    <s v="3003 - FirjanAtivo"/>
    <s v="---"/>
    <n v="411"/>
    <n v="36264719000187"/>
    <n v="411"/>
    <n v="177687810747131"/>
    <s v="(24) 98103-475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15:51"/>
    <s v="3003 - FirjanAtivo"/>
    <s v="6052-Marcia Lima Peixoto"/>
    <n v="412"/>
    <n v="36287621000145"/>
    <n v="412"/>
    <n v="177687815147411"/>
    <s v="(22) 99961-7113"/>
    <n v="3003"/>
    <s v="Discador"/>
    <s v="Atendido"/>
    <s v="Enviar E-mail"/>
    <s v="BPATIVO22042026"/>
    <s v="Agente"/>
    <n v="16"/>
    <m/>
    <m/>
    <d v="1899-12-30T00:03:42"/>
    <d v="1899-12-30T00:03:37"/>
    <n v="1"/>
    <x v="1"/>
  </r>
  <r>
    <d v="2026-04-22T14:19:44"/>
    <s v="3003 - FirjanAtivo"/>
    <s v="---"/>
    <n v="414"/>
    <n v="36481984000117"/>
    <n v="414"/>
    <n v="177687838447911"/>
    <s v="(22) 98120-2194"/>
    <n v="3003"/>
    <s v="Discador"/>
    <s v="Atendido"/>
    <s v="Fora de Area / Cx de Mensagens"/>
    <s v="BPATIVO22042026"/>
    <s v="--"/>
    <n v="128"/>
    <m/>
    <m/>
    <d v="1899-12-30T00:00:05"/>
    <s v="---"/>
    <s v=""/>
    <x v="1"/>
  </r>
  <r>
    <d v="2026-04-22T14:19:44"/>
    <s v="3003 - FirjanAtivo"/>
    <s v="---"/>
    <n v="415"/>
    <n v="36509446000193"/>
    <n v="415"/>
    <n v="177687838447921"/>
    <s v="(24) 99239-599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19:44"/>
    <s v="3003 - FirjanAtivo"/>
    <s v="---"/>
    <n v="416"/>
    <n v="36541506000155"/>
    <n v="416"/>
    <n v="177687838447931"/>
    <s v="(67) 09157-8769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4:19:44"/>
    <s v="3003 - FirjanAtivo"/>
    <s v="---"/>
    <n v="417"/>
    <n v="36565794000188"/>
    <n v="417"/>
    <n v="177687838447941"/>
    <s v="(22) 99955-773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19:44"/>
    <s v="3003 - FirjanAtivo"/>
    <s v="---"/>
    <n v="418"/>
    <n v="36567717000167"/>
    <n v="418"/>
    <n v="177687838447951"/>
    <s v="(22) 98132-465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19:45"/>
    <s v="3003 - FirjanAtivo"/>
    <s v="---"/>
    <n v="419"/>
    <n v="36572501000190"/>
    <n v="419"/>
    <n v="177687838547961"/>
    <s v="(22) 99982-7753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20:29"/>
    <s v="3003 - FirjanAtivo"/>
    <s v="---"/>
    <n v="420"/>
    <n v="36936004000123"/>
    <n v="420"/>
    <n v="177687842948191"/>
    <s v="(21) 96409-893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20:56"/>
    <s v="3003 - FirjanAtivo"/>
    <s v="---"/>
    <n v="421"/>
    <n v="37285492000119"/>
    <n v="421"/>
    <n v="177687845648211"/>
    <s v="(24) 98114-157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21:22"/>
    <s v="3003 - FirjanAtivo"/>
    <s v="---"/>
    <n v="422"/>
    <n v="37407191000110"/>
    <n v="422"/>
    <n v="177687848248231"/>
    <s v="(24) 98126-2199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22:11"/>
    <s v="3003 - FirjanAtivo"/>
    <s v="6044-Roseli Honorato Dos Santos"/>
    <n v="423"/>
    <n v="37540163000177"/>
    <n v="423"/>
    <n v="177687853148371"/>
    <s v="(21) 97038-7237"/>
    <n v="3003"/>
    <s v="Discador"/>
    <s v="Atendido"/>
    <s v="Ligação Muda"/>
    <s v="BPATIVO22042026"/>
    <s v="Cliente"/>
    <n v="16"/>
    <m/>
    <m/>
    <d v="1899-12-30T00:00:08"/>
    <d v="1899-12-30T00:00:02"/>
    <s v=""/>
    <x v="1"/>
  </r>
  <r>
    <d v="2026-04-22T14:22:31"/>
    <s v="3003 - FirjanAtivo"/>
    <s v="---"/>
    <n v="424"/>
    <n v="37676685000109"/>
    <n v="424"/>
    <n v="177687855148491"/>
    <s v="(21) 96433-646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22:50"/>
    <s v="3003 - FirjanAtivo"/>
    <s v="---"/>
    <n v="425"/>
    <n v="37785014000178"/>
    <n v="425"/>
    <n v="177687857048511"/>
    <s v="(21) 96945-2479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23:10"/>
    <s v="3003 - FirjanAtivo"/>
    <s v="---"/>
    <n v="426"/>
    <n v="37961934000108"/>
    <n v="426"/>
    <n v="177687859048531"/>
    <s v="(21) 99985-210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23:34"/>
    <s v="3003 - FirjanAtivo"/>
    <s v="---"/>
    <n v="427"/>
    <n v="38253250000106"/>
    <n v="427"/>
    <n v="177687861448611"/>
    <s v="(21) 96433-0092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23:48"/>
    <s v="3003 - FirjanAtivo"/>
    <s v="---"/>
    <n v="428"/>
    <n v="38327906000198"/>
    <n v="428"/>
    <n v="177687862848681"/>
    <s v="(22) 99999-703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24:31"/>
    <s v="3003 - FirjanAtivo"/>
    <s v="---"/>
    <n v="429"/>
    <n v="38456890000113"/>
    <n v="429"/>
    <n v="177687867148761"/>
    <s v="(21) 97013-1165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24:47"/>
    <s v="3003 - FirjanAtivo"/>
    <s v="---"/>
    <n v="430"/>
    <n v="39210513000162"/>
    <n v="430"/>
    <n v="177687868748791"/>
    <s v="(24) 99309-794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25:02"/>
    <s v="3003 - FirjanAtivo"/>
    <s v="---"/>
    <n v="431"/>
    <n v="39214150000133"/>
    <n v="431"/>
    <n v="177687870248871"/>
    <s v="(22) 99930-756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25:19"/>
    <s v="3003 - FirjanAtivo"/>
    <s v="---"/>
    <n v="432"/>
    <n v="39216809000190"/>
    <n v="432"/>
    <n v="177687871948891"/>
    <s v="(21) 97730-266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25:36"/>
    <s v="3003 - FirjanAtivo"/>
    <s v="---"/>
    <n v="7"/>
    <n v="451332000192"/>
    <n v="7"/>
    <n v="177687873648921"/>
    <s v="(24) 98818-18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25:57"/>
    <s v="3003 - FirjanAtivo"/>
    <s v="---"/>
    <n v="13"/>
    <n v="1056628000171"/>
    <n v="13"/>
    <n v="177687875748941"/>
    <s v="(21) 96458-57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26:33"/>
    <s v="3003 - FirjanAtivo"/>
    <s v="---"/>
    <n v="17"/>
    <n v="1340549000198"/>
    <n v="17"/>
    <n v="177687879349021"/>
    <s v="(22) 99944-4350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27:21"/>
    <s v="3003 - FirjanAtivo"/>
    <s v="---"/>
    <n v="18"/>
    <n v="1387961000163"/>
    <n v="18"/>
    <n v="177687884149101"/>
    <s v="(21) 97033-906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27:58"/>
    <s v="3003 - FirjanAtivo"/>
    <s v="---"/>
    <n v="19"/>
    <n v="1399122000165"/>
    <n v="19"/>
    <n v="177687887849191"/>
    <s v="(22) 99941-8171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4:28:02"/>
    <s v="3003 - FirjanAtivo"/>
    <s v="---"/>
    <n v="22"/>
    <n v="1632895000140"/>
    <n v="22"/>
    <n v="177687888249211"/>
    <s v="(21) 99983-218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28:24"/>
    <s v="3003 - FirjanAtivo"/>
    <s v="---"/>
    <n v="23"/>
    <n v="1721269000120"/>
    <n v="23"/>
    <n v="177687890449221"/>
    <s v="(21) 99890-8170"/>
    <n v="3003"/>
    <s v="Discador"/>
    <s v="Atendido"/>
    <s v="Fora de Area / Cx de Mensagens"/>
    <s v="BPATIVO22042026"/>
    <s v="Cliente"/>
    <n v="131"/>
    <m/>
    <m/>
    <d v="1899-12-30T00:00:08"/>
    <s v="---"/>
    <s v=""/>
    <x v="1"/>
  </r>
  <r>
    <d v="2026-04-22T14:28:38"/>
    <s v="3003 - FirjanAtivo"/>
    <s v="---"/>
    <n v="28"/>
    <n v="1978794000125"/>
    <n v="28"/>
    <n v="177687891849311"/>
    <s v="(21) 97998-599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29:21"/>
    <s v="3003 - FirjanAtivo"/>
    <s v="---"/>
    <n v="32"/>
    <n v="2113776000143"/>
    <n v="32"/>
    <n v="177687896149521"/>
    <s v="(21) 97033-430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29:44"/>
    <s v="3003 - FirjanAtivo"/>
    <s v="---"/>
    <n v="33"/>
    <n v="2148473000166"/>
    <n v="33"/>
    <n v="177687898449581"/>
    <s v="(21) 98461-848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0:17"/>
    <s v="3003 - FirjanAtivo"/>
    <s v="---"/>
    <n v="35"/>
    <n v="2326459000105"/>
    <n v="35"/>
    <n v="177687901749731"/>
    <s v="(21) 98741-11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0:51"/>
    <s v="3003 - FirjanAtivo"/>
    <s v="---"/>
    <n v="39"/>
    <n v="2510074000101"/>
    <n v="39"/>
    <n v="177687905149881"/>
    <s v="(22) 97401-1109"/>
    <n v="3003"/>
    <s v="Discador"/>
    <s v="Atendido"/>
    <s v="Fora de Area / Cx de Mensagens"/>
    <s v="BPATIVO22042026"/>
    <s v="--"/>
    <n v="131"/>
    <m/>
    <m/>
    <d v="1899-12-30T00:00:04"/>
    <s v="---"/>
    <s v=""/>
    <x v="1"/>
  </r>
  <r>
    <d v="2026-04-22T14:31:25"/>
    <s v="3003 - FirjanAtivo"/>
    <s v="---"/>
    <n v="40"/>
    <n v="2604580000151"/>
    <n v="40"/>
    <n v="177687908549981"/>
    <s v="(24) 99913-406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32:15"/>
    <s v="3003 - FirjanAtivo"/>
    <s v="---"/>
    <n v="41"/>
    <n v="2605792000153"/>
    <n v="41"/>
    <n v="177687913550101"/>
    <s v="(22) 99278-813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2:39"/>
    <s v="3003 - FirjanAtivo"/>
    <s v="---"/>
    <n v="44"/>
    <n v="2823246000199"/>
    <n v="44"/>
    <n v="177687915950151"/>
    <s v="(21) 98142-554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2:58"/>
    <s v="3003 - FirjanAtivo"/>
    <s v="---"/>
    <n v="46"/>
    <n v="2961614000165"/>
    <n v="46"/>
    <n v="177687917850171"/>
    <s v="(22) 99861-2688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33:38"/>
    <s v="3003 - FirjanAtivo"/>
    <s v="---"/>
    <n v="47"/>
    <n v="3063053000140"/>
    <n v="47"/>
    <n v="177687921850191"/>
    <s v="(22) 99969-6384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33:58"/>
    <s v="3003 - FirjanAtivo"/>
    <s v="---"/>
    <n v="49"/>
    <n v="3130917000107"/>
    <n v="49"/>
    <n v="177687923850301"/>
    <s v="(24) 98131-68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4:41"/>
    <s v="3003 - FirjanAtivo"/>
    <s v="---"/>
    <n v="50"/>
    <n v="3135802000105"/>
    <n v="50"/>
    <n v="177687928150391"/>
    <s v="(22) 98177-7615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35:12"/>
    <s v="3003 - FirjanAtivo"/>
    <s v="---"/>
    <n v="51"/>
    <n v="3276131000194"/>
    <n v="51"/>
    <n v="177687931250411"/>
    <s v="(21) 96484-9137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35:25"/>
    <s v="3003 - FirjanAtivo"/>
    <s v="---"/>
    <n v="52"/>
    <n v="3311811000100"/>
    <n v="52"/>
    <n v="177687932550471"/>
    <s v="(22) 99954-8034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35:55"/>
    <s v="3003 - FirjanAtivo"/>
    <s v="---"/>
    <n v="53"/>
    <n v="3463826000185"/>
    <n v="53"/>
    <n v="177687935550611"/>
    <s v="(21) 96526-233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6:06"/>
    <s v="3003 - FirjanAtivo"/>
    <s v="6044-Roseli Honorato Dos Santos"/>
    <n v="54"/>
    <n v="3478949000190"/>
    <n v="54"/>
    <n v="177687936650631"/>
    <s v="(22) 99899-1590"/>
    <n v="3003"/>
    <s v="Discador"/>
    <s v="Atendido"/>
    <s v="Engano"/>
    <s v="BPATIVO22042026"/>
    <s v="Cliente"/>
    <n v="16"/>
    <m/>
    <m/>
    <d v="1899-12-30T00:00:47"/>
    <d v="1899-12-30T00:00:42"/>
    <s v=""/>
    <x v="1"/>
  </r>
  <r>
    <d v="2026-04-22T14:36:06"/>
    <s v="3003 - FirjanAtivo"/>
    <s v="---"/>
    <n v="55"/>
    <n v="3488597000153"/>
    <n v="55"/>
    <n v="177687936650641"/>
    <s v="(21) 98187-738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6:06"/>
    <s v="3003 - FirjanAtivo"/>
    <s v="---"/>
    <n v="56"/>
    <n v="3569821000131"/>
    <n v="56"/>
    <n v="177687936650651"/>
    <s v="(22) 99799-009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6:06"/>
    <s v="3003 - FirjanAtivo"/>
    <s v="---"/>
    <n v="57"/>
    <n v="3651229000184"/>
    <n v="57"/>
    <n v="177687936650661"/>
    <s v="(21) 98739-281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6:06"/>
    <s v="3003 - FirjanAtivo"/>
    <s v="---"/>
    <n v="59"/>
    <n v="3904574000182"/>
    <n v="59"/>
    <n v="177687936650671"/>
    <s v="(22) 99708-9429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36:06"/>
    <s v="3003 - FirjanAtivo"/>
    <s v="---"/>
    <n v="60"/>
    <n v="3954733000153"/>
    <n v="60"/>
    <n v="177687936650681"/>
    <s v="(21) 96857-917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6:06"/>
    <s v="3003 - FirjanAtivo"/>
    <s v="---"/>
    <n v="61"/>
    <n v="3995747000115"/>
    <n v="61"/>
    <n v="177687936650691"/>
    <s v="(21) 98835-020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6:06"/>
    <s v="3003 - FirjanAtivo"/>
    <s v="---"/>
    <n v="62"/>
    <n v="4028062000162"/>
    <n v="62"/>
    <n v="177687936650701"/>
    <s v="(22) 98819-8325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36:06"/>
    <s v="3003 - FirjanAtivo"/>
    <s v="---"/>
    <n v="63"/>
    <n v="4044746000158"/>
    <n v="63"/>
    <n v="177687936650711"/>
    <s v="(22) 98802-7200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36:06"/>
    <s v="3003 - FirjanAtivo"/>
    <s v="---"/>
    <n v="64"/>
    <n v="4048649000133"/>
    <n v="64"/>
    <n v="177687936650721"/>
    <s v="(21) 99805-2224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36:06"/>
    <s v="3003 - FirjanAtivo"/>
    <s v="---"/>
    <n v="65"/>
    <n v="4063828000140"/>
    <n v="65"/>
    <n v="177687936650731"/>
    <s v="(22) 99936-5457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36:06"/>
    <s v="3003 - FirjanAtivo"/>
    <s v="---"/>
    <n v="66"/>
    <n v="4137354000133"/>
    <n v="66"/>
    <n v="177687936650741"/>
    <s v="(21) 99422-6728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36:06"/>
    <s v="3003 - FirjanAtivo"/>
    <s v="---"/>
    <n v="67"/>
    <n v="4160599000181"/>
    <n v="67"/>
    <n v="177687936650751"/>
    <s v="(24) 98107-8254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36:06"/>
    <s v="3003 - FirjanAtivo"/>
    <s v="---"/>
    <n v="68"/>
    <n v="4356149000169"/>
    <n v="68"/>
    <n v="177687936650771"/>
    <s v="(21) 97123-0789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36:06"/>
    <s v="3003 - FirjanAtivo"/>
    <s v="---"/>
    <n v="69"/>
    <n v="4371864000170"/>
    <n v="69"/>
    <n v="177687936650781"/>
    <s v="(22) 99965-1018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36:07"/>
    <s v="3003 - FirjanAtivo"/>
    <s v="---"/>
    <n v="70"/>
    <n v="4373195000176"/>
    <n v="70"/>
    <n v="177687936750791"/>
    <s v="(21) 99371-916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6:10"/>
    <s v="3003 - FirjanAtivo"/>
    <s v="---"/>
    <n v="71"/>
    <n v="4433625000106"/>
    <n v="71"/>
    <n v="177687937050811"/>
    <s v="(21) 98225-792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6:18"/>
    <s v="3003 - FirjanAtivo"/>
    <s v="---"/>
    <n v="72"/>
    <n v="4652839000165"/>
    <n v="72"/>
    <n v="177687937850891"/>
    <s v="(21) 99953-15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6:23"/>
    <s v="3003 - FirjanAtivo"/>
    <s v="---"/>
    <n v="73"/>
    <n v="4728735000197"/>
    <n v="73"/>
    <n v="177687938350921"/>
    <s v="(22) 99835-027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6:24"/>
    <s v="3003 - FirjanAtivo"/>
    <s v="---"/>
    <n v="74"/>
    <n v="4900076000124"/>
    <n v="74"/>
    <n v="177687938450941"/>
    <s v="(21) 98882-567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6:26"/>
    <s v="3003 - FirjanAtivo"/>
    <s v="---"/>
    <n v="75"/>
    <n v="4987252000107"/>
    <n v="75"/>
    <n v="177687938650961"/>
    <s v="(21) 99335-661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6:28"/>
    <s v="3003 - FirjanAtivo"/>
    <s v="---"/>
    <n v="76"/>
    <n v="5068583000106"/>
    <n v="76"/>
    <n v="177687938850981"/>
    <s v="(21) 99701-899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6:34"/>
    <s v="3003 - FirjanAtivo"/>
    <s v="---"/>
    <n v="77"/>
    <n v="5105470000133"/>
    <n v="77"/>
    <n v="177687939451061"/>
    <s v="(21) 99254-119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6:35"/>
    <s v="3003 - FirjanAtivo"/>
    <s v="---"/>
    <n v="78"/>
    <n v="5124020000198"/>
    <n v="78"/>
    <n v="177687939551081"/>
    <s v="(21) 96416-636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7:07"/>
    <s v="3003 - FirjanAtivo"/>
    <s v="---"/>
    <n v="79"/>
    <n v="5133369000196"/>
    <n v="79"/>
    <n v="177687942751171"/>
    <s v="(21) 98160-016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7:33"/>
    <s v="3003 - FirjanAtivo"/>
    <s v="---"/>
    <n v="80"/>
    <n v="5207886000162"/>
    <n v="80"/>
    <n v="177687945351231"/>
    <s v="(21) 98208-39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8:01"/>
    <s v="3003 - FirjanAtivo"/>
    <s v="---"/>
    <n v="81"/>
    <n v="5476516000120"/>
    <n v="81"/>
    <n v="177687948151331"/>
    <s v="(21) 99999-707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8:10"/>
    <s v="3003 - FirjanAtivo"/>
    <s v="---"/>
    <n v="82"/>
    <n v="5483497000160"/>
    <n v="82"/>
    <n v="177687949051351"/>
    <s v="(24) 99999-746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8:19"/>
    <s v="3003 - FirjanAtivo"/>
    <s v="---"/>
    <n v="83"/>
    <n v="5485452000124"/>
    <n v="83"/>
    <n v="177687949951371"/>
    <s v="(81) 99651-3130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39:09"/>
    <s v="3003 - FirjanAtivo"/>
    <s v="---"/>
    <n v="84"/>
    <n v="5487548000121"/>
    <n v="84"/>
    <n v="177687954951391"/>
    <s v="(21) 98478-185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9:24"/>
    <s v="3003 - FirjanAtivo"/>
    <s v="---"/>
    <n v="85"/>
    <n v="5587109000190"/>
    <n v="85"/>
    <n v="177687956451401"/>
    <s v="(21) 96500-65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39:55"/>
    <s v="3003 - FirjanAtivo"/>
    <s v="---"/>
    <n v="86"/>
    <n v="5600088000104"/>
    <n v="86"/>
    <n v="177687959551421"/>
    <s v="(21) 96769-115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0:10"/>
    <s v="3003 - FirjanAtivo"/>
    <s v="---"/>
    <n v="88"/>
    <n v="5870198000188"/>
    <n v="88"/>
    <n v="177687961051441"/>
    <s v="(22) 99999-7377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40:57"/>
    <s v="3003 - FirjanAtivo"/>
    <s v="---"/>
    <n v="89"/>
    <n v="5887391000121"/>
    <n v="89"/>
    <n v="177687965751461"/>
    <s v="(22) 99780-6677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41:12"/>
    <s v="3003 - FirjanAtivo"/>
    <s v="---"/>
    <n v="90"/>
    <n v="5951912000162"/>
    <n v="90"/>
    <n v="177687967251481"/>
    <s v="(22) 99278-483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1:28"/>
    <s v="3003 - FirjanAtivo"/>
    <s v="---"/>
    <n v="91"/>
    <n v="6058857000149"/>
    <n v="91"/>
    <n v="177687968851501"/>
    <s v="(22) 99832-543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42:17"/>
    <s v="3003 - FirjanAtivo"/>
    <s v="---"/>
    <n v="92"/>
    <n v="6093542000132"/>
    <n v="92"/>
    <n v="177687973751561"/>
    <s v="(22) 98115-032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3:02"/>
    <s v="3003 - FirjanAtivo"/>
    <s v="---"/>
    <n v="93"/>
    <n v="6100968000176"/>
    <n v="93"/>
    <n v="177687978251651"/>
    <s v="(55) 21998-910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4:43:33"/>
    <s v="3003 - FirjanAtivo"/>
    <s v="---"/>
    <n v="94"/>
    <n v="6215708000146"/>
    <n v="94"/>
    <n v="177687981351771"/>
    <s v="(21) 99859-445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3:52"/>
    <s v="3003 - FirjanAtivo"/>
    <s v="---"/>
    <n v="95"/>
    <n v="6236859000180"/>
    <n v="95"/>
    <n v="177687983251781"/>
    <s v="(24) 99277-76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4:10"/>
    <s v="3003 - FirjanAtivo"/>
    <s v="---"/>
    <n v="96"/>
    <n v="6276371000187"/>
    <n v="96"/>
    <n v="177687985051801"/>
    <s v="(21) 96459-205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4:10"/>
    <s v="3003 - FirjanAtivo"/>
    <s v="---"/>
    <n v="97"/>
    <n v="6326043000148"/>
    <n v="97"/>
    <n v="177687985051811"/>
    <s v="(24) 99983-297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4:10"/>
    <s v="3003 - FirjanAtivo"/>
    <s v="---"/>
    <n v="98"/>
    <n v="6652280000107"/>
    <n v="98"/>
    <n v="177687985051821"/>
    <s v="(55) 21969-7751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4:44:10"/>
    <s v="3003 - FirjanAtivo"/>
    <s v="---"/>
    <n v="99"/>
    <n v="6983876000181"/>
    <n v="99"/>
    <n v="177687985051831"/>
    <s v="(24) 99926-5520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44:10"/>
    <s v="3003 - FirjanAtivo"/>
    <s v="---"/>
    <n v="100"/>
    <n v="7042642000364"/>
    <n v="100"/>
    <n v="177687985051841"/>
    <s v="(22) 99883-6782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4:44:10"/>
    <s v="3003 - FirjanAtivo"/>
    <s v="---"/>
    <n v="102"/>
    <n v="7211888000150"/>
    <n v="102"/>
    <n v="177687985051851"/>
    <s v="(21) 97041-61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4:10"/>
    <s v="3003 - FirjanAtivo"/>
    <s v="---"/>
    <n v="103"/>
    <n v="7355123000194"/>
    <n v="103"/>
    <n v="177687985051861"/>
    <s v="(24) 3326-4426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44:10"/>
    <s v="3003 - FirjanAtivo"/>
    <s v="---"/>
    <n v="104"/>
    <n v="7368744000102"/>
    <n v="104"/>
    <n v="177687985051871"/>
    <s v="(21) 98309-1696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44:10"/>
    <s v="3003 - FirjanAtivo"/>
    <s v="---"/>
    <n v="106"/>
    <n v="7485047000131"/>
    <n v="106"/>
    <n v="177687985051881"/>
    <s v="(22) 99218-1454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4:10"/>
    <s v="3003 - FirjanAtivo"/>
    <s v="---"/>
    <n v="108"/>
    <n v="7560240000190"/>
    <n v="108"/>
    <n v="177687985051891"/>
    <s v="(21) 99252-0142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4:10"/>
    <s v="3003 - FirjanAtivo"/>
    <s v="---"/>
    <n v="110"/>
    <n v="7585606000185"/>
    <n v="110"/>
    <n v="177687985051901"/>
    <s v="(24) 98181-0528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4:10"/>
    <s v="3003 - FirjanAtivo"/>
    <s v="---"/>
    <n v="112"/>
    <n v="7762793000125"/>
    <n v="112"/>
    <n v="177687985051911"/>
    <s v="(24) 93500-0794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4:10"/>
    <s v="3003 - FirjanAtivo"/>
    <s v="---"/>
    <n v="113"/>
    <n v="7783371000136"/>
    <n v="113"/>
    <n v="177687985051921"/>
    <s v="(24) 99969-6999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4:10"/>
    <s v="3003 - FirjanAtivo"/>
    <s v="---"/>
    <n v="114"/>
    <n v="7876652000133"/>
    <n v="114"/>
    <n v="177687985051931"/>
    <s v="(22) 98819-2826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4:10"/>
    <s v="3003 - FirjanAtivo"/>
    <s v="---"/>
    <n v="115"/>
    <n v="7955927000124"/>
    <n v="115"/>
    <n v="177687985051941"/>
    <s v="(22) 98101-2296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4:11"/>
    <s v="3003 - FirjanAtivo"/>
    <s v="---"/>
    <n v="116"/>
    <n v="8083779000168"/>
    <n v="116"/>
    <n v="177687985151951"/>
    <s v="(24) 98133-2595"/>
    <n v="3003"/>
    <s v="Discador"/>
    <s v="Atendido"/>
    <s v="Fora de Area / Cx de Mensagens"/>
    <s v="BPATIVO22042026"/>
    <s v="--"/>
    <n v="128"/>
    <m/>
    <m/>
    <d v="1899-12-30T00:00:04"/>
    <s v="---"/>
    <s v=""/>
    <x v="1"/>
  </r>
  <r>
    <d v="2026-04-22T14:44:11"/>
    <s v="3003 - FirjanAtivo"/>
    <s v="6052-Marcia Lima Peixoto"/>
    <n v="117"/>
    <n v="8117661000103"/>
    <n v="117"/>
    <n v="177687985151961"/>
    <s v="(24) 99850-0155"/>
    <n v="3003"/>
    <s v="Discador"/>
    <s v="Atendido"/>
    <s v="Tel Não Atende / Ocupado"/>
    <s v="BPATIVO22042026"/>
    <s v="Cliente"/>
    <n v="16"/>
    <m/>
    <m/>
    <d v="1899-12-30T00:00:31"/>
    <d v="1899-12-30T00:00:25"/>
    <s v=""/>
    <x v="1"/>
  </r>
  <r>
    <d v="2026-04-22T14:44:18"/>
    <s v="3003 - FirjanAtivo"/>
    <s v="---"/>
    <n v="118"/>
    <n v="8144303000190"/>
    <n v="118"/>
    <n v="177687985851991"/>
    <s v="(21) 99989-160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4:18"/>
    <s v="3003 - FirjanAtivo"/>
    <s v="---"/>
    <n v="120"/>
    <n v="8226364000104"/>
    <n v="120"/>
    <n v="177687985852001"/>
    <s v="(24) 99855-13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4:19"/>
    <s v="3003 - FirjanAtivo"/>
    <s v="---"/>
    <n v="121"/>
    <n v="8311819000262"/>
    <n v="121"/>
    <n v="177687985952031"/>
    <s v="(24) 98122-949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4:25"/>
    <s v="3003 - FirjanAtivo"/>
    <s v="---"/>
    <n v="122"/>
    <n v="8518829000354"/>
    <n v="122"/>
    <n v="177687986552101"/>
    <s v="(21) 99188-746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4:28"/>
    <s v="3003 - FirjanAtivo"/>
    <s v="---"/>
    <n v="123"/>
    <n v="8537926000122"/>
    <n v="123"/>
    <n v="177687986852121"/>
    <s v="(21) 99635-889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4:32"/>
    <s v="3003 - FirjanAtivo"/>
    <s v="---"/>
    <n v="124"/>
    <n v="8599024000110"/>
    <n v="124"/>
    <n v="177687987252131"/>
    <s v="(24) 98814-92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4:33"/>
    <s v="3003 - FirjanAtivo"/>
    <s v="6044-Roseli Honorato Dos Santos"/>
    <n v="125"/>
    <n v="8665134000133"/>
    <n v="125"/>
    <n v="177687987352161"/>
    <s v="(22) 99265-6123"/>
    <n v="3003"/>
    <s v="Discador"/>
    <s v="Atendido"/>
    <s v="Ligação Muda"/>
    <s v="BPATIVO22042026"/>
    <s v="Cliente"/>
    <n v="16"/>
    <m/>
    <m/>
    <d v="1899-12-30T00:00:09"/>
    <d v="1899-12-30T00:00:03"/>
    <s v=""/>
    <x v="1"/>
  </r>
  <r>
    <d v="2026-04-22T14:44:34"/>
    <s v="3003 - FirjanAtivo"/>
    <s v="---"/>
    <n v="126"/>
    <n v="8764146000115"/>
    <n v="126"/>
    <n v="177687987452181"/>
    <s v="(21) 97113-19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4:37"/>
    <s v="3003 - FirjanAtivo"/>
    <s v="---"/>
    <n v="127"/>
    <n v="8879331000155"/>
    <n v="127"/>
    <n v="177687987752201"/>
    <s v="(21) 99951-7659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4:40"/>
    <s v="3003 - FirjanAtivo"/>
    <s v="---"/>
    <n v="128"/>
    <n v="8892204000196"/>
    <n v="128"/>
    <n v="177687988052231"/>
    <s v="(21) 99465-427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4:40"/>
    <s v="3003 - FirjanAtivo"/>
    <s v="---"/>
    <n v="129"/>
    <n v="8912389000153"/>
    <n v="129"/>
    <n v="177687988052241"/>
    <s v="(21) 99752-23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4:42"/>
    <s v="3003 - FirjanAtivo"/>
    <s v="---"/>
    <n v="131"/>
    <n v="8973205000165"/>
    <n v="131"/>
    <n v="177687988252251"/>
    <s v="(24) 99860-523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4:46"/>
    <s v="3003 - FirjanAtivo"/>
    <s v="---"/>
    <n v="132"/>
    <n v="8996355000194"/>
    <n v="132"/>
    <n v="177687988652281"/>
    <s v="(21) 97990-031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4:47"/>
    <s v="3003 - FirjanAtivo"/>
    <s v="---"/>
    <n v="133"/>
    <n v="9082639000138"/>
    <n v="133"/>
    <n v="177687988752301"/>
    <s v="(22) 99824-939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4:50"/>
    <s v="3003 - FirjanAtivo"/>
    <s v="---"/>
    <n v="134"/>
    <n v="9158698000142"/>
    <n v="134"/>
    <n v="177687989052321"/>
    <s v="(24) 99956-1607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44:56"/>
    <s v="3003 - FirjanAtivo"/>
    <s v="---"/>
    <n v="136"/>
    <n v="9232340000112"/>
    <n v="136"/>
    <n v="177687989652341"/>
    <s v="(24) 98881-036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00"/>
    <s v="3003 - FirjanAtivo"/>
    <s v="---"/>
    <n v="137"/>
    <n v="9243828000145"/>
    <n v="137"/>
    <n v="177687990052361"/>
    <s v="(21) 98320-004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05"/>
    <s v="3003 - FirjanAtivo"/>
    <s v="---"/>
    <n v="141"/>
    <n v="9477090000180"/>
    <n v="141"/>
    <n v="177687990552381"/>
    <s v="(21) 98141-441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13"/>
    <s v="3003 - FirjanAtivo"/>
    <s v="---"/>
    <n v="142"/>
    <n v="9524235000157"/>
    <n v="142"/>
    <n v="177687991352401"/>
    <s v="(22) 98120-319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14"/>
    <s v="3003 - FirjanAtivo"/>
    <s v="---"/>
    <n v="143"/>
    <n v="10199619000120"/>
    <n v="143"/>
    <n v="177687991452421"/>
    <s v="(32) 98406-813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14"/>
    <s v="3003 - FirjanAtivo"/>
    <s v="---"/>
    <n v="144"/>
    <n v="10312430000100"/>
    <n v="144"/>
    <n v="177687991452441"/>
    <s v="(24) 99839-887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17"/>
    <s v="3003 - FirjanAtivo"/>
    <s v="---"/>
    <n v="145"/>
    <n v="10320742000158"/>
    <n v="145"/>
    <n v="177687991752461"/>
    <s v="(21) 99819-678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17"/>
    <s v="3003 - FirjanAtivo"/>
    <s v="---"/>
    <n v="146"/>
    <n v="10335794000106"/>
    <n v="146"/>
    <n v="177687991752481"/>
    <s v="(22) 99871-564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18"/>
    <s v="3003 - FirjanAtivo"/>
    <s v="---"/>
    <n v="147"/>
    <n v="10364002000113"/>
    <n v="147"/>
    <n v="177687991852511"/>
    <s v="(21) 99567-20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18"/>
    <s v="3003 - FirjanAtivo"/>
    <s v="---"/>
    <n v="148"/>
    <n v="10379649000119"/>
    <n v="148"/>
    <n v="177687991852521"/>
    <s v="(24) 99275-600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21"/>
    <s v="3003 - FirjanAtivo"/>
    <s v="---"/>
    <n v="149"/>
    <n v="10433504000159"/>
    <n v="149"/>
    <n v="177687992152541"/>
    <s v="(22) 98177-043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28"/>
    <s v="3003 - FirjanAtivo"/>
    <s v="---"/>
    <n v="150"/>
    <n v="10443491000107"/>
    <n v="150"/>
    <n v="177687992852601"/>
    <s v="(22) 98169-663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45:31"/>
    <s v="3003 - FirjanAtivo"/>
    <s v="---"/>
    <n v="151"/>
    <n v="10479198000191"/>
    <n v="151"/>
    <n v="177687993152661"/>
    <s v="(22) 98832-51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32"/>
    <s v="3003 - FirjanAtivo"/>
    <s v="6052-Marcia Lima Peixoto"/>
    <n v="152"/>
    <n v="10480153000137"/>
    <n v="152"/>
    <n v="177687993252681"/>
    <s v="(24) 99941-8760"/>
    <n v="3003"/>
    <s v="Discador"/>
    <s v="Atendido"/>
    <s v="Tel Não Atende / Ocupado"/>
    <s v="BPATIVO22042026"/>
    <s v="Cliente"/>
    <n v="16"/>
    <m/>
    <m/>
    <d v="1899-12-30T00:00:06"/>
    <d v="1899-12-30T00:00:01"/>
    <s v=""/>
    <x v="1"/>
  </r>
  <r>
    <d v="2026-04-22T14:45:32"/>
    <s v="3003 - FirjanAtivo"/>
    <s v="---"/>
    <n v="153"/>
    <n v="10594727000106"/>
    <n v="153"/>
    <n v="177687993252701"/>
    <s v="(24) 98803-723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44"/>
    <s v="3003 - FirjanAtivo"/>
    <s v="---"/>
    <n v="154"/>
    <n v="10737265000120"/>
    <n v="154"/>
    <n v="177687994452791"/>
    <s v="(22) 99212-85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50"/>
    <s v="3003 - FirjanAtivo"/>
    <s v="---"/>
    <n v="155"/>
    <n v="10745721000184"/>
    <n v="155"/>
    <n v="177687995052871"/>
    <s v="(21) 98204-73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55"/>
    <s v="3003 - FirjanAtivo"/>
    <s v="---"/>
    <n v="156"/>
    <n v="10746169000149"/>
    <n v="156"/>
    <n v="177687995552891"/>
    <s v="(21) 98808-88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57"/>
    <s v="3003 - FirjanAtivo"/>
    <s v="---"/>
    <n v="157"/>
    <n v="10790942000174"/>
    <n v="157"/>
    <n v="177687995752911"/>
    <s v="(21) 96475-70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57"/>
    <s v="3003 - FirjanAtivo"/>
    <s v="---"/>
    <n v="158"/>
    <n v="10888515000123"/>
    <n v="158"/>
    <n v="177687995752941"/>
    <s v="(21) 96496-726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5:58"/>
    <s v="3003 - FirjanAtivo"/>
    <s v="---"/>
    <n v="159"/>
    <n v="10984785000138"/>
    <n v="159"/>
    <n v="177687995852951"/>
    <s v="(21) 98474-319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00"/>
    <s v="3003 - FirjanAtivo"/>
    <s v="---"/>
    <n v="160"/>
    <n v="11013156000123"/>
    <n v="160"/>
    <n v="177687996052981"/>
    <s v="(22) 99261-976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04"/>
    <s v="3003 - FirjanAtivo"/>
    <s v="---"/>
    <n v="161"/>
    <n v="11117005000115"/>
    <n v="161"/>
    <n v="177687996453001"/>
    <s v="(24) 99303-91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07"/>
    <s v="3003 - FirjanAtivo"/>
    <s v="---"/>
    <n v="163"/>
    <n v="11360283000107"/>
    <n v="163"/>
    <n v="177687996753021"/>
    <s v="(21) 96448-2900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46:08"/>
    <s v="3003 - FirjanAtivo"/>
    <s v="---"/>
    <n v="164"/>
    <n v="11642542000184"/>
    <n v="164"/>
    <n v="177687996853041"/>
    <s v="(24) 99904-281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18"/>
    <s v="3003 - FirjanAtivo"/>
    <s v="---"/>
    <n v="165"/>
    <n v="11649203000120"/>
    <n v="165"/>
    <n v="177687997853061"/>
    <s v="(24) 99825-729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19"/>
    <s v="3003 - FirjanAtivo"/>
    <s v="---"/>
    <n v="166"/>
    <n v="11661920000177"/>
    <n v="166"/>
    <n v="177687997953081"/>
    <s v="(24) 99227-17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20"/>
    <s v="3003 - FirjanAtivo"/>
    <s v="---"/>
    <n v="167"/>
    <n v="11701732000125"/>
    <n v="167"/>
    <n v="177687998053111"/>
    <s v="(22) 99737-282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20"/>
    <s v="3003 - FirjanAtivo"/>
    <s v="---"/>
    <n v="169"/>
    <n v="11750615000151"/>
    <n v="169"/>
    <n v="177687998053121"/>
    <s v="(22) 98864-231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20"/>
    <s v="3003 - FirjanAtivo"/>
    <s v="---"/>
    <n v="170"/>
    <n v="12022419000123"/>
    <n v="170"/>
    <n v="177687998053131"/>
    <s v="(21) 99623-455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27"/>
    <s v="3003 - FirjanAtivo"/>
    <s v="---"/>
    <n v="171"/>
    <n v="12072761000138"/>
    <n v="171"/>
    <n v="177687998753151"/>
    <s v="(24) 97102-4094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4:46:27"/>
    <s v="3003 - FirjanAtivo"/>
    <s v="---"/>
    <n v="172"/>
    <n v="12098243000193"/>
    <n v="172"/>
    <n v="177687998753161"/>
    <s v="(22) 99941-799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27"/>
    <s v="3003 - FirjanAtivo"/>
    <s v="---"/>
    <n v="173"/>
    <n v="12266091000190"/>
    <n v="173"/>
    <n v="177687998753171"/>
    <s v="(21) 98782-4932"/>
    <n v="3003"/>
    <s v="Discador"/>
    <s v="Atendido"/>
    <s v="Fora de Area / Cx de Mensagens"/>
    <s v="BPATIVO22042026"/>
    <s v="Cliente"/>
    <n v="131"/>
    <m/>
    <m/>
    <d v="1899-12-30T00:00:12"/>
    <s v="---"/>
    <s v=""/>
    <x v="1"/>
  </r>
  <r>
    <d v="2026-04-22T14:46:27"/>
    <s v="3003 - FirjanAtivo"/>
    <s v="---"/>
    <n v="174"/>
    <n v="12284895000112"/>
    <n v="174"/>
    <n v="177687998753181"/>
    <s v="(21) 99849-469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46:27"/>
    <s v="3003 - FirjanAtivo"/>
    <s v="6052-Marcia Lima Peixoto"/>
    <n v="175"/>
    <n v="12573708000110"/>
    <n v="175"/>
    <n v="177687998753191"/>
    <s v="(21) 99642-7042"/>
    <n v="3003"/>
    <s v="Discador"/>
    <s v="Atendido"/>
    <s v="Ligação Muda"/>
    <s v="BPATIVO22042026"/>
    <s v="Agente"/>
    <n v="16"/>
    <m/>
    <m/>
    <d v="1899-12-30T00:02:22"/>
    <d v="1899-12-30T00:02:18"/>
    <s v=""/>
    <x v="1"/>
  </r>
  <r>
    <d v="2026-04-22T14:46:27"/>
    <s v="3003 - FirjanAtivo"/>
    <s v="---"/>
    <n v="176"/>
    <n v="12584713000129"/>
    <n v="176"/>
    <n v="177687998753201"/>
    <s v="(21) 98168-0021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7"/>
    <s v="3003 - FirjanAtivo"/>
    <s v="---"/>
    <n v="177"/>
    <n v="12710766000149"/>
    <n v="177"/>
    <n v="177687998753211"/>
    <s v="(22) 99253-8503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7"/>
    <s v="3003 - FirjanAtivo"/>
    <s v="---"/>
    <n v="178"/>
    <n v="12959066000192"/>
    <n v="178"/>
    <n v="177687998753221"/>
    <s v="(21) 99513-2211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7"/>
    <s v="3003 - FirjanAtivo"/>
    <s v="---"/>
    <n v="179"/>
    <n v="12995318000139"/>
    <n v="179"/>
    <n v="177687998753231"/>
    <s v="(24) 98838-5385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7"/>
    <s v="3003 - FirjanAtivo"/>
    <s v="---"/>
    <n v="180"/>
    <n v="13065020000192"/>
    <n v="180"/>
    <n v="177687998753241"/>
    <s v="(24) 99231-6184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7"/>
    <s v="3003 - FirjanAtivo"/>
    <s v="---"/>
    <n v="181"/>
    <n v="13262186000107"/>
    <n v="181"/>
    <n v="177687998753251"/>
    <s v="(21) 99611-8161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8"/>
    <s v="3003 - FirjanAtivo"/>
    <s v="---"/>
    <n v="182"/>
    <n v="13265421000196"/>
    <n v="182"/>
    <n v="177687998853261"/>
    <s v="(24) 99835-7233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8"/>
    <s v="3003 - FirjanAtivo"/>
    <s v="---"/>
    <n v="183"/>
    <n v="13385694000174"/>
    <n v="183"/>
    <n v="177687998853271"/>
    <s v="(32) 99940-561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28"/>
    <s v="3003 - FirjanAtivo"/>
    <s v="---"/>
    <n v="184"/>
    <n v="13410313000160"/>
    <n v="184"/>
    <n v="177687998853281"/>
    <s v="(21) 99259-5895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8"/>
    <s v="3003 - FirjanAtivo"/>
    <s v="---"/>
    <n v="187"/>
    <n v="13464960000154"/>
    <n v="187"/>
    <n v="177687998853291"/>
    <s v="(21) 98392-848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28"/>
    <s v="3003 - FirjanAtivo"/>
    <s v="6044-Roseli Honorato Dos Santos"/>
    <n v="188"/>
    <n v="13495794000153"/>
    <n v="188"/>
    <n v="177687998853301"/>
    <s v="(24) 98182-0794"/>
    <n v="3003"/>
    <s v="Discador"/>
    <s v="Atendido"/>
    <s v="Enviar E-mail"/>
    <s v="BPATIVO22042026"/>
    <s v="Cliente"/>
    <n v="16"/>
    <m/>
    <m/>
    <d v="1899-12-30T00:03:05"/>
    <d v="1899-12-30T00:03:00"/>
    <n v="1"/>
    <x v="1"/>
  </r>
  <r>
    <d v="2026-04-22T14:46:28"/>
    <s v="3003 - FirjanAtivo"/>
    <s v="---"/>
    <n v="190"/>
    <n v="13744177000144"/>
    <n v="190"/>
    <n v="177687998853311"/>
    <s v="(24) 98838-1296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8"/>
    <s v="3003 - FirjanAtivo"/>
    <s v="---"/>
    <n v="192"/>
    <n v="14059527000104"/>
    <n v="192"/>
    <n v="177687998853321"/>
    <s v="(21) 96430-2632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8"/>
    <s v="3003 - FirjanAtivo"/>
    <s v="---"/>
    <n v="193"/>
    <n v="14370573000111"/>
    <n v="193"/>
    <n v="177687998853331"/>
    <s v="(55) 22998-5655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8"/>
    <s v="3003 - FirjanAtivo"/>
    <s v="---"/>
    <n v="194"/>
    <n v="14440968000143"/>
    <n v="194"/>
    <n v="177687998853341"/>
    <s v="(22) 99881-2910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8"/>
    <s v="3003 - FirjanAtivo"/>
    <s v="---"/>
    <n v="195"/>
    <n v="14450781000120"/>
    <n v="195"/>
    <n v="177687998853361"/>
    <s v="(24) 99999-2670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8"/>
    <s v="3003 - FirjanAtivo"/>
    <s v="---"/>
    <n v="196"/>
    <n v="14565807000186"/>
    <n v="196"/>
    <n v="177687998853371"/>
    <s v="(22) 99999-9418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8"/>
    <s v="3003 - FirjanAtivo"/>
    <s v="---"/>
    <n v="197"/>
    <n v="14766966000149"/>
    <n v="197"/>
    <n v="177687998853381"/>
    <s v="(24) 99832-6585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8"/>
    <s v="3003 - FirjanAtivo"/>
    <s v="---"/>
    <n v="198"/>
    <n v="14811950000100"/>
    <n v="198"/>
    <n v="177687998853391"/>
    <s v="(24) 99300-3717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8"/>
    <s v="3003 - FirjanAtivo"/>
    <s v="---"/>
    <n v="199"/>
    <n v="14965593000135"/>
    <n v="199"/>
    <n v="177687998853401"/>
    <s v="(21) 2782-1128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9"/>
    <s v="3003 - FirjanAtivo"/>
    <s v="---"/>
    <n v="200"/>
    <n v="15255973000149"/>
    <n v="200"/>
    <n v="177687998953411"/>
    <s v="(21) 98685-2819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6:29"/>
    <s v="3003 - FirjanAtivo"/>
    <s v="---"/>
    <n v="202"/>
    <n v="16385008000153"/>
    <n v="202"/>
    <n v="177687998953421"/>
    <s v="(22) 98809-0123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46:29"/>
    <s v="3003 - FirjanAtivo"/>
    <s v="---"/>
    <n v="203"/>
    <n v="16720728000128"/>
    <n v="203"/>
    <n v="177687998953431"/>
    <s v="(22) 99836-443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29"/>
    <s v="3003 - FirjanAtivo"/>
    <s v="---"/>
    <n v="204"/>
    <n v="16918406000198"/>
    <n v="204"/>
    <n v="177687998953441"/>
    <s v="(21) 98216-56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32"/>
    <s v="3003 - FirjanAtivo"/>
    <s v="---"/>
    <n v="205"/>
    <n v="16918406000198"/>
    <n v="205"/>
    <n v="177687999253461"/>
    <s v="(21) 98216-56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41"/>
    <s v="3003 - FirjanAtivo"/>
    <s v="---"/>
    <n v="206"/>
    <n v="16927109000109"/>
    <n v="206"/>
    <n v="177688000153531"/>
    <s v="(21) 99756-94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41"/>
    <s v="3003 - FirjanAtivo"/>
    <s v="---"/>
    <n v="207"/>
    <n v="16959774000184"/>
    <n v="207"/>
    <n v="177688000153541"/>
    <s v="(24) 97404-247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42"/>
    <s v="3003 - FirjanAtivo"/>
    <s v="---"/>
    <n v="208"/>
    <n v="17043182000180"/>
    <n v="208"/>
    <n v="177688000253571"/>
    <s v="(24) 99824-172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42"/>
    <s v="3003 - FirjanAtivo"/>
    <s v="---"/>
    <n v="209"/>
    <n v="17230906000103"/>
    <n v="209"/>
    <n v="177688000253581"/>
    <s v="(21) 98085-22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45"/>
    <s v="3003 - FirjanAtivo"/>
    <s v="---"/>
    <n v="210"/>
    <n v="17232038000192"/>
    <n v="210"/>
    <n v="177688000553601"/>
    <s v="(22) 99701-659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47"/>
    <s v="3003 - FirjanAtivo"/>
    <s v="---"/>
    <n v="211"/>
    <n v="17404008000116"/>
    <n v="211"/>
    <n v="177688000753631"/>
    <s v="(21) 99998-759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48"/>
    <s v="3003 - FirjanAtivo"/>
    <s v="---"/>
    <n v="212"/>
    <n v="17446625000184"/>
    <n v="212"/>
    <n v="177688000853651"/>
    <s v="(22) 99841-14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49"/>
    <s v="3003 - FirjanAtivo"/>
    <s v="---"/>
    <n v="213"/>
    <n v="17845803000140"/>
    <n v="213"/>
    <n v="177688000953671"/>
    <s v="(24) 97402-305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50"/>
    <s v="3003 - FirjanAtivo"/>
    <s v="---"/>
    <n v="214"/>
    <n v="18341732000100"/>
    <n v="214"/>
    <n v="177688001053691"/>
    <s v="(24) 99228-2708"/>
    <n v="3003"/>
    <s v="Discador"/>
    <s v="Atendido"/>
    <s v="Fora de Area / Cx de Mensagens"/>
    <s v="BPATIVO22042026"/>
    <s v="--"/>
    <n v="131"/>
    <m/>
    <m/>
    <d v="1899-12-30T00:00:01"/>
    <s v="---"/>
    <s v=""/>
    <x v="1"/>
  </r>
  <r>
    <d v="2026-04-22T14:46:50"/>
    <s v="3003 - FirjanAtivo"/>
    <s v="---"/>
    <n v="215"/>
    <n v="18414594000142"/>
    <n v="215"/>
    <n v="177688001053701"/>
    <s v="(21) 99856-36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55"/>
    <s v="3003 - FirjanAtivo"/>
    <s v="---"/>
    <n v="216"/>
    <n v="18705825000177"/>
    <n v="216"/>
    <n v="177688001553741"/>
    <s v="(21) 99581-391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57"/>
    <s v="3003 - FirjanAtivo"/>
    <s v="---"/>
    <n v="217"/>
    <n v="18863657000148"/>
    <n v="217"/>
    <n v="177688001753831"/>
    <s v="(24) 99999-05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6:59"/>
    <s v="3003 - FirjanAtivo"/>
    <s v="---"/>
    <n v="218"/>
    <n v="18889258000156"/>
    <n v="218"/>
    <n v="177688001953881"/>
    <s v="(21) 96711-735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01"/>
    <s v="3003 - FirjanAtivo"/>
    <s v="---"/>
    <n v="219"/>
    <n v="18977285000180"/>
    <n v="219"/>
    <n v="177688002153901"/>
    <s v="(21) 98187-062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03"/>
    <s v="3003 - FirjanAtivo"/>
    <s v="---"/>
    <n v="221"/>
    <n v="19047535000146"/>
    <n v="221"/>
    <n v="177688002353921"/>
    <s v="(22) 99964-142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05"/>
    <s v="3003 - FirjanAtivo"/>
    <s v="---"/>
    <n v="223"/>
    <n v="19410510000165"/>
    <n v="223"/>
    <n v="177688002553951"/>
    <s v="(21) 98848-18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07"/>
    <s v="3003 - FirjanAtivo"/>
    <s v="---"/>
    <n v="224"/>
    <n v="19420382000211"/>
    <n v="224"/>
    <n v="177688002753971"/>
    <s v="(24) 99968-302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09"/>
    <s v="3003 - FirjanAtivo"/>
    <s v="---"/>
    <n v="226"/>
    <n v="19753199000157"/>
    <n v="226"/>
    <n v="177688002954001"/>
    <s v="(21) 96752-421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11"/>
    <s v="3003 - FirjanAtivo"/>
    <s v="---"/>
    <n v="229"/>
    <n v="20045556000101"/>
    <n v="229"/>
    <n v="177688003154021"/>
    <s v="(22) 99940-411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12"/>
    <s v="3003 - FirjanAtivo"/>
    <s v="---"/>
    <n v="230"/>
    <n v="20331303000102"/>
    <n v="230"/>
    <n v="177688003254051"/>
    <s v="(21) 99727-3393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47:12"/>
    <s v="3003 - FirjanAtivo"/>
    <s v="---"/>
    <n v="231"/>
    <n v="20415965000152"/>
    <n v="231"/>
    <n v="177688003254071"/>
    <s v="(21) 98565-13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13"/>
    <s v="3003 - FirjanAtivo"/>
    <s v="---"/>
    <n v="232"/>
    <n v="20458968000173"/>
    <n v="232"/>
    <n v="177688003354081"/>
    <s v="(22) 99243-73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15"/>
    <s v="3003 - FirjanAtivo"/>
    <s v="---"/>
    <n v="233"/>
    <n v="20458968000254"/>
    <n v="233"/>
    <n v="177688003554101"/>
    <s v="(22) 99243-73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17"/>
    <s v="3003 - FirjanAtivo"/>
    <s v="---"/>
    <n v="234"/>
    <n v="20813461000190"/>
    <n v="234"/>
    <n v="177688003754111"/>
    <s v="(21) 99143-000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47:19"/>
    <s v="3003 - FirjanAtivo"/>
    <s v="---"/>
    <n v="235"/>
    <n v="20816553000124"/>
    <n v="235"/>
    <n v="177688003954141"/>
    <s v="(21) 99684-145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47:21"/>
    <s v="3003 - FirjanAtivo"/>
    <s v="---"/>
    <n v="236"/>
    <n v="20843735000194"/>
    <n v="236"/>
    <n v="177688004154151"/>
    <s v="(55) 11973-5599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4:47:23"/>
    <s v="3003 - FirjanAtivo"/>
    <s v="---"/>
    <n v="237"/>
    <n v="20920341000192"/>
    <n v="237"/>
    <n v="177688004354171"/>
    <s v="(22) 99830-288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47:23"/>
    <s v="3003 - FirjanAtivo"/>
    <s v="---"/>
    <n v="240"/>
    <n v="21108715000132"/>
    <n v="240"/>
    <n v="177688004354191"/>
    <s v="(22) 99214-5801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47:25"/>
    <s v="3003 - FirjanAtivo"/>
    <s v="---"/>
    <n v="241"/>
    <n v="21147409000105"/>
    <n v="241"/>
    <n v="177688004554201"/>
    <s v="(21) 98047-668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27"/>
    <s v="3003 - FirjanAtivo"/>
    <s v="---"/>
    <n v="242"/>
    <n v="21466995000150"/>
    <n v="242"/>
    <n v="177688004754211"/>
    <s v="(24) 99961-312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47:29"/>
    <s v="3003 - FirjanAtivo"/>
    <s v="---"/>
    <n v="243"/>
    <n v="21511926000111"/>
    <n v="243"/>
    <n v="177688004954231"/>
    <s v="(21) 98790-3656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47:31"/>
    <s v="3003 - FirjanAtivo"/>
    <s v="---"/>
    <n v="244"/>
    <n v="21536041000177"/>
    <n v="244"/>
    <n v="177688005154261"/>
    <s v="(21) 2660-5797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47:33"/>
    <s v="3003 - FirjanAtivo"/>
    <s v="---"/>
    <n v="246"/>
    <n v="21918143000157"/>
    <n v="246"/>
    <n v="177688005354281"/>
    <s v="(21) 97672-690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35"/>
    <s v="3003 - FirjanAtivo"/>
    <s v="---"/>
    <n v="247"/>
    <n v="21934634000191"/>
    <n v="247"/>
    <n v="177688005554311"/>
    <s v="(21) 99585-836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37"/>
    <s v="3003 - FirjanAtivo"/>
    <s v="---"/>
    <n v="248"/>
    <n v="22122960000167"/>
    <n v="248"/>
    <n v="177688005754331"/>
    <s v="(21) 97428-36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39"/>
    <s v="3003 - FirjanAtivo"/>
    <s v="---"/>
    <n v="249"/>
    <n v="22213087000118"/>
    <n v="249"/>
    <n v="177688005954341"/>
    <s v="(21) 96466-098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41"/>
    <s v="3003 - FirjanAtivo"/>
    <s v="---"/>
    <n v="252"/>
    <n v="22843195000174"/>
    <n v="252"/>
    <n v="177688006154361"/>
    <s v="(21) 99830-030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42"/>
    <s v="3003 - FirjanAtivo"/>
    <s v="---"/>
    <n v="254"/>
    <n v="23054134000190"/>
    <n v="254"/>
    <n v="177688006254401"/>
    <s v="(22) 99857-4420"/>
    <n v="3003"/>
    <s v="Discador"/>
    <s v="Atendido"/>
    <s v="Fora de Area / Cx de Mensagens"/>
    <s v="BPATIVO22042026"/>
    <s v="Cliente"/>
    <n v="131"/>
    <m/>
    <m/>
    <d v="1899-12-30T00:00:08"/>
    <s v="---"/>
    <s v=""/>
    <x v="1"/>
  </r>
  <r>
    <d v="2026-04-22T14:47:43"/>
    <s v="3003 - FirjanAtivo"/>
    <s v="---"/>
    <n v="255"/>
    <n v="23108884000106"/>
    <n v="255"/>
    <n v="177688006354411"/>
    <s v="(21) 99967-786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45"/>
    <s v="3003 - FirjanAtivo"/>
    <s v="---"/>
    <n v="256"/>
    <n v="23277156000110"/>
    <n v="256"/>
    <n v="177688006554421"/>
    <s v="(24) 98831-833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47"/>
    <s v="3003 - FirjanAtivo"/>
    <s v="---"/>
    <n v="258"/>
    <n v="23391798000145"/>
    <n v="258"/>
    <n v="177688006754431"/>
    <s v="(24) 99241-4636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47:49"/>
    <s v="3003 - FirjanAtivo"/>
    <s v="---"/>
    <n v="259"/>
    <n v="23628802000146"/>
    <n v="259"/>
    <n v="177688006954451"/>
    <s v="(21) 98048-109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51"/>
    <s v="3003 - FirjanAtivo"/>
    <s v="---"/>
    <n v="260"/>
    <n v="23836838000115"/>
    <n v="260"/>
    <n v="177688007154481"/>
    <s v="(24) 99909-70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53"/>
    <s v="3003 - FirjanAtivo"/>
    <s v="---"/>
    <n v="261"/>
    <n v="23884500000139"/>
    <n v="261"/>
    <n v="177688007354541"/>
    <s v="(24) 98824-1512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47:55"/>
    <s v="3003 - FirjanAtivo"/>
    <s v="---"/>
    <n v="262"/>
    <n v="24021427000134"/>
    <n v="262"/>
    <n v="177688007554561"/>
    <s v="(21) 97272-875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57"/>
    <s v="3003 - FirjanAtivo"/>
    <s v="---"/>
    <n v="263"/>
    <n v="24265410000122"/>
    <n v="263"/>
    <n v="177688007754581"/>
    <s v="(21) 99860-23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7:59"/>
    <s v="3003 - FirjanAtivo"/>
    <s v="---"/>
    <n v="264"/>
    <n v="24323383000105"/>
    <n v="264"/>
    <n v="177688007954611"/>
    <s v="(24) 99996-001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48:00"/>
    <s v="3003 - FirjanAtivo"/>
    <s v="---"/>
    <n v="265"/>
    <n v="24373917000108"/>
    <n v="265"/>
    <n v="177688008054651"/>
    <s v="(24) 98152-0014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48:02"/>
    <s v="3003 - FirjanAtivo"/>
    <s v="---"/>
    <n v="266"/>
    <n v="24415773000105"/>
    <n v="266"/>
    <n v="177688008254671"/>
    <s v="(24) 99940-069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8:04"/>
    <s v="3003 - FirjanAtivo"/>
    <s v="---"/>
    <n v="267"/>
    <n v="24569455000190"/>
    <n v="267"/>
    <n v="177688008454691"/>
    <s v="(21) 98627-356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8:06"/>
    <s v="3003 - FirjanAtivo"/>
    <s v="---"/>
    <n v="268"/>
    <n v="24583913000146"/>
    <n v="268"/>
    <n v="177688008654701"/>
    <s v="(21) 96461-8814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4:48:08"/>
    <s v="3003 - FirjanAtivo"/>
    <s v="---"/>
    <n v="269"/>
    <n v="25344452000111"/>
    <n v="269"/>
    <n v="177688008854711"/>
    <s v="(21) 97996-93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8:10"/>
    <s v="3003 - FirjanAtivo"/>
    <s v="---"/>
    <n v="270"/>
    <n v="25404835000138"/>
    <n v="270"/>
    <n v="177688009054731"/>
    <s v="(22) 99821-945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8:13"/>
    <s v="3003 - FirjanAtivo"/>
    <s v="---"/>
    <n v="271"/>
    <n v="25405605000193"/>
    <n v="271"/>
    <n v="177688009354751"/>
    <s v="(22) 99848-231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48:15"/>
    <s v="3003 - FirjanAtivo"/>
    <s v="---"/>
    <n v="272"/>
    <n v="26054449000126"/>
    <n v="272"/>
    <n v="177688009554761"/>
    <s v="(24) 98831-686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8:17"/>
    <s v="3003 - FirjanAtivo"/>
    <s v="---"/>
    <n v="273"/>
    <n v="26181076000154"/>
    <n v="273"/>
    <n v="177688009754771"/>
    <s v="(24) 98105-15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8:19"/>
    <s v="3003 - FirjanAtivo"/>
    <s v="---"/>
    <n v="274"/>
    <n v="26185307000106"/>
    <n v="274"/>
    <n v="177688009954781"/>
    <s v="(24) 99217-773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48:21"/>
    <s v="3003 - FirjanAtivo"/>
    <s v="---"/>
    <n v="275"/>
    <n v="26252435000117"/>
    <n v="275"/>
    <n v="177688010154821"/>
    <s v="(22) 98181-7677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48:23"/>
    <s v="3003 - FirjanAtivo"/>
    <s v="---"/>
    <n v="276"/>
    <n v="26295622000188"/>
    <n v="276"/>
    <n v="177688010354841"/>
    <s v="(22) 99773-7282"/>
    <n v="3003"/>
    <s v="Discador"/>
    <s v="Atendido"/>
    <s v="Fora de Area / Cx de Mensagens"/>
    <s v="BPATIVO22042026"/>
    <s v="--"/>
    <n v="128"/>
    <m/>
    <m/>
    <d v="1899-12-30T00:00:03"/>
    <s v="---"/>
    <s v=""/>
    <x v="1"/>
  </r>
  <r>
    <d v="2026-04-22T14:48:25"/>
    <s v="3003 - FirjanAtivo"/>
    <s v="---"/>
    <n v="277"/>
    <n v="26344541000120"/>
    <n v="277"/>
    <n v="177688010554861"/>
    <s v="(21) 99523-106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48:27"/>
    <s v="3003 - FirjanAtivo"/>
    <s v="---"/>
    <n v="278"/>
    <n v="26350061000172"/>
    <n v="278"/>
    <n v="177688010754871"/>
    <s v="(22) 99720-702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8:29"/>
    <s v="3003 - FirjanAtivo"/>
    <s v="---"/>
    <n v="279"/>
    <n v="26401298000135"/>
    <n v="279"/>
    <n v="177688010954891"/>
    <s v="(21) 99649-785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8:31"/>
    <s v="3003 - FirjanAtivo"/>
    <s v="---"/>
    <n v="280"/>
    <n v="26419801000180"/>
    <n v="280"/>
    <n v="177688011154921"/>
    <s v="(24) 99832-658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48:33"/>
    <s v="3003 - FirjanAtivo"/>
    <s v="---"/>
    <n v="281"/>
    <n v="26596537000150"/>
    <n v="281"/>
    <n v="177688011354941"/>
    <s v="(22) 99727-64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8:35"/>
    <s v="3003 - FirjanAtivo"/>
    <s v="---"/>
    <n v="282"/>
    <n v="26753972000140"/>
    <n v="282"/>
    <n v="177688011554981"/>
    <s v="(21) 19829-6975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4:48:35"/>
    <s v="3003 - FirjanAtivo"/>
    <s v="---"/>
    <n v="283"/>
    <n v="26789035000145"/>
    <n v="283"/>
    <n v="177688011554991"/>
    <s v="(21) 99726-2983"/>
    <n v="3003"/>
    <s v="Discador"/>
    <s v="Atendido"/>
    <s v="Fora de Area / Cx de Mensagens"/>
    <s v="BPATIVO22042026"/>
    <s v="Cliente"/>
    <n v="131"/>
    <m/>
    <m/>
    <d v="1899-12-30T00:00:11"/>
    <s v="---"/>
    <s v=""/>
    <x v="1"/>
  </r>
  <r>
    <d v="2026-04-22T14:48:37"/>
    <s v="3003 - FirjanAtivo"/>
    <s v="---"/>
    <n v="284"/>
    <n v="26871189000181"/>
    <n v="284"/>
    <n v="177688011755001"/>
    <s v="(24) 99305-256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8:39"/>
    <s v="3003 - FirjanAtivo"/>
    <s v="---"/>
    <n v="285"/>
    <n v="26960926000112"/>
    <n v="285"/>
    <n v="177688011955011"/>
    <s v="(24) 99965-739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8:41"/>
    <s v="3003 - FirjanAtivo"/>
    <s v="---"/>
    <n v="286"/>
    <n v="26990729000146"/>
    <n v="286"/>
    <n v="177688012155021"/>
    <s v="(22) 99905-4326"/>
    <n v="3003"/>
    <s v="Discador"/>
    <s v="Atendido"/>
    <s v="Fora de Area / Cx de Mensagens"/>
    <s v="BPATIVO22042026"/>
    <s v="--"/>
    <n v="131"/>
    <m/>
    <m/>
    <d v="1899-12-30T00:00:00"/>
    <s v="---"/>
    <s v=""/>
    <x v="1"/>
  </r>
  <r>
    <d v="2026-04-22T14:48:43"/>
    <s v="3003 - FirjanAtivo"/>
    <s v="6052-Marcia Lima Peixoto"/>
    <n v="287"/>
    <n v="27015155000158"/>
    <n v="287"/>
    <n v="177688012355041"/>
    <s v="(21) 99222-4008"/>
    <n v="3003"/>
    <s v="Discador"/>
    <s v="Atendido"/>
    <s v="Ligação Muda"/>
    <s v="BPATIVO22042026"/>
    <s v="Agente"/>
    <n v="16"/>
    <m/>
    <m/>
    <d v="1899-12-30T00:00:52"/>
    <d v="1899-12-30T00:00:17"/>
    <s v=""/>
    <x v="1"/>
  </r>
  <r>
    <d v="2026-04-22T14:48:45"/>
    <s v="3003 - FirjanAtivo"/>
    <s v="---"/>
    <n v="288"/>
    <n v="27037167000183"/>
    <n v="288"/>
    <n v="177688012555061"/>
    <s v="(21) 96416-636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8:47"/>
    <s v="3003 - FirjanAtivo"/>
    <s v="6052-Marcia Lima Peixoto"/>
    <n v="289"/>
    <n v="27179316000149"/>
    <n v="289"/>
    <n v="177688012755121"/>
    <s v="(24) 97402-5814"/>
    <n v="3003"/>
    <s v="Discador"/>
    <s v="Atendido"/>
    <s v="Ligação Muda"/>
    <s v="BPATIVO22042026"/>
    <s v="Agente"/>
    <n v="16"/>
    <m/>
    <m/>
    <d v="1899-12-30T00:00:40"/>
    <d v="1899-12-30T00:00:17"/>
    <s v=""/>
    <x v="1"/>
  </r>
  <r>
    <d v="2026-04-22T14:48:49"/>
    <s v="3003 - FirjanAtivo"/>
    <s v="---"/>
    <n v="290"/>
    <n v="27316226000152"/>
    <n v="290"/>
    <n v="177688012955151"/>
    <s v="(21) 99297-218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8:51"/>
    <s v="3003 - FirjanAtivo"/>
    <s v="---"/>
    <n v="291"/>
    <n v="27379033000140"/>
    <n v="291"/>
    <n v="177688013155161"/>
    <s v="(21) 98241-6981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4:48:53"/>
    <s v="3003 - FirjanAtivo"/>
    <s v="---"/>
    <n v="292"/>
    <n v="27439229000183"/>
    <n v="292"/>
    <n v="177688013355181"/>
    <s v="(21) 97428-36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8:55"/>
    <s v="3003 - FirjanAtivo"/>
    <s v="---"/>
    <n v="293"/>
    <n v="27559945000102"/>
    <n v="293"/>
    <n v="177688013555201"/>
    <s v="(22) 99265-340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8:57"/>
    <s v="3003 - FirjanAtivo"/>
    <s v="---"/>
    <n v="294"/>
    <n v="27813377000116"/>
    <n v="294"/>
    <n v="177688013755211"/>
    <s v="(21) 96468-135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8:59"/>
    <s v="3003 - FirjanAtivo"/>
    <s v="---"/>
    <n v="295"/>
    <n v="27931047000125"/>
    <n v="295"/>
    <n v="177688013955231"/>
    <s v="(22) 99744-0953"/>
    <n v="3003"/>
    <s v="Discador"/>
    <s v="Atendido"/>
    <s v="Fora de Area / Cx de Mensagens"/>
    <s v="BPATIVO22042026"/>
    <s v="--"/>
    <n v="128"/>
    <m/>
    <m/>
    <d v="1899-12-30T00:00:04"/>
    <s v="---"/>
    <s v=""/>
    <x v="1"/>
  </r>
  <r>
    <d v="2026-04-22T14:49:01"/>
    <s v="3003 - FirjanAtivo"/>
    <s v="---"/>
    <n v="298"/>
    <n v="28093477000188"/>
    <n v="298"/>
    <n v="177688014155241"/>
    <s v="(24) 99219-255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03"/>
    <s v="3003 - FirjanAtivo"/>
    <s v="---"/>
    <n v="299"/>
    <n v="28113645000150"/>
    <n v="299"/>
    <n v="177688014355271"/>
    <s v="(21) 99649-281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05"/>
    <s v="3003 - FirjanAtivo"/>
    <s v="---"/>
    <n v="300"/>
    <n v="28483585000167"/>
    <n v="300"/>
    <n v="177688014555281"/>
    <s v="(21) 97021-2590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49:13"/>
    <s v="3003 - FirjanAtivo"/>
    <s v="---"/>
    <n v="301"/>
    <n v="28566081000100"/>
    <n v="301"/>
    <n v="177688015355361"/>
    <s v="(24) 98818-043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15"/>
    <s v="3003 - FirjanAtivo"/>
    <s v="---"/>
    <n v="302"/>
    <n v="28584852000192"/>
    <n v="302"/>
    <n v="177688015555381"/>
    <s v="(21) 96467-655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17"/>
    <s v="3003 - FirjanAtivo"/>
    <s v="---"/>
    <n v="304"/>
    <n v="28673609000140"/>
    <n v="304"/>
    <n v="177688015755391"/>
    <s v="(21) 98273-948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19"/>
    <s v="3003 - FirjanAtivo"/>
    <s v="---"/>
    <n v="305"/>
    <n v="28679579000180"/>
    <n v="305"/>
    <n v="177688015955411"/>
    <s v="(24) 99856-672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21"/>
    <s v="3003 - FirjanAtivo"/>
    <s v="---"/>
    <n v="306"/>
    <n v="28757458000109"/>
    <n v="306"/>
    <n v="177688016155421"/>
    <s v="(21) 99755-4649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49:23"/>
    <s v="3003 - FirjanAtivo"/>
    <s v="---"/>
    <n v="307"/>
    <n v="28774621000141"/>
    <n v="307"/>
    <n v="177688016355451"/>
    <s v="(21) 98857-366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25"/>
    <s v="3003 - FirjanAtivo"/>
    <s v="---"/>
    <n v="308"/>
    <n v="28801829000102"/>
    <n v="308"/>
    <n v="177688016555501"/>
    <s v="(22) 99820-7739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49:27"/>
    <s v="3003 - FirjanAtivo"/>
    <s v="---"/>
    <n v="309"/>
    <n v="28804490000106"/>
    <n v="309"/>
    <n v="177688016755521"/>
    <s v="(24) 99257-7591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49:29"/>
    <s v="3003 - FirjanAtivo"/>
    <s v="---"/>
    <n v="310"/>
    <n v="28818441000114"/>
    <n v="310"/>
    <n v="177688016955541"/>
    <s v="(21) 98151-1929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49:31"/>
    <s v="3003 - FirjanAtivo"/>
    <s v="---"/>
    <n v="311"/>
    <n v="28839589000135"/>
    <n v="311"/>
    <n v="177688017155551"/>
    <s v="(21) 98152-377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33"/>
    <s v="3003 - FirjanAtivo"/>
    <s v="---"/>
    <n v="312"/>
    <n v="28886281000140"/>
    <n v="312"/>
    <n v="177688017355581"/>
    <s v="(22) 99953-802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33"/>
    <s v="3003 - FirjanAtivo"/>
    <s v="---"/>
    <n v="313"/>
    <n v="28889028000140"/>
    <n v="313"/>
    <n v="177688017355591"/>
    <s v="(21) 98157-428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33"/>
    <s v="3003 - FirjanAtivo"/>
    <s v="---"/>
    <n v="314"/>
    <n v="29203700000165"/>
    <n v="314"/>
    <n v="177688017355601"/>
    <s v="(21) 99808-47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33"/>
    <s v="3003 - FirjanAtivo"/>
    <s v="---"/>
    <n v="315"/>
    <n v="29230335000188"/>
    <n v="315"/>
    <n v="177688017355611"/>
    <s v="(21) 97123-214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33"/>
    <s v="3003 - FirjanAtivo"/>
    <s v="---"/>
    <n v="318"/>
    <n v="29313890000173"/>
    <n v="318"/>
    <n v="177688017355621"/>
    <s v="(55) 21989-9831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4:49:33"/>
    <s v="3003 - FirjanAtivo"/>
    <s v="---"/>
    <n v="320"/>
    <n v="29348695000189"/>
    <n v="320"/>
    <n v="177688017355631"/>
    <s v="(21) 99986-9382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9:33"/>
    <s v="3003 - FirjanAtivo"/>
    <s v="---"/>
    <n v="322"/>
    <n v="29549276000105"/>
    <n v="322"/>
    <n v="177688017355641"/>
    <s v="(21) 99800-9367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9:33"/>
    <s v="3003 - FirjanAtivo"/>
    <s v="---"/>
    <n v="323"/>
    <n v="29627007000110"/>
    <n v="323"/>
    <n v="177688017355651"/>
    <s v="(22) 99924-2133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9:33"/>
    <s v="3003 - FirjanAtivo"/>
    <s v="---"/>
    <n v="325"/>
    <n v="29654365000111"/>
    <n v="325"/>
    <n v="177688017355661"/>
    <s v="(21) 96411-3002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9:34"/>
    <s v="3003 - FirjanAtivo"/>
    <s v="---"/>
    <n v="326"/>
    <n v="29688710000138"/>
    <n v="326"/>
    <n v="177688017455671"/>
    <s v="(22) 99844-323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34"/>
    <s v="3003 - FirjanAtivo"/>
    <s v="---"/>
    <n v="327"/>
    <n v="29732268000108"/>
    <n v="327"/>
    <n v="177688017455681"/>
    <s v="(22) 98141-8451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49:34"/>
    <s v="3003 - FirjanAtivo"/>
    <s v="---"/>
    <n v="328"/>
    <n v="29762098000104"/>
    <n v="328"/>
    <n v="177688017455691"/>
    <s v="(24) 99284-4720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49:35"/>
    <s v="3003 - FirjanAtivo"/>
    <s v="---"/>
    <n v="329"/>
    <n v="29763215000146"/>
    <n v="329"/>
    <n v="177688017555711"/>
    <s v="(21) 97956-0542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49:37"/>
    <s v="3003 - FirjanAtivo"/>
    <s v="---"/>
    <n v="330"/>
    <n v="29804549000110"/>
    <n v="330"/>
    <n v="177688017755741"/>
    <s v="(24) 99263-77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39"/>
    <s v="3003 - FirjanAtivo"/>
    <s v="---"/>
    <n v="331"/>
    <n v="29971512000187"/>
    <n v="331"/>
    <n v="177688017955781"/>
    <s v="(21) 98400-59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41"/>
    <s v="3003 - FirjanAtivo"/>
    <s v="---"/>
    <n v="332"/>
    <n v="29976990000180"/>
    <n v="332"/>
    <n v="177688018155791"/>
    <s v="(21) 99211-2683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49:43"/>
    <s v="3003 - FirjanAtivo"/>
    <s v="---"/>
    <n v="333"/>
    <n v="30116263000121"/>
    <n v="333"/>
    <n v="177688018355841"/>
    <s v="(21) 99191-084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49:45"/>
    <s v="3003 - FirjanAtivo"/>
    <s v="---"/>
    <n v="334"/>
    <n v="30162531000141"/>
    <n v="334"/>
    <n v="177688018555881"/>
    <s v="(21) 99362-968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47"/>
    <s v="3003 - FirjanAtivo"/>
    <s v="---"/>
    <n v="335"/>
    <n v="30165203000107"/>
    <n v="335"/>
    <n v="177688018755901"/>
    <s v="(24) 98802-434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49"/>
    <s v="3003 - FirjanAtivo"/>
    <s v="---"/>
    <n v="336"/>
    <n v="30168759000149"/>
    <n v="336"/>
    <n v="177688018955941"/>
    <s v="(24) 99713-0782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4:49:49"/>
    <s v="3003 - FirjanAtivo"/>
    <s v="---"/>
    <n v="337"/>
    <n v="30182814000155"/>
    <n v="337"/>
    <n v="177688018955961"/>
    <s v="(21) 97256-670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49"/>
    <s v="3003 - FirjanAtivo"/>
    <s v="---"/>
    <n v="338"/>
    <n v="30220686000197"/>
    <n v="338"/>
    <n v="177688018955971"/>
    <s v="(22) 98831-34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49"/>
    <s v="3003 - FirjanAtivo"/>
    <s v="6044-Roseli Honorato Dos Santos"/>
    <n v="339"/>
    <n v="30287967000167"/>
    <n v="339"/>
    <n v="177688018955981"/>
    <s v="(21) 99888-3881"/>
    <n v="3003"/>
    <s v="Discador"/>
    <s v="Atendido"/>
    <s v="Enviar E-mail"/>
    <s v="BPATIVO22042026"/>
    <s v="Cliente"/>
    <n v="16"/>
    <m/>
    <m/>
    <d v="1899-12-30T00:02:54"/>
    <d v="1899-12-30T00:02:49"/>
    <n v="1"/>
    <x v="1"/>
  </r>
  <r>
    <d v="2026-04-22T14:49:50"/>
    <s v="3003 - FirjanAtivo"/>
    <s v="---"/>
    <n v="340"/>
    <n v="30301105000141"/>
    <n v="340"/>
    <n v="177688019055991"/>
    <s v="(21) 96805-465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50"/>
    <s v="3003 - FirjanAtivo"/>
    <s v="---"/>
    <n v="341"/>
    <n v="30410728000152"/>
    <n v="341"/>
    <n v="177688019056001"/>
    <s v="(22) 99833-43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52"/>
    <s v="3003 - FirjanAtivo"/>
    <s v="---"/>
    <n v="342"/>
    <n v="30540991000166"/>
    <n v="342"/>
    <n v="177688019256021"/>
    <s v="(22) 99277-290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53"/>
    <s v="3003 - FirjanAtivo"/>
    <s v="---"/>
    <n v="343"/>
    <n v="30546429000140"/>
    <n v="343"/>
    <n v="177688019356031"/>
    <s v="(21) 98109-83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54"/>
    <s v="3003 - FirjanAtivo"/>
    <s v="---"/>
    <n v="344"/>
    <n v="30548467000131"/>
    <n v="344"/>
    <n v="177688019456061"/>
    <s v="(55) 21982-826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4:49:54"/>
    <s v="3003 - FirjanAtivo"/>
    <s v="---"/>
    <n v="345"/>
    <n v="30603615000173"/>
    <n v="345"/>
    <n v="177688019456121"/>
    <s v="(21) 96635-623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49:56"/>
    <s v="3003 - FirjanAtivo"/>
    <s v="---"/>
    <n v="346"/>
    <n v="30704910000116"/>
    <n v="346"/>
    <n v="177688019656151"/>
    <s v="(21) 98331-790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0:22"/>
    <s v="3003 - FirjanAtivo"/>
    <s v="---"/>
    <n v="347"/>
    <n v="30780625000184"/>
    <n v="347"/>
    <n v="177688022256361"/>
    <s v="(21) 99245-6513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50:23"/>
    <s v="3003 - FirjanAtivo"/>
    <s v="---"/>
    <n v="348"/>
    <n v="30828743000115"/>
    <n v="348"/>
    <n v="177688022356391"/>
    <s v="(21) 99880-596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0:23"/>
    <s v="3003 - FirjanAtivo"/>
    <s v="---"/>
    <n v="349"/>
    <n v="30905379000140"/>
    <n v="349"/>
    <n v="177688022356401"/>
    <s v="(24) 98881-171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0:24"/>
    <s v="3003 - FirjanAtivo"/>
    <s v="---"/>
    <n v="350"/>
    <n v="31084270000151"/>
    <n v="350"/>
    <n v="177688022456451"/>
    <s v="(21) 97046-396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0:25"/>
    <s v="3003 - FirjanAtivo"/>
    <s v="---"/>
    <n v="351"/>
    <n v="31086168000195"/>
    <n v="351"/>
    <n v="177688022556481"/>
    <s v="(22) 99493-516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4:50:26"/>
    <s v="3003 - FirjanAtivo"/>
    <s v="---"/>
    <n v="352"/>
    <n v="31131246000126"/>
    <n v="352"/>
    <n v="177688022656491"/>
    <s v="(24) 98846-451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0:32"/>
    <s v="3003 - FirjanAtivo"/>
    <s v="---"/>
    <n v="353"/>
    <n v="31131998000197"/>
    <n v="353"/>
    <n v="177688023256571"/>
    <s v="(21) 99911-891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0:34"/>
    <s v="3003 - FirjanAtivo"/>
    <s v="---"/>
    <n v="354"/>
    <n v="31142292000120"/>
    <n v="354"/>
    <n v="177688023456591"/>
    <s v="(21) 99678-28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0:35"/>
    <s v="3003 - FirjanAtivo"/>
    <s v="---"/>
    <n v="355"/>
    <n v="31142572000139"/>
    <n v="355"/>
    <n v="177688023556631"/>
    <s v="(21) 99851-082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0:35"/>
    <s v="3003 - FirjanAtivo"/>
    <s v="---"/>
    <n v="356"/>
    <n v="31301737000178"/>
    <n v="356"/>
    <n v="177688023556641"/>
    <s v="(21) 98133-471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0:37"/>
    <s v="3003 - FirjanAtivo"/>
    <s v="---"/>
    <n v="357"/>
    <n v="31307787000162"/>
    <n v="357"/>
    <n v="177688023756661"/>
    <s v="(22) 99981-313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0:39"/>
    <s v="3003 - FirjanAtivo"/>
    <s v="---"/>
    <n v="358"/>
    <n v="31396511000106"/>
    <n v="358"/>
    <n v="177688023956681"/>
    <s v="(21) 98149-983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0:41"/>
    <s v="3003 - FirjanAtivo"/>
    <s v="---"/>
    <n v="359"/>
    <n v="31441165000122"/>
    <n v="359"/>
    <n v="177688024156731"/>
    <s v="(22) 99231-836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0:44"/>
    <s v="3003 - FirjanAtivo"/>
    <s v="---"/>
    <n v="361"/>
    <n v="31591969000108"/>
    <n v="361"/>
    <n v="177688024456761"/>
    <s v="(21) 97597-8168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50:45"/>
    <s v="3003 - FirjanAtivo"/>
    <s v="---"/>
    <n v="362"/>
    <n v="31627306000104"/>
    <n v="362"/>
    <n v="177688024556781"/>
    <s v="(22) 99758-98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0:45"/>
    <s v="3003 - FirjanAtivo"/>
    <s v="6052-Marcia Lima Peixoto"/>
    <n v="363"/>
    <n v="31650389000144"/>
    <n v="363"/>
    <n v="177688024556791"/>
    <s v="(21) 96786-0282"/>
    <n v="3003"/>
    <s v="Discador"/>
    <s v="Atendido"/>
    <s v="Enviar E-mail"/>
    <s v="BPATIVO22042026"/>
    <s v="Cliente"/>
    <n v="16"/>
    <m/>
    <m/>
    <d v="1899-12-30T00:03:49"/>
    <d v="1899-12-30T00:03:44"/>
    <n v="1"/>
    <x v="1"/>
  </r>
  <r>
    <d v="2026-04-22T14:50:48"/>
    <s v="3003 - FirjanAtivo"/>
    <s v="---"/>
    <n v="364"/>
    <n v="31669377000161"/>
    <n v="364"/>
    <n v="177688024856881"/>
    <s v="(55) 21268-769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4:50:49"/>
    <s v="3003 - FirjanAtivo"/>
    <s v="---"/>
    <n v="365"/>
    <n v="31865488000143"/>
    <n v="365"/>
    <n v="177688024956911"/>
    <s v="(21) 99959-656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0:50"/>
    <s v="3003 - FirjanAtivo"/>
    <s v="---"/>
    <n v="366"/>
    <n v="31967201000196"/>
    <n v="366"/>
    <n v="177688025056931"/>
    <s v="(24) 98142-53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0:54"/>
    <s v="3003 - FirjanAtivo"/>
    <s v="---"/>
    <n v="367"/>
    <n v="31969017000185"/>
    <n v="367"/>
    <n v="177688025456971"/>
    <s v="(24) 99983-297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0:55"/>
    <s v="3003 - FirjanAtivo"/>
    <s v="---"/>
    <n v="369"/>
    <n v="32121837000185"/>
    <n v="369"/>
    <n v="177688025557001"/>
    <s v="(21) 97972-1348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50:55"/>
    <s v="3003 - FirjanAtivo"/>
    <s v="---"/>
    <n v="370"/>
    <n v="32256448000167"/>
    <n v="370"/>
    <n v="177688025557011"/>
    <s v="(21) 96756-026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0:57"/>
    <s v="3003 - FirjanAtivo"/>
    <s v="---"/>
    <n v="371"/>
    <n v="32258196000105"/>
    <n v="371"/>
    <n v="177688025757031"/>
    <s v="(21) 99443-7171"/>
    <n v="3003"/>
    <s v="Discador"/>
    <s v="Atendido"/>
    <s v="Fora de Area / Cx de Mensagens"/>
    <s v="BPATIVO22042026"/>
    <s v="Cliente"/>
    <n v="131"/>
    <m/>
    <m/>
    <d v="1899-12-30T00:00:09"/>
    <s v="---"/>
    <s v=""/>
    <x v="1"/>
  </r>
  <r>
    <d v="2026-04-22T14:51:00"/>
    <s v="3003 - FirjanAtivo"/>
    <s v="---"/>
    <n v="372"/>
    <n v="32303404000140"/>
    <n v="372"/>
    <n v="177688026057051"/>
    <s v="(21) 99685-444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1:04"/>
    <s v="3003 - FirjanAtivo"/>
    <s v="---"/>
    <n v="373"/>
    <n v="32333337000107"/>
    <n v="373"/>
    <n v="177688026457081"/>
    <s v="(22) 99983-140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1:04"/>
    <s v="3003 - FirjanAtivo"/>
    <s v="---"/>
    <n v="374"/>
    <n v="32514234000143"/>
    <n v="374"/>
    <n v="177688026457091"/>
    <s v="(24) 98806-6006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51:06"/>
    <s v="3003 - FirjanAtivo"/>
    <s v="---"/>
    <n v="375"/>
    <n v="32579807000117"/>
    <n v="375"/>
    <n v="177688026657121"/>
    <s v="(22) 99978-138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1:07"/>
    <s v="3003 - FirjanAtivo"/>
    <s v="---"/>
    <n v="376"/>
    <n v="32599342000166"/>
    <n v="376"/>
    <n v="177688026757141"/>
    <s v="(22) 99989-2597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51:09"/>
    <s v="3003 - FirjanAtivo"/>
    <s v="---"/>
    <n v="377"/>
    <n v="32956821000192"/>
    <n v="377"/>
    <n v="177688026957161"/>
    <s v="(24) 99216-77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1:12"/>
    <s v="3003 - FirjanAtivo"/>
    <s v="---"/>
    <n v="378"/>
    <n v="32968396000151"/>
    <n v="378"/>
    <n v="177688027257181"/>
    <s v="(21) 98323-903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1:18"/>
    <s v="3003 - FirjanAtivo"/>
    <s v="6044-Roseli Honorato Dos Santos"/>
    <n v="379"/>
    <n v="33045782000134"/>
    <n v="379"/>
    <n v="177688027857211"/>
    <s v="(21) 98864-2505"/>
    <n v="3003"/>
    <s v="Discador"/>
    <s v="Atendido"/>
    <s v="Fora de Area / Cx de Mensagens"/>
    <s v="BPATIVO22042026"/>
    <s v="Cliente"/>
    <n v="16"/>
    <m/>
    <m/>
    <d v="1899-12-30T00:02:13"/>
    <d v="1899-12-30T00:00:31"/>
    <s v=""/>
    <x v="1"/>
  </r>
  <r>
    <d v="2026-04-22T14:51:19"/>
    <s v="3003 - FirjanAtivo"/>
    <s v="---"/>
    <n v="380"/>
    <n v="33117243000163"/>
    <n v="380"/>
    <n v="177688027957221"/>
    <s v="(21) 99220-828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1:22"/>
    <s v="3003 - FirjanAtivo"/>
    <s v="---"/>
    <n v="381"/>
    <n v="33208034000125"/>
    <n v="381"/>
    <n v="177688028257241"/>
    <s v="(21) 98834-26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1:24"/>
    <s v="3003 - FirjanAtivo"/>
    <s v="---"/>
    <n v="382"/>
    <n v="33208174000101"/>
    <n v="382"/>
    <n v="177688028457261"/>
    <s v="(21) 98584-82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1:27"/>
    <s v="3003 - FirjanAtivo"/>
    <s v="---"/>
    <n v="383"/>
    <n v="33242199000113"/>
    <n v="383"/>
    <n v="177688028757281"/>
    <s v="(21) 98757-201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1:29"/>
    <s v="3003 - FirjanAtivo"/>
    <s v="---"/>
    <n v="384"/>
    <n v="33262916000179"/>
    <n v="384"/>
    <n v="177688028957301"/>
    <s v="(21) 96477-27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1:39"/>
    <s v="3003 - FirjanAtivo"/>
    <s v="---"/>
    <n v="385"/>
    <n v="33472846000183"/>
    <n v="385"/>
    <n v="177688029957321"/>
    <s v="(21) 96547-3391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51:41"/>
    <s v="3003 - FirjanAtivo"/>
    <s v="---"/>
    <n v="386"/>
    <n v="33524117000123"/>
    <n v="386"/>
    <n v="177688030157381"/>
    <s v="(21) 99769-9629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51:50"/>
    <s v="3003 - FirjanAtivo"/>
    <s v="---"/>
    <n v="387"/>
    <n v="33524950000174"/>
    <n v="387"/>
    <n v="177688031057401"/>
    <s v="(21) 99311-420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1:57"/>
    <s v="3003 - FirjanAtivo"/>
    <s v="---"/>
    <n v="388"/>
    <n v="33833660000102"/>
    <n v="388"/>
    <n v="177688031757421"/>
    <s v="(22) 99760-70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2:02"/>
    <s v="3003 - FirjanAtivo"/>
    <s v="---"/>
    <n v="389"/>
    <n v="33863778000183"/>
    <n v="389"/>
    <n v="177688032257451"/>
    <s v="(21) 99182-492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2:04"/>
    <s v="3003 - FirjanAtivo"/>
    <s v="---"/>
    <n v="390"/>
    <n v="33880863000150"/>
    <n v="390"/>
    <n v="177688032457491"/>
    <s v="(21) 99540-3710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52:06"/>
    <s v="3003 - FirjanAtivo"/>
    <s v="---"/>
    <n v="391"/>
    <n v="33889341000119"/>
    <n v="391"/>
    <n v="177688032657541"/>
    <s v="(21) 99493-843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2:19"/>
    <s v="3003 - FirjanAtivo"/>
    <s v="---"/>
    <n v="392"/>
    <n v="33979964000182"/>
    <n v="392"/>
    <n v="177688033957561"/>
    <s v="(21) 99944-830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2:24"/>
    <s v="3003 - FirjanAtivo"/>
    <s v="---"/>
    <n v="393"/>
    <n v="34005108000199"/>
    <n v="393"/>
    <n v="177688034457581"/>
    <s v="(21) 99948-26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2:26"/>
    <s v="3003 - FirjanAtivo"/>
    <s v="---"/>
    <n v="394"/>
    <n v="34050567000194"/>
    <n v="394"/>
    <n v="177688034657591"/>
    <s v="(21) 99977-18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2:29"/>
    <s v="3003 - FirjanAtivo"/>
    <s v="---"/>
    <n v="395"/>
    <n v="34058701000101"/>
    <n v="395"/>
    <n v="177688034957611"/>
    <s v="(21) 99338-911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52:40"/>
    <s v="3003 - FirjanAtivo"/>
    <s v="---"/>
    <n v="396"/>
    <n v="34413663000150"/>
    <n v="396"/>
    <n v="177688036057631"/>
    <s v="(22) 99741-120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2:43"/>
    <s v="3003 - FirjanAtivo"/>
    <s v="---"/>
    <n v="397"/>
    <n v="34484975000154"/>
    <n v="397"/>
    <n v="177688036357651"/>
    <s v="(21) 99816-040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2:47"/>
    <s v="3003 - FirjanAtivo"/>
    <s v="---"/>
    <n v="398"/>
    <n v="34851161000100"/>
    <n v="398"/>
    <n v="177688036757671"/>
    <s v="(24) 99997-5044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52:52"/>
    <s v="3003 - FirjanAtivo"/>
    <s v="---"/>
    <n v="399"/>
    <n v="34978275000116"/>
    <n v="399"/>
    <n v="177688037257701"/>
    <s v="(21) 99557-621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2:54"/>
    <s v="3003 - FirjanAtivo"/>
    <s v="---"/>
    <n v="400"/>
    <n v="35055430000195"/>
    <n v="400"/>
    <n v="177688037457721"/>
    <s v="(24) 99833-182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2:56"/>
    <s v="3003 - FirjanAtivo"/>
    <s v="---"/>
    <n v="402"/>
    <n v="35700816000102"/>
    <n v="402"/>
    <n v="177688037657731"/>
    <s v="(22) 99257-0909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53:03"/>
    <s v="3003 - FirjanAtivo"/>
    <s v="---"/>
    <n v="403"/>
    <n v="35765734000146"/>
    <n v="403"/>
    <n v="177688038357751"/>
    <s v="(21) 98897-01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3:10"/>
    <s v="3003 - FirjanAtivo"/>
    <s v="---"/>
    <n v="404"/>
    <n v="35872118000194"/>
    <n v="404"/>
    <n v="177688039057781"/>
    <s v="(24) 97404-145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3:12"/>
    <s v="3003 - FirjanAtivo"/>
    <s v="---"/>
    <n v="405"/>
    <n v="35981385000108"/>
    <n v="405"/>
    <n v="177688039257801"/>
    <s v="(22) 99946-826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3:13"/>
    <s v="3003 - FirjanAtivo"/>
    <s v="---"/>
    <n v="406"/>
    <n v="35982209000182"/>
    <n v="406"/>
    <n v="177688039357811"/>
    <s v="(21) 97014-642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3:16"/>
    <s v="3003 - FirjanAtivo"/>
    <s v="---"/>
    <n v="408"/>
    <n v="36085439000101"/>
    <n v="408"/>
    <n v="177688039657831"/>
    <s v="(21) 96900-7409"/>
    <n v="3003"/>
    <s v="Discador"/>
    <s v="Atendido"/>
    <s v="Fora de Area / Cx de Mensagens"/>
    <s v="BPATIVO22042026"/>
    <s v="Cliente"/>
    <n v="131"/>
    <m/>
    <m/>
    <d v="1899-12-30T00:00:01"/>
    <s v="---"/>
    <s v=""/>
    <x v="1"/>
  </r>
  <r>
    <d v="2026-04-22T14:53:20"/>
    <s v="3003 - FirjanAtivo"/>
    <s v="---"/>
    <n v="409"/>
    <n v="36158632000125"/>
    <n v="409"/>
    <n v="177688040057851"/>
    <s v="(21) 99461-8114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53:23"/>
    <s v="3003 - FirjanAtivo"/>
    <s v="---"/>
    <n v="410"/>
    <n v="36204923000102"/>
    <n v="410"/>
    <n v="177688040357871"/>
    <s v="(22) 99833-32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3:30"/>
    <s v="3003 - FirjanAtivo"/>
    <s v="---"/>
    <n v="411"/>
    <n v="36264719000187"/>
    <n v="411"/>
    <n v="177688041057891"/>
    <s v="(24) 98103-475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3:31"/>
    <s v="3003 - FirjanAtivo"/>
    <s v="---"/>
    <n v="414"/>
    <n v="36481984000117"/>
    <n v="414"/>
    <n v="177688041157911"/>
    <s v="(22) 98120-2194"/>
    <n v="3003"/>
    <s v="Discador"/>
    <s v="Atendido"/>
    <s v="Fora de Area / Cx de Mensagens"/>
    <s v="BPATIVO22042026"/>
    <s v="--"/>
    <n v="128"/>
    <m/>
    <m/>
    <d v="1899-12-30T00:00:04"/>
    <s v="---"/>
    <s v=""/>
    <x v="1"/>
  </r>
  <r>
    <d v="2026-04-22T14:53:37"/>
    <s v="3003 - FirjanAtivo"/>
    <s v="---"/>
    <n v="415"/>
    <n v="36509446000193"/>
    <n v="415"/>
    <n v="177688041757931"/>
    <s v="(24) 99239-599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3:39"/>
    <s v="3003 - FirjanAtivo"/>
    <s v="---"/>
    <n v="416"/>
    <n v="36541506000155"/>
    <n v="416"/>
    <n v="177688041957951"/>
    <s v="(67) 09157-8769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4:53:39"/>
    <s v="3003 - FirjanAtivo"/>
    <s v="---"/>
    <n v="417"/>
    <n v="36565794000188"/>
    <n v="417"/>
    <n v="177688041957961"/>
    <s v="(22) 99955-773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3:43"/>
    <s v="3003 - FirjanAtivo"/>
    <s v="---"/>
    <n v="418"/>
    <n v="36567717000167"/>
    <n v="418"/>
    <n v="177688042357981"/>
    <s v="(22) 98132-465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3:46"/>
    <s v="3003 - FirjanAtivo"/>
    <s v="---"/>
    <n v="419"/>
    <n v="36572501000190"/>
    <n v="419"/>
    <n v="177688042657991"/>
    <s v="(22) 99982-775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3:49"/>
    <s v="3003 - FirjanAtivo"/>
    <s v="---"/>
    <n v="420"/>
    <n v="36936004000123"/>
    <n v="420"/>
    <n v="177688042958011"/>
    <s v="(21) 96409-893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3:51"/>
    <s v="3003 - FirjanAtivo"/>
    <s v="---"/>
    <n v="421"/>
    <n v="37285492000119"/>
    <n v="421"/>
    <n v="177688043158031"/>
    <s v="(24) 98114-157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4:00"/>
    <s v="3003 - FirjanAtivo"/>
    <s v="---"/>
    <n v="422"/>
    <n v="37407191000110"/>
    <n v="422"/>
    <n v="177688044058051"/>
    <s v="(24) 98126-2199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54:05"/>
    <s v="3003 - FirjanAtivo"/>
    <s v="---"/>
    <n v="424"/>
    <n v="37676685000109"/>
    <n v="424"/>
    <n v="177688044558071"/>
    <s v="(21) 96433-646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4:09"/>
    <s v="3003 - FirjanAtivo"/>
    <s v="---"/>
    <n v="425"/>
    <n v="37785014000178"/>
    <n v="425"/>
    <n v="177688044958091"/>
    <s v="(21) 96945-247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4:16"/>
    <s v="3003 - FirjanAtivo"/>
    <s v="---"/>
    <n v="426"/>
    <n v="37961934000108"/>
    <n v="426"/>
    <n v="177688045658111"/>
    <s v="(21) 99985-210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4:24"/>
    <s v="3003 - FirjanAtivo"/>
    <s v="---"/>
    <n v="427"/>
    <n v="38253250000106"/>
    <n v="427"/>
    <n v="177688046458141"/>
    <s v="(21) 96433-009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4:24"/>
    <s v="3003 - FirjanAtivo"/>
    <s v="---"/>
    <n v="428"/>
    <n v="38327906000198"/>
    <n v="428"/>
    <n v="177688046458151"/>
    <s v="(22) 99999-703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4:26"/>
    <s v="3003 - FirjanAtivo"/>
    <s v="---"/>
    <n v="429"/>
    <n v="38456890000113"/>
    <n v="429"/>
    <n v="177688046658171"/>
    <s v="(21) 97013-116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4:34"/>
    <s v="3003 - FirjanAtivo"/>
    <s v="---"/>
    <n v="430"/>
    <n v="39210513000162"/>
    <n v="430"/>
    <n v="177688047458191"/>
    <s v="(24) 99309-794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4:38"/>
    <s v="3003 - FirjanAtivo"/>
    <s v="---"/>
    <n v="431"/>
    <n v="39214150000133"/>
    <n v="431"/>
    <n v="177688047858211"/>
    <s v="(22) 99930-7567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4:54:40"/>
    <s v="3003 - FirjanAtivo"/>
    <s v="---"/>
    <n v="433"/>
    <n v="39220751000159"/>
    <n v="433"/>
    <n v="177688048058231"/>
    <s v="(22) 98132-465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4:43"/>
    <s v="3003 - FirjanAtivo"/>
    <s v="---"/>
    <n v="434"/>
    <n v="39227830000191"/>
    <n v="434"/>
    <n v="177688048358251"/>
    <s v="(22) 99704-98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4:45"/>
    <s v="3003 - FirjanAtivo"/>
    <s v="---"/>
    <n v="435"/>
    <n v="39468257000108"/>
    <n v="435"/>
    <n v="177688048558271"/>
    <s v="(71) 98143-5224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54:49"/>
    <s v="3003 - FirjanAtivo"/>
    <s v="---"/>
    <n v="436"/>
    <n v="39556402000102"/>
    <n v="436"/>
    <n v="177688048958291"/>
    <s v="(24) 97401-715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4:50"/>
    <s v="3003 - FirjanAtivo"/>
    <s v="---"/>
    <n v="437"/>
    <n v="39596079000109"/>
    <n v="437"/>
    <n v="177688049058301"/>
    <s v="(24) 98855-736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4:52"/>
    <s v="3003 - FirjanAtivo"/>
    <s v="---"/>
    <n v="438"/>
    <n v="39929832000122"/>
    <n v="438"/>
    <n v="177688049258321"/>
    <s v="(24) 99825-19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4:55"/>
    <s v="3003 - FirjanAtivo"/>
    <s v="---"/>
    <n v="439"/>
    <n v="39935945000130"/>
    <n v="439"/>
    <n v="177688049558341"/>
    <s v="(21) 99856-36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4:58"/>
    <s v="3003 - FirjanAtivo"/>
    <s v="---"/>
    <n v="440"/>
    <n v="40019453000184"/>
    <n v="440"/>
    <n v="177688049858361"/>
    <s v="(22) 98171-008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5:02"/>
    <s v="3003 - FirjanAtivo"/>
    <s v="---"/>
    <n v="441"/>
    <n v="40127921000134"/>
    <n v="441"/>
    <n v="177688050258381"/>
    <s v="(22) 98802-7200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55:06"/>
    <s v="3003 - FirjanAtivo"/>
    <s v="---"/>
    <n v="442"/>
    <n v="40144814000114"/>
    <n v="442"/>
    <n v="177688050658401"/>
    <s v="(21) 96913-158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5:09"/>
    <s v="3003 - FirjanAtivo"/>
    <s v="---"/>
    <n v="443"/>
    <n v="40159980000194"/>
    <n v="443"/>
    <n v="177688050958421"/>
    <s v="(21) 98181-263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5:10"/>
    <s v="3003 - FirjanAtivo"/>
    <s v="6052-Marcia Lima Peixoto"/>
    <n v="444"/>
    <n v="40205254000160"/>
    <n v="444"/>
    <n v="177688051058441"/>
    <s v="(21) 96902-0033"/>
    <n v="3003"/>
    <s v="Discador"/>
    <s v="Atendido"/>
    <s v="Enviar E-mail"/>
    <s v="BPATIVO22042026"/>
    <s v="Cliente"/>
    <n v="16"/>
    <m/>
    <m/>
    <d v="1899-12-30T00:03:56"/>
    <d v="1899-12-30T00:03:52"/>
    <n v="1"/>
    <x v="1"/>
  </r>
  <r>
    <d v="2026-04-22T14:55:14"/>
    <s v="3003 - FirjanAtivo"/>
    <s v="---"/>
    <n v="445"/>
    <n v="40205791000100"/>
    <n v="445"/>
    <n v="177688051458461"/>
    <s v="(21) 96438-4570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55:16"/>
    <s v="3003 - FirjanAtivo"/>
    <s v="---"/>
    <n v="446"/>
    <n v="40217278000130"/>
    <n v="446"/>
    <n v="177688051658481"/>
    <s v="(22) 99893-383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5:24"/>
    <s v="3003 - FirjanAtivo"/>
    <s v="---"/>
    <n v="447"/>
    <n v="40290991000109"/>
    <n v="447"/>
    <n v="177688052458521"/>
    <s v="(22) 99525-5637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4:55:24"/>
    <s v="3003 - FirjanAtivo"/>
    <s v="---"/>
    <n v="448"/>
    <n v="40503929000158"/>
    <n v="448"/>
    <n v="177688052458531"/>
    <s v="(21) 98396-4245"/>
    <n v="3003"/>
    <s v="Discador"/>
    <s v="Atendido"/>
    <s v="Fora de Area / Cx de Mensagens"/>
    <s v="BPATIVO22042026"/>
    <s v="Cliente"/>
    <n v="131"/>
    <m/>
    <m/>
    <d v="1899-12-30T00:00:08"/>
    <s v="---"/>
    <s v=""/>
    <x v="1"/>
  </r>
  <r>
    <d v="2026-04-22T14:55:25"/>
    <s v="3003 - FirjanAtivo"/>
    <s v="---"/>
    <n v="449"/>
    <n v="40687859000135"/>
    <n v="449"/>
    <n v="177688052558541"/>
    <s v="(21) 98780-000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5:26"/>
    <s v="3003 - FirjanAtivo"/>
    <s v="---"/>
    <n v="450"/>
    <n v="40696152000195"/>
    <n v="450"/>
    <n v="177688052658561"/>
    <s v="(22) 99787-8564"/>
    <n v="3003"/>
    <s v="Discador"/>
    <s v="Atendido"/>
    <s v="Fora de Area / Cx de Mensagens"/>
    <s v="BPATIVO22042026"/>
    <s v="--"/>
    <n v="147"/>
    <m/>
    <m/>
    <d v="1899-12-30T00:00:06"/>
    <s v="---"/>
    <s v=""/>
    <x v="1"/>
  </r>
  <r>
    <d v="2026-04-22T14:55:27"/>
    <s v="3003 - FirjanAtivo"/>
    <s v="---"/>
    <n v="451"/>
    <n v="40713777000118"/>
    <n v="451"/>
    <n v="177688052758571"/>
    <s v="(24) 98867-79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5:40"/>
    <s v="3003 - FirjanAtivo"/>
    <s v="---"/>
    <n v="452"/>
    <n v="40904952000154"/>
    <n v="452"/>
    <n v="177688054058591"/>
    <s v="(21) 99987-235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5:40"/>
    <s v="3003 - FirjanAtivo"/>
    <s v="---"/>
    <n v="453"/>
    <n v="41284144000102"/>
    <n v="453"/>
    <n v="177688054058611"/>
    <s v="(21) 96556-21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5:48"/>
    <s v="3003 - FirjanAtivo"/>
    <s v="---"/>
    <n v="454"/>
    <n v="41433088000112"/>
    <n v="454"/>
    <n v="177688054858641"/>
    <s v="(22) 99243-97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5:50"/>
    <s v="3003 - FirjanAtivo"/>
    <s v="---"/>
    <n v="455"/>
    <n v="41601367000148"/>
    <n v="455"/>
    <n v="177688055058661"/>
    <s v="(22) 99841-478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5:52"/>
    <s v="3003 - FirjanAtivo"/>
    <s v="---"/>
    <n v="456"/>
    <n v="41907234000102"/>
    <n v="456"/>
    <n v="177688055258681"/>
    <s v="(22) 99225-940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6:08"/>
    <s v="3003 - FirjanAtivo"/>
    <s v="---"/>
    <n v="457"/>
    <n v="42081946000170"/>
    <n v="457"/>
    <n v="177688056858701"/>
    <s v="(21) 96410-86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6:10"/>
    <s v="3003 - FirjanAtivo"/>
    <s v="---"/>
    <n v="458"/>
    <n v="42427558000106"/>
    <n v="458"/>
    <n v="177688057058721"/>
    <s v="(21) 99598-64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6:13"/>
    <s v="3003 - FirjanAtivo"/>
    <s v="---"/>
    <n v="459"/>
    <n v="42430090000109"/>
    <n v="459"/>
    <n v="177688057358741"/>
    <s v="(21) 19982-2154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4:56:13"/>
    <s v="3003 - FirjanAtivo"/>
    <s v="---"/>
    <n v="460"/>
    <n v="42497263000106"/>
    <n v="460"/>
    <n v="177688057358761"/>
    <s v="(21) 96448-0102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56:13"/>
    <s v="3003 - FirjanAtivo"/>
    <s v="---"/>
    <n v="461"/>
    <n v="42558791000110"/>
    <n v="461"/>
    <n v="177688057358771"/>
    <s v="(21) 97637-8052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56:15"/>
    <s v="3003 - FirjanAtivo"/>
    <s v="---"/>
    <n v="462"/>
    <n v="42564351000175"/>
    <n v="462"/>
    <n v="177688057558791"/>
    <s v="(21) 98840-487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56:18"/>
    <s v="3003 - FirjanAtivo"/>
    <s v="---"/>
    <n v="463"/>
    <n v="42764642000107"/>
    <n v="463"/>
    <n v="177688057858811"/>
    <s v="(21) 97295-307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6:19"/>
    <s v="3003 - FirjanAtivo"/>
    <s v="---"/>
    <n v="464"/>
    <n v="42834744000151"/>
    <n v="464"/>
    <n v="177688057958831"/>
    <s v="(21) 99654-9088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56:23"/>
    <s v="3003 - FirjanAtivo"/>
    <s v="---"/>
    <n v="465"/>
    <n v="42895602000102"/>
    <n v="465"/>
    <n v="177688058358851"/>
    <s v="(22) 99831-539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6:25"/>
    <s v="3003 - FirjanAtivo"/>
    <s v="6044-Roseli Honorato Dos Santos"/>
    <n v="466"/>
    <n v="42946445000109"/>
    <n v="466"/>
    <n v="177688058558871"/>
    <s v="(21) 98517-4497"/>
    <n v="3003"/>
    <s v="Discador"/>
    <s v="Atendido"/>
    <s v="Contato Indisponível"/>
    <s v="BPATIVO22042026"/>
    <s v="Cliente"/>
    <n v="16"/>
    <m/>
    <m/>
    <d v="1899-12-30T00:00:52"/>
    <d v="1899-12-30T00:00:48"/>
    <s v=""/>
    <x v="1"/>
  </r>
  <r>
    <d v="2026-04-22T14:56:28"/>
    <s v="3003 - FirjanAtivo"/>
    <s v="---"/>
    <n v="467"/>
    <n v="43189309000184"/>
    <n v="467"/>
    <n v="177688058858891"/>
    <s v="(22) 99826-217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6:33"/>
    <s v="3003 - FirjanAtivo"/>
    <s v="---"/>
    <n v="468"/>
    <n v="43291803000155"/>
    <n v="468"/>
    <n v="177688059358901"/>
    <s v="(21) 99390-337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6:37"/>
    <s v="3003 - FirjanAtivo"/>
    <s v="---"/>
    <n v="469"/>
    <n v="43600132000167"/>
    <n v="469"/>
    <n v="177688059758921"/>
    <s v="(24) 98188-3138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56:47"/>
    <s v="3003 - FirjanAtivo"/>
    <s v="---"/>
    <n v="470"/>
    <n v="43608407000109"/>
    <n v="470"/>
    <n v="177688060758951"/>
    <s v="(21) 99043-710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6:50"/>
    <s v="3003 - FirjanAtivo"/>
    <s v="---"/>
    <n v="471"/>
    <n v="43647834000104"/>
    <n v="471"/>
    <n v="177688061058971"/>
    <s v="(22) 98130-674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6:51"/>
    <s v="3003 - FirjanAtivo"/>
    <s v="---"/>
    <n v="472"/>
    <n v="43753738000132"/>
    <n v="472"/>
    <n v="177688061158991"/>
    <s v="(22) 98811-4649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56:57"/>
    <s v="3003 - FirjanAtivo"/>
    <s v="---"/>
    <n v="473"/>
    <n v="43907332000167"/>
    <n v="473"/>
    <n v="177688061759011"/>
    <s v="(21) 98790-365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7:01"/>
    <s v="3003 - FirjanAtivo"/>
    <s v="---"/>
    <n v="474"/>
    <n v="44141387000171"/>
    <n v="474"/>
    <n v="177688062159021"/>
    <s v="(21) 99799-3422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57:02"/>
    <s v="3003 - FirjanAtivo"/>
    <s v="---"/>
    <n v="475"/>
    <n v="44172855000175"/>
    <n v="475"/>
    <n v="177688062259051"/>
    <s v="(21) 96441-6413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57:03"/>
    <s v="3003 - FirjanAtivo"/>
    <s v="---"/>
    <n v="476"/>
    <n v="45020481000135"/>
    <n v="476"/>
    <n v="177688062359061"/>
    <s v="(24) 98817-5986"/>
    <n v="3003"/>
    <s v="Discador"/>
    <s v="Atendido"/>
    <s v="Fora de Area / Cx de Mensagens"/>
    <s v="BPATIVO22042026"/>
    <s v="Cliente"/>
    <n v="131"/>
    <m/>
    <m/>
    <d v="1899-12-30T00:00:07"/>
    <s v="---"/>
    <s v=""/>
    <x v="1"/>
  </r>
  <r>
    <d v="2026-04-22T14:57:12"/>
    <s v="3003 - FirjanAtivo"/>
    <s v="---"/>
    <n v="477"/>
    <n v="45271123000103"/>
    <n v="477"/>
    <n v="177688063259081"/>
    <s v="(24) 98848-207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7:14"/>
    <s v="3003 - FirjanAtivo"/>
    <s v="---"/>
    <n v="478"/>
    <n v="45504294000127"/>
    <n v="478"/>
    <n v="177688063459101"/>
    <s v="(22) 99930-2058"/>
    <n v="3003"/>
    <s v="Discador"/>
    <s v="Atendido"/>
    <s v="Fora de Area / Cx de Mensagens"/>
    <s v="BPATIVO22042026"/>
    <s v="--"/>
    <n v="147"/>
    <m/>
    <m/>
    <d v="1899-12-30T00:00:05"/>
    <s v="---"/>
    <s v=""/>
    <x v="1"/>
  </r>
  <r>
    <d v="2026-04-22T14:57:16"/>
    <s v="3003 - FirjanAtivo"/>
    <s v="---"/>
    <n v="479"/>
    <n v="45618003000121"/>
    <n v="479"/>
    <n v="177688063659121"/>
    <s v="(22) 99266-189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7:17"/>
    <s v="3003 - FirjanAtivo"/>
    <s v="---"/>
    <n v="480"/>
    <n v="45642764000119"/>
    <n v="480"/>
    <n v="177688063759131"/>
    <s v="(21) 99293-32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7:19"/>
    <s v="3003 - FirjanAtivo"/>
    <s v="---"/>
    <n v="481"/>
    <n v="45654432000154"/>
    <n v="481"/>
    <n v="177688063959151"/>
    <s v="(22) 99793-5945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57:22"/>
    <s v="3003 - FirjanAtivo"/>
    <s v="---"/>
    <n v="482"/>
    <n v="46265059000102"/>
    <n v="482"/>
    <n v="177688064259171"/>
    <s v="(21) 02199-8325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4:57:22"/>
    <s v="3003 - FirjanAtivo"/>
    <s v="---"/>
    <n v="483"/>
    <n v="46660690000106"/>
    <n v="483"/>
    <n v="177688064259181"/>
    <s v="(21) 98883-32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7:25"/>
    <s v="3003 - FirjanAtivo"/>
    <s v="---"/>
    <n v="484"/>
    <n v="46884983000177"/>
    <n v="484"/>
    <n v="177688064559201"/>
    <s v="(21) 96411-48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7:29"/>
    <s v="3003 - FirjanAtivo"/>
    <s v="---"/>
    <n v="485"/>
    <n v="46905043000117"/>
    <n v="485"/>
    <n v="177688064959221"/>
    <s v="(21) 98820-6645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57:31"/>
    <s v="3003 - FirjanAtivo"/>
    <s v="---"/>
    <n v="486"/>
    <n v="47197932000130"/>
    <n v="486"/>
    <n v="177688065159251"/>
    <s v="(21) 98565-1370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57:31"/>
    <s v="3003 - FirjanAtivo"/>
    <s v="---"/>
    <n v="487"/>
    <n v="48145681000102"/>
    <n v="487"/>
    <n v="177688065159261"/>
    <s v="(24) 98856-3953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4:57:31"/>
    <s v="3003 - FirjanAtivo"/>
    <s v="---"/>
    <n v="488"/>
    <n v="48319171000104"/>
    <n v="488"/>
    <n v="177688065159281"/>
    <s v="(22) 97405-553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57:38"/>
    <s v="3003 - FirjanAtivo"/>
    <s v="---"/>
    <n v="489"/>
    <n v="48361628000149"/>
    <n v="489"/>
    <n v="177688065859301"/>
    <s v="(24) 98823-83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7:41"/>
    <s v="3003 - FirjanAtivo"/>
    <s v="---"/>
    <n v="490"/>
    <n v="48762740000191"/>
    <n v="490"/>
    <n v="177688066159321"/>
    <s v="(22) 98801-495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7:42"/>
    <s v="3003 - FirjanAtivo"/>
    <s v="---"/>
    <n v="491"/>
    <n v="48793273000167"/>
    <n v="491"/>
    <n v="177688066259331"/>
    <s v="(21) 99221-31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7:43"/>
    <s v="3003 - FirjanAtivo"/>
    <s v="---"/>
    <n v="492"/>
    <n v="48968786000161"/>
    <n v="492"/>
    <n v="177688066359361"/>
    <s v="(21) 96412-77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7:44"/>
    <s v="3003 - FirjanAtivo"/>
    <s v="---"/>
    <n v="493"/>
    <n v="49039587000131"/>
    <n v="493"/>
    <n v="177688066459371"/>
    <s v="(21) 96462-0376"/>
    <n v="3003"/>
    <s v="Discador"/>
    <s v="Atendido"/>
    <s v="Fora de Area / Cx de Mensagens"/>
    <s v="BPATIVO22042026"/>
    <s v="Cliente"/>
    <n v="131"/>
    <m/>
    <m/>
    <d v="1899-12-30T00:00:10"/>
    <s v="---"/>
    <s v=""/>
    <x v="1"/>
  </r>
  <r>
    <d v="2026-04-22T14:57:49"/>
    <s v="3003 - FirjanAtivo"/>
    <s v="---"/>
    <n v="494"/>
    <n v="49310128000140"/>
    <n v="494"/>
    <n v="177688066959421"/>
    <s v="(21) 96462-0377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4:57:54"/>
    <s v="3003 - FirjanAtivo"/>
    <s v="---"/>
    <n v="495"/>
    <n v="49419902000156"/>
    <n v="495"/>
    <n v="177688067459481"/>
    <s v="(21) 97281-99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7:57"/>
    <s v="3003 - FirjanAtivo"/>
    <s v="6044-Roseli Honorato Dos Santos"/>
    <n v="496"/>
    <n v="49569914000167"/>
    <n v="496"/>
    <n v="177688067759501"/>
    <s v="(24) 98145-4441"/>
    <n v="3003"/>
    <s v="Discador"/>
    <s v="Atendido"/>
    <s v="Enviar E-mail"/>
    <s v="BPATIVO22042026"/>
    <s v="Cliente"/>
    <n v="16"/>
    <m/>
    <m/>
    <d v="1899-12-30T00:02:12"/>
    <d v="1899-12-30T00:02:09"/>
    <n v="1"/>
    <x v="1"/>
  </r>
  <r>
    <d v="2026-04-22T14:57:59"/>
    <s v="3003 - FirjanAtivo"/>
    <s v="---"/>
    <n v="497"/>
    <n v="49606616000108"/>
    <n v="497"/>
    <n v="177688067959521"/>
    <s v="(24) 99930-876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8:09"/>
    <s v="3003 - FirjanAtivo"/>
    <s v="---"/>
    <n v="498"/>
    <n v="49876067000183"/>
    <n v="498"/>
    <n v="177688068959641"/>
    <s v="(22) 99872-7233"/>
    <n v="3003"/>
    <s v="Discador"/>
    <s v="Atendido"/>
    <s v="Fora de Area / Cx de Mensagens"/>
    <s v="BPATIVO22042026"/>
    <s v="Cliente"/>
    <n v="131"/>
    <m/>
    <m/>
    <d v="1899-12-30T00:00:05"/>
    <s v="---"/>
    <s v=""/>
    <x v="1"/>
  </r>
  <r>
    <d v="2026-04-22T14:58:09"/>
    <s v="3003 - FirjanAtivo"/>
    <s v="---"/>
    <n v="499"/>
    <n v="49895195000174"/>
    <n v="499"/>
    <n v="177688068959651"/>
    <s v="(22) 98144-533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8:09"/>
    <s v="3003 - FirjanAtivo"/>
    <s v="---"/>
    <n v="500"/>
    <n v="50253555000113"/>
    <n v="500"/>
    <n v="177688068959661"/>
    <s v="(24) 99292-721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8:09"/>
    <s v="3003 - FirjanAtivo"/>
    <s v="---"/>
    <n v="501"/>
    <n v="50300325000168"/>
    <n v="501"/>
    <n v="177688068959671"/>
    <s v="(22) 99805-794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58:18"/>
    <s v="3003 - FirjanAtivo"/>
    <s v="---"/>
    <n v="502"/>
    <n v="50884703000106"/>
    <n v="502"/>
    <n v="177688069859701"/>
    <s v="(22) 99895-201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8:20"/>
    <s v="3003 - FirjanAtivo"/>
    <s v="---"/>
    <n v="503"/>
    <n v="51081827000108"/>
    <n v="503"/>
    <n v="177688070059721"/>
    <s v="(24) 99212-2215"/>
    <n v="3003"/>
    <s v="Discador"/>
    <s v="Atendido"/>
    <s v="Fora de Area / Cx de Mensagens"/>
    <s v="BPATIVO22042026"/>
    <s v="Cliente"/>
    <n v="131"/>
    <m/>
    <m/>
    <d v="1899-12-30T00:00:07"/>
    <s v="---"/>
    <s v=""/>
    <x v="1"/>
  </r>
  <r>
    <d v="2026-04-22T14:58:22"/>
    <s v="3003 - FirjanAtivo"/>
    <s v="---"/>
    <n v="504"/>
    <n v="51318932000118"/>
    <n v="504"/>
    <n v="177688070259751"/>
    <s v="(22) 99956-672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4:58:22"/>
    <s v="3003 - FirjanAtivo"/>
    <s v="---"/>
    <n v="505"/>
    <n v="51780829000195"/>
    <n v="505"/>
    <n v="177688070259761"/>
    <s v="(24) 99215-404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8:22"/>
    <s v="3003 - FirjanAtivo"/>
    <s v="---"/>
    <n v="506"/>
    <n v="52007964000165"/>
    <n v="506"/>
    <n v="177688070259771"/>
    <s v="(22) 99951-525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8:44"/>
    <s v="3003 - FirjanAtivo"/>
    <s v="---"/>
    <n v="507"/>
    <n v="53060069000177"/>
    <n v="507"/>
    <n v="177688072459851"/>
    <s v="(22) 99276-9856"/>
    <n v="3003"/>
    <s v="Discador"/>
    <s v="Atendido"/>
    <s v="Fora de Area / Cx de Mensagens"/>
    <s v="BPATIVO22042026"/>
    <s v="Cliente"/>
    <n v="131"/>
    <m/>
    <m/>
    <d v="1899-12-30T00:00:08"/>
    <s v="---"/>
    <s v=""/>
    <x v="1"/>
  </r>
  <r>
    <d v="2026-04-22T14:58:44"/>
    <s v="3003 - FirjanAtivo"/>
    <s v="---"/>
    <n v="508"/>
    <n v="53105568000133"/>
    <n v="508"/>
    <n v="177688072459871"/>
    <s v="(24) 98159-8783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58:45"/>
    <s v="3003 - FirjanAtivo"/>
    <s v="---"/>
    <n v="509"/>
    <n v="53116705000135"/>
    <n v="509"/>
    <n v="177688072559891"/>
    <s v="(21) 97300-81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8:49"/>
    <s v="3003 - FirjanAtivo"/>
    <s v="---"/>
    <n v="510"/>
    <n v="53135563000153"/>
    <n v="510"/>
    <n v="177688072959911"/>
    <s v="(21) 97361-1414"/>
    <n v="3003"/>
    <s v="Discador"/>
    <s v="Atendido"/>
    <s v="Fora de Area / Cx de Mensagens"/>
    <s v="BPATIVO22042026"/>
    <s v="--"/>
    <n v="128"/>
    <m/>
    <m/>
    <d v="1899-12-30T00:00:05"/>
    <s v="---"/>
    <s v=""/>
    <x v="1"/>
  </r>
  <r>
    <d v="2026-04-22T14:59:03"/>
    <s v="3003 - FirjanAtivo"/>
    <s v="---"/>
    <n v="511"/>
    <n v="53159230000164"/>
    <n v="511"/>
    <n v="177688074360031"/>
    <s v="(22) 98169-29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9:06"/>
    <s v="3003 - FirjanAtivo"/>
    <s v="---"/>
    <n v="512"/>
    <n v="53380505000195"/>
    <n v="512"/>
    <n v="177688074660051"/>
    <s v="(24) 99880-118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9:08"/>
    <s v="3003 - FirjanAtivo"/>
    <s v="---"/>
    <n v="513"/>
    <n v="53472383000167"/>
    <n v="513"/>
    <n v="177688074860071"/>
    <s v="(22) 99949-09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9:13"/>
    <s v="3003 - FirjanAtivo"/>
    <s v="---"/>
    <n v="514"/>
    <n v="53691935000128"/>
    <n v="514"/>
    <n v="177688075360081"/>
    <s v="(21) 97155-6522"/>
    <s v="Falha"/>
    <s v="Discador"/>
    <s v="Não Atendeu"/>
    <s v="Não Atendeu"/>
    <s v="BPATIVO22042026"/>
    <s v="--"/>
    <n v="21"/>
    <m/>
    <m/>
    <d v="1899-12-30T00:00:00"/>
    <s v="---"/>
    <s v=""/>
    <x v="1"/>
  </r>
  <r>
    <d v="2026-04-22T14:59:15"/>
    <s v="3003 - FirjanAtivo"/>
    <s v="---"/>
    <n v="515"/>
    <n v="54478765000160"/>
    <n v="515"/>
    <n v="177688075560101"/>
    <s v="(24) 99821-8454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59:23"/>
    <s v="3003 - FirjanAtivo"/>
    <s v="---"/>
    <n v="516"/>
    <n v="55143066000122"/>
    <n v="516"/>
    <n v="177688076360121"/>
    <s v="(24) 99269-71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9:29"/>
    <s v="3003 - FirjanAtivo"/>
    <s v="---"/>
    <n v="517"/>
    <n v="55385904000174"/>
    <n v="517"/>
    <n v="177688076960141"/>
    <s v="(24) 98848-207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9:31"/>
    <s v="3003 - FirjanAtivo"/>
    <s v="---"/>
    <n v="518"/>
    <n v="55573642000171"/>
    <n v="518"/>
    <n v="177688077160161"/>
    <s v="(24) 97404-300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9:31"/>
    <s v="3003 - FirjanAtivo"/>
    <s v="---"/>
    <n v="519"/>
    <n v="55789121000156"/>
    <n v="519"/>
    <n v="177688077160181"/>
    <s v="(21) 99966-622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9:33"/>
    <s v="3003 - FirjanAtivo"/>
    <s v="---"/>
    <n v="520"/>
    <n v="56062863000148"/>
    <n v="520"/>
    <n v="177688077360201"/>
    <s v="(24) 99292-476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4:59:34"/>
    <s v="3003 - FirjanAtivo"/>
    <s v="---"/>
    <n v="521"/>
    <n v="56199093000180"/>
    <n v="521"/>
    <n v="177688077460211"/>
    <s v="(21) 99959-477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4:59:36"/>
    <s v="3003 - FirjanAtivo"/>
    <s v="---"/>
    <n v="522"/>
    <n v="56227513000194"/>
    <n v="522"/>
    <n v="177688077660231"/>
    <s v="(22) 99892-6880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00:03"/>
    <s v="3003 - FirjanAtivo"/>
    <s v="---"/>
    <n v="523"/>
    <n v="56932666000132"/>
    <n v="523"/>
    <n v="177688080360291"/>
    <s v="(22) 99988-102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0:09"/>
    <s v="3003 - FirjanAtivo"/>
    <s v="---"/>
    <n v="524"/>
    <n v="57170375000460"/>
    <n v="524"/>
    <n v="177688080960311"/>
    <s v="(22) 98148-822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0:14"/>
    <s v="3003 - FirjanAtivo"/>
    <s v="---"/>
    <n v="525"/>
    <n v="57188457000199"/>
    <n v="525"/>
    <n v="177688081460331"/>
    <s v="(24) 98802-054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0:17"/>
    <s v="3003 - FirjanAtivo"/>
    <s v="---"/>
    <n v="526"/>
    <n v="57213863000164"/>
    <n v="526"/>
    <n v="177688081760351"/>
    <s v="(22) 99916-670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0:26"/>
    <s v="3003 - FirjanAtivo"/>
    <s v="---"/>
    <n v="527"/>
    <n v="57348787000102"/>
    <n v="527"/>
    <n v="177688082660371"/>
    <s v="(21) 99296-821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0:29"/>
    <s v="3003 - FirjanAtivo"/>
    <s v="---"/>
    <n v="528"/>
    <n v="57769577000180"/>
    <n v="528"/>
    <n v="177688082960391"/>
    <s v="(21) 96418-6340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00:30"/>
    <s v="3003 - FirjanAtivo"/>
    <s v="---"/>
    <n v="529"/>
    <n v="58196686000118"/>
    <n v="529"/>
    <n v="177688083060411"/>
    <s v="(24) 99292-476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0:39"/>
    <s v="3003 - FirjanAtivo"/>
    <s v="---"/>
    <n v="530"/>
    <n v="58476582000167"/>
    <n v="530"/>
    <n v="177688083960431"/>
    <s v="(21) 99059-153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0:41"/>
    <s v="3003 - FirjanAtivo"/>
    <s v="---"/>
    <n v="531"/>
    <n v="59138749000142"/>
    <n v="531"/>
    <n v="177688084160451"/>
    <s v="(21) 96649-85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4:26"/>
    <s v="3003 - FirjanAtivo"/>
    <s v="---"/>
    <n v="533"/>
    <n v="59597687000137"/>
    <n v="533"/>
    <n v="177688106661101"/>
    <s v="(22) 99978-67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4:26"/>
    <s v="3003 - FirjanAtivo"/>
    <s v="---"/>
    <n v="534"/>
    <n v="59958760000159"/>
    <n v="534"/>
    <n v="177688106661111"/>
    <s v="(24) 98129-217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4:26"/>
    <s v="3003 - FirjanAtivo"/>
    <s v="---"/>
    <n v="535"/>
    <n v="60710938000127"/>
    <n v="535"/>
    <n v="177688106661121"/>
    <s v="(21) 99955-410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04:45"/>
    <s v="3003 - FirjanAtivo"/>
    <s v="---"/>
    <n v="536"/>
    <n v="61917457000150"/>
    <n v="536"/>
    <n v="177688108561151"/>
    <s v="(24) 99251-7878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04:50"/>
    <s v="3003 - FirjanAtivo"/>
    <s v="---"/>
    <n v="537"/>
    <n v="63110255000127"/>
    <n v="537"/>
    <n v="177688109061171"/>
    <s v="(24) 99968-17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4:51"/>
    <s v="3003 - FirjanAtivo"/>
    <s v="---"/>
    <n v="538"/>
    <n v="68615988000137"/>
    <n v="538"/>
    <n v="177688109161191"/>
    <s v="(24) 99228-211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4:56"/>
    <s v="3003 - FirjanAtivo"/>
    <s v="---"/>
    <n v="539"/>
    <n v="68654938000169"/>
    <n v="539"/>
    <n v="177688109661201"/>
    <s v="(22) 98831-844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4:57"/>
    <s v="3003 - FirjanAtivo"/>
    <s v="---"/>
    <n v="540"/>
    <n v="68842905000142"/>
    <n v="540"/>
    <n v="177688109761221"/>
    <s v="(21) 98165-782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5:09"/>
    <s v="3003 - FirjanAtivo"/>
    <s v="---"/>
    <n v="541"/>
    <n v="72357726000197"/>
    <n v="541"/>
    <n v="177688110961281"/>
    <s v="(21) 99988-2916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05:13"/>
    <s v="3003 - FirjanAtivo"/>
    <s v="---"/>
    <n v="542"/>
    <n v="72493794000183"/>
    <n v="542"/>
    <n v="177688111361311"/>
    <s v="(24) 98814-395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5:13"/>
    <s v="3003 - FirjanAtivo"/>
    <s v="---"/>
    <n v="543"/>
    <n v="73275570000168"/>
    <n v="543"/>
    <n v="177688111361321"/>
    <s v="(22) 98832-51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5:17"/>
    <s v="3003 - FirjanAtivo"/>
    <s v="---"/>
    <n v="544"/>
    <n v="73353534000175"/>
    <n v="544"/>
    <n v="177688111761341"/>
    <s v="(32) 99994-185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5:05:34"/>
    <s v="3003 - FirjanAtivo"/>
    <s v="---"/>
    <n v="545"/>
    <n v="73630725000137"/>
    <n v="545"/>
    <n v="177688113461361"/>
    <s v="(21) 96444-644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5:46"/>
    <s v="3003 - FirjanAtivo"/>
    <s v="---"/>
    <n v="546"/>
    <n v="73852469000122"/>
    <n v="546"/>
    <n v="177688114661381"/>
    <s v="(24) 99228-850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5:50"/>
    <s v="3003 - FirjanAtivo"/>
    <s v="---"/>
    <n v="547"/>
    <n v="82449760000145"/>
    <n v="547"/>
    <n v="177688115061401"/>
    <s v="(21) 96958-553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5:58"/>
    <s v="3003 - FirjanAtivo"/>
    <s v="---"/>
    <n v="549"/>
    <n v="86936481000167"/>
    <n v="549"/>
    <n v="177688115861441"/>
    <s v="(21) 99618-6412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06:05"/>
    <s v="3003 - FirjanAtivo"/>
    <s v="---"/>
    <n v="550"/>
    <n v="97537119000130"/>
    <n v="550"/>
    <n v="177688116561461"/>
    <s v="(22) 99852-15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06:37"/>
    <s v="3003 - FirjanAtivo"/>
    <s v="---"/>
    <n v="548"/>
    <n v="86932266000198"/>
    <n v="548"/>
    <n v="177688115361421"/>
    <s v="(24) 98815-1973"/>
    <n v="3003"/>
    <s v="Discador"/>
    <s v="Atendido"/>
    <s v="Fora de Area / Cx de Mensagens"/>
    <s v="BPATIVO22042026"/>
    <s v="Cliente"/>
    <n v="131"/>
    <m/>
    <m/>
    <d v="1899-12-30T00:00:29"/>
    <s v="---"/>
    <s v=""/>
    <x v="1"/>
  </r>
  <r>
    <d v="2026-04-22T15:38:48"/>
    <s v="3003 - FirjanAtivo"/>
    <s v="---"/>
    <n v="7"/>
    <n v="451332000192"/>
    <n v="7"/>
    <n v="177688312863351"/>
    <s v="(24) 98818-1800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38:48"/>
    <s v="3003 - FirjanAtivo"/>
    <s v="---"/>
    <n v="13"/>
    <n v="1056628000171"/>
    <n v="13"/>
    <n v="177688312863361"/>
    <s v="(21) 96458-5784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38:48"/>
    <s v="3003 - FirjanAtivo"/>
    <s v="---"/>
    <n v="17"/>
    <n v="1340549000198"/>
    <n v="17"/>
    <n v="177688312863371"/>
    <s v="(22) 99944-435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38:48"/>
    <s v="3003 - FirjanAtivo"/>
    <s v="---"/>
    <n v="18"/>
    <n v="1387961000163"/>
    <n v="18"/>
    <n v="177688312863381"/>
    <s v="(21) 97033-906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39:07"/>
    <s v="3003 - FirjanAtivo"/>
    <s v="---"/>
    <n v="19"/>
    <n v="1399122000165"/>
    <n v="19"/>
    <n v="177688314763401"/>
    <s v="(22) 99941-8171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5:39:25"/>
    <s v="3003 - FirjanAtivo"/>
    <s v="---"/>
    <n v="22"/>
    <n v="1632895000140"/>
    <n v="22"/>
    <n v="177688316563481"/>
    <s v="(21) 99983-2180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39:43"/>
    <s v="3003 - FirjanAtivo"/>
    <s v="---"/>
    <n v="28"/>
    <n v="1978794000125"/>
    <n v="28"/>
    <n v="177688318363581"/>
    <s v="(21) 97998-599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39:44"/>
    <s v="3003 - FirjanAtivo"/>
    <s v="---"/>
    <n v="32"/>
    <n v="2113776000143"/>
    <n v="32"/>
    <n v="177688318463601"/>
    <s v="(21) 97033-4306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40:05"/>
    <s v="3003 - FirjanAtivo"/>
    <s v="---"/>
    <n v="33"/>
    <n v="2148473000166"/>
    <n v="33"/>
    <n v="177688320563641"/>
    <s v="(21) 98461-848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0:05"/>
    <s v="3003 - FirjanAtivo"/>
    <s v="---"/>
    <n v="35"/>
    <n v="2326459000105"/>
    <n v="35"/>
    <n v="177688320563651"/>
    <s v="(21) 98741-11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0:26"/>
    <s v="3003 - FirjanAtivo"/>
    <s v="---"/>
    <n v="39"/>
    <n v="2510074000101"/>
    <n v="39"/>
    <n v="177688322663691"/>
    <s v="(22) 97401-110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0:42"/>
    <s v="3003 - FirjanAtivo"/>
    <s v="---"/>
    <n v="40"/>
    <n v="2604580000151"/>
    <n v="40"/>
    <n v="177688324263791"/>
    <s v="(24) 99913-406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5:40:44"/>
    <s v="3003 - FirjanAtivo"/>
    <s v="---"/>
    <n v="41"/>
    <n v="2605792000153"/>
    <n v="41"/>
    <n v="177688324463801"/>
    <s v="(22) 99278-813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0:59"/>
    <s v="3003 - FirjanAtivo"/>
    <s v="---"/>
    <n v="23"/>
    <n v="1721269000120"/>
    <n v="23"/>
    <n v="177688318163551"/>
    <s v="(21) 99890-8170"/>
    <n v="3003"/>
    <s v="Discador"/>
    <s v="Atendido"/>
    <s v="Fora de Area / Cx de Mensagens"/>
    <s v="BPATIVO22042026"/>
    <s v="Cliente"/>
    <n v="131"/>
    <m/>
    <m/>
    <d v="1899-12-30T00:01:15"/>
    <s v="---"/>
    <s v=""/>
    <x v="1"/>
  </r>
  <r>
    <d v="2026-04-22T15:41:02"/>
    <s v="3003 - FirjanAtivo"/>
    <s v="---"/>
    <n v="44"/>
    <n v="2823246000199"/>
    <n v="44"/>
    <n v="177688326263911"/>
    <s v="(21) 98142-554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1:04"/>
    <s v="3003 - FirjanAtivo"/>
    <s v="---"/>
    <n v="46"/>
    <n v="2961614000165"/>
    <n v="46"/>
    <n v="177688326463931"/>
    <s v="(22) 99861-2688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5:41:07"/>
    <s v="3003 - FirjanAtivo"/>
    <s v="---"/>
    <n v="47"/>
    <n v="3063053000140"/>
    <n v="47"/>
    <n v="177688326763941"/>
    <s v="(22) 99969-63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1:07"/>
    <s v="3003 - FirjanAtivo"/>
    <s v="---"/>
    <n v="49"/>
    <n v="3130917000107"/>
    <n v="49"/>
    <n v="177688326763951"/>
    <s v="(24) 98131-68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1:07"/>
    <s v="3003 - FirjanAtivo"/>
    <s v="---"/>
    <n v="50"/>
    <n v="3135802000105"/>
    <n v="50"/>
    <n v="177688326763961"/>
    <s v="(22) 98177-761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1:07"/>
    <s v="3003 - FirjanAtivo"/>
    <s v="---"/>
    <n v="51"/>
    <n v="3276131000194"/>
    <n v="51"/>
    <n v="177688326763971"/>
    <s v="(21) 96484-913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1:14"/>
    <s v="3003 - FirjanAtivo"/>
    <s v="---"/>
    <n v="52"/>
    <n v="3311811000100"/>
    <n v="52"/>
    <n v="177688327463991"/>
    <s v="(22) 99954-803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1:20"/>
    <s v="3003 - FirjanAtivo"/>
    <s v="---"/>
    <n v="53"/>
    <n v="3463826000185"/>
    <n v="53"/>
    <n v="177688328064011"/>
    <s v="(21) 96526-233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1:25"/>
    <s v="3003 - FirjanAtivo"/>
    <s v="---"/>
    <n v="55"/>
    <n v="3488597000153"/>
    <n v="55"/>
    <n v="177688328564031"/>
    <s v="(21) 98187-738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1:30"/>
    <s v="3003 - FirjanAtivo"/>
    <s v="6044-Roseli Honorato Dos Santos"/>
    <n v="56"/>
    <n v="3569821000131"/>
    <n v="56"/>
    <n v="177688328964051"/>
    <s v="(22) 99799-0091"/>
    <n v="3003"/>
    <s v="Discador"/>
    <s v="Atendido"/>
    <s v="Enviar E-mail"/>
    <s v="BPATIVO22042026"/>
    <s v="Cliente"/>
    <n v="16"/>
    <m/>
    <m/>
    <d v="1899-12-30T00:02:48"/>
    <d v="1899-12-30T00:02:43"/>
    <n v="1"/>
    <x v="1"/>
  </r>
  <r>
    <d v="2026-04-22T15:41:31"/>
    <s v="3003 - FirjanAtivo"/>
    <s v="6052-Marcia Lima Peixoto"/>
    <n v="57"/>
    <n v="3651229000184"/>
    <n v="57"/>
    <n v="177688329164071"/>
    <s v="(21) 98739-2818"/>
    <n v="3003"/>
    <s v="Discador"/>
    <s v="Atendido"/>
    <s v="Enviar E-mail"/>
    <s v="BPATIVO22042026"/>
    <s v="Cliente"/>
    <n v="16"/>
    <m/>
    <m/>
    <d v="1899-12-30T00:02:48"/>
    <d v="1899-12-30T00:02:45"/>
    <n v="1"/>
    <x v="1"/>
  </r>
  <r>
    <d v="2026-04-22T15:41:32"/>
    <s v="3003 - FirjanAtivo"/>
    <s v="---"/>
    <n v="59"/>
    <n v="3904574000182"/>
    <n v="59"/>
    <n v="177688329264111"/>
    <s v="(22) 99708-9429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41:37"/>
    <s v="3003 - FirjanAtivo"/>
    <s v="---"/>
    <n v="60"/>
    <n v="3954733000153"/>
    <n v="60"/>
    <n v="177688329764161"/>
    <s v="(21) 96857-917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1:39"/>
    <s v="3003 - FirjanAtivo"/>
    <s v="---"/>
    <n v="61"/>
    <n v="3995747000115"/>
    <n v="61"/>
    <n v="177688329964181"/>
    <s v="(21) 98835-020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1:49"/>
    <s v="3003 - FirjanAtivo"/>
    <s v="---"/>
    <n v="62"/>
    <n v="4028062000162"/>
    <n v="62"/>
    <n v="177688330964221"/>
    <s v="(22) 98819-832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1:52"/>
    <s v="3003 - FirjanAtivo"/>
    <s v="---"/>
    <n v="63"/>
    <n v="4044746000158"/>
    <n v="63"/>
    <n v="177688331264231"/>
    <s v="(22) 98802-72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1:57"/>
    <s v="3003 - FirjanAtivo"/>
    <s v="---"/>
    <n v="64"/>
    <n v="4048649000133"/>
    <n v="64"/>
    <n v="177688331764321"/>
    <s v="(21) 99805-222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1:57"/>
    <s v="3003 - FirjanAtivo"/>
    <s v="---"/>
    <n v="65"/>
    <n v="4063828000140"/>
    <n v="65"/>
    <n v="177688331764331"/>
    <s v="(22) 99936-54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2:04"/>
    <s v="3003 - FirjanAtivo"/>
    <s v="---"/>
    <n v="66"/>
    <n v="4137354000133"/>
    <n v="66"/>
    <n v="177688332464351"/>
    <s v="(21) 99422-67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2:09"/>
    <s v="3003 - FirjanAtivo"/>
    <s v="---"/>
    <n v="67"/>
    <n v="4160599000181"/>
    <n v="67"/>
    <n v="177688332964371"/>
    <s v="(24) 98107-8254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42:10"/>
    <s v="3003 - FirjanAtivo"/>
    <s v="---"/>
    <n v="68"/>
    <n v="4356149000169"/>
    <n v="68"/>
    <n v="177688333064401"/>
    <s v="(21) 97123-078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2:17"/>
    <s v="3003 - FirjanAtivo"/>
    <s v="---"/>
    <n v="69"/>
    <n v="4371864000170"/>
    <n v="69"/>
    <n v="177688333764481"/>
    <s v="(22) 99965-101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2:19"/>
    <s v="3003 - FirjanAtivo"/>
    <s v="---"/>
    <n v="70"/>
    <n v="4373195000176"/>
    <n v="70"/>
    <n v="177688333964501"/>
    <s v="(21) 99371-9168"/>
    <n v="3003"/>
    <s v="Discador"/>
    <s v="Atendido"/>
    <s v="Fora de Area / Cx de Mensagens"/>
    <s v="BPATIVO22042026"/>
    <s v="Cliente"/>
    <n v="131"/>
    <m/>
    <m/>
    <d v="1899-12-30T00:00:38"/>
    <s v="---"/>
    <s v=""/>
    <x v="1"/>
  </r>
  <r>
    <d v="2026-04-22T15:42:27"/>
    <s v="3003 - FirjanAtivo"/>
    <s v="---"/>
    <n v="71"/>
    <n v="4433625000106"/>
    <n v="71"/>
    <n v="177688334764521"/>
    <s v="(21) 98225-792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2:29"/>
    <s v="3003 - FirjanAtivo"/>
    <s v="---"/>
    <n v="72"/>
    <n v="4652839000165"/>
    <n v="72"/>
    <n v="177688334964591"/>
    <s v="(21) 99953-15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2:39"/>
    <s v="3003 - FirjanAtivo"/>
    <s v="---"/>
    <n v="73"/>
    <n v="4728735000197"/>
    <n v="73"/>
    <n v="177688335964671"/>
    <s v="(22) 99835-027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42:46"/>
    <s v="3003 - FirjanAtivo"/>
    <s v="---"/>
    <n v="74"/>
    <n v="4900076000124"/>
    <n v="74"/>
    <n v="177688336664721"/>
    <s v="(21) 98882-567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2:48"/>
    <s v="3003 - FirjanAtivo"/>
    <s v="---"/>
    <n v="75"/>
    <n v="4987252000107"/>
    <n v="75"/>
    <n v="177688336864751"/>
    <s v="(21) 99335-661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2:50"/>
    <s v="3003 - FirjanAtivo"/>
    <s v="---"/>
    <n v="76"/>
    <n v="5068583000106"/>
    <n v="76"/>
    <n v="177688337064821"/>
    <s v="(21) 99701-8990"/>
    <n v="3003"/>
    <s v="Discador"/>
    <s v="Atendido"/>
    <s v="Fora de Area / Cx de Mensagens"/>
    <s v="BPATIVO22042026"/>
    <s v="--"/>
    <n v="128"/>
    <m/>
    <m/>
    <d v="1899-12-30T00:00:03"/>
    <s v="---"/>
    <s v=""/>
    <x v="1"/>
  </r>
  <r>
    <d v="2026-04-22T15:42:54"/>
    <s v="3003 - FirjanAtivo"/>
    <s v="---"/>
    <n v="77"/>
    <n v="5105470000133"/>
    <n v="77"/>
    <n v="177688337464941"/>
    <s v="(21) 99254-119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2:56"/>
    <s v="3003 - FirjanAtivo"/>
    <s v="---"/>
    <n v="78"/>
    <n v="5124020000198"/>
    <n v="78"/>
    <n v="177688337664971"/>
    <s v="(21) 96416-636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3:05"/>
    <s v="3003 - FirjanAtivo"/>
    <s v="---"/>
    <n v="79"/>
    <n v="5133369000196"/>
    <n v="79"/>
    <n v="177688338564991"/>
    <s v="(21) 98160-016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3:09"/>
    <s v="3003 - FirjanAtivo"/>
    <s v="---"/>
    <n v="80"/>
    <n v="5207886000162"/>
    <n v="80"/>
    <n v="177688338965061"/>
    <s v="(21) 98208-39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3:12"/>
    <s v="3003 - FirjanAtivo"/>
    <s v="---"/>
    <n v="81"/>
    <n v="5476516000120"/>
    <n v="81"/>
    <n v="177688339265121"/>
    <s v="(21) 99999-707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3:15"/>
    <s v="3003 - FirjanAtivo"/>
    <s v="---"/>
    <n v="82"/>
    <n v="5483497000160"/>
    <n v="82"/>
    <n v="177688339565141"/>
    <s v="(24) 99999-746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3:18"/>
    <s v="3003 - FirjanAtivo"/>
    <s v="---"/>
    <n v="83"/>
    <n v="5485452000124"/>
    <n v="83"/>
    <n v="177688339865211"/>
    <s v="(81) 99651-313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3:21"/>
    <s v="3003 - FirjanAtivo"/>
    <s v="---"/>
    <n v="84"/>
    <n v="5487548000121"/>
    <n v="84"/>
    <n v="177688340165241"/>
    <s v="(21) 98478-185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3:26"/>
    <s v="3003 - FirjanAtivo"/>
    <s v="---"/>
    <n v="85"/>
    <n v="5587109000190"/>
    <n v="85"/>
    <n v="177688340665321"/>
    <s v="(21) 96500-6500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43:26"/>
    <s v="3003 - FirjanAtivo"/>
    <s v="---"/>
    <n v="86"/>
    <n v="5600088000104"/>
    <n v="86"/>
    <n v="177688340665331"/>
    <s v="(21) 96769-115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43:26"/>
    <s v="3003 - FirjanAtivo"/>
    <s v="---"/>
    <n v="88"/>
    <n v="5870198000188"/>
    <n v="88"/>
    <n v="177688340665341"/>
    <s v="(22) 99999-7377"/>
    <n v="3003"/>
    <s v="Discador"/>
    <s v="Atendido"/>
    <s v="Fora de Area / Cx de Mensagens"/>
    <s v="BPATIVO22042026"/>
    <s v="Cliente"/>
    <n v="131"/>
    <m/>
    <m/>
    <d v="1899-12-30T00:00:08"/>
    <s v="---"/>
    <s v=""/>
    <x v="1"/>
  </r>
  <r>
    <d v="2026-04-22T15:43:36"/>
    <s v="3003 - FirjanAtivo"/>
    <s v="---"/>
    <n v="89"/>
    <n v="5887391000121"/>
    <n v="89"/>
    <n v="177688341665361"/>
    <s v="(22) 99780-6677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43:39"/>
    <s v="3003 - FirjanAtivo"/>
    <s v="---"/>
    <n v="90"/>
    <n v="5951912000162"/>
    <n v="90"/>
    <n v="177688341965381"/>
    <s v="(22) 99278-483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3:51"/>
    <s v="3003 - FirjanAtivo"/>
    <s v="---"/>
    <n v="91"/>
    <n v="6058857000149"/>
    <n v="91"/>
    <n v="177688343165401"/>
    <s v="(22) 99832-543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5:43:52"/>
    <s v="3003 - FirjanAtivo"/>
    <s v="---"/>
    <n v="92"/>
    <n v="6093542000132"/>
    <n v="92"/>
    <n v="177688343265421"/>
    <s v="(22) 98115-032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3:57"/>
    <s v="3003 - FirjanAtivo"/>
    <s v="---"/>
    <n v="93"/>
    <n v="6100968000176"/>
    <n v="93"/>
    <n v="177688343765451"/>
    <s v="(55) 21998-910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5:43:57"/>
    <s v="3003 - FirjanAtivo"/>
    <s v="---"/>
    <n v="94"/>
    <n v="6215708000146"/>
    <n v="94"/>
    <n v="177688343765461"/>
    <s v="(21) 99859-445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4:04"/>
    <s v="3003 - FirjanAtivo"/>
    <s v="---"/>
    <n v="95"/>
    <n v="6236859000180"/>
    <n v="95"/>
    <n v="177688344465481"/>
    <s v="(24) 99277-76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4:11"/>
    <s v="3003 - FirjanAtivo"/>
    <s v="---"/>
    <n v="96"/>
    <n v="6276371000187"/>
    <n v="96"/>
    <n v="177688345165511"/>
    <s v="(21) 96459-205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4:18"/>
    <s v="3003 - FirjanAtivo"/>
    <s v="---"/>
    <n v="97"/>
    <n v="6326043000148"/>
    <n v="97"/>
    <n v="177688345865531"/>
    <s v="(24) 99983-2975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44:22"/>
    <s v="3003 - FirjanAtivo"/>
    <s v="---"/>
    <n v="98"/>
    <n v="6652280000107"/>
    <n v="98"/>
    <n v="177688346265551"/>
    <s v="(55) 21969-7751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5:44:22"/>
    <s v="3003 - FirjanAtivo"/>
    <s v="---"/>
    <n v="99"/>
    <n v="6983876000181"/>
    <n v="99"/>
    <n v="177688346265561"/>
    <s v="(24) 99926-552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4:24"/>
    <s v="3003 - FirjanAtivo"/>
    <s v="---"/>
    <n v="100"/>
    <n v="7042642000364"/>
    <n v="100"/>
    <n v="177688346465591"/>
    <s v="(22) 99883-6782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44:24"/>
    <s v="3003 - FirjanAtivo"/>
    <s v="---"/>
    <n v="102"/>
    <n v="7211888000150"/>
    <n v="102"/>
    <n v="177688346465601"/>
    <s v="(21) 97041-619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5:44:28"/>
    <s v="3003 - FirjanAtivo"/>
    <s v="6044-Roseli Honorato Dos Santos"/>
    <n v="103"/>
    <n v="7355123000194"/>
    <n v="103"/>
    <n v="177688346865611"/>
    <s v="(24) 3326-4426"/>
    <n v="3003"/>
    <s v="Discador"/>
    <s v="Atendido"/>
    <s v="Ligação Muda"/>
    <s v="BPATIVO22042026"/>
    <s v="Agente"/>
    <n v="16"/>
    <m/>
    <m/>
    <d v="1899-12-30T00:00:41"/>
    <d v="1899-12-30T00:00:37"/>
    <s v=""/>
    <x v="1"/>
  </r>
  <r>
    <d v="2026-04-22T15:44:28"/>
    <s v="3003 - FirjanAtivo"/>
    <s v="---"/>
    <n v="104"/>
    <n v="7368744000102"/>
    <n v="104"/>
    <n v="177688346865631"/>
    <s v="(21) 98309-169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4:33"/>
    <s v="3003 - FirjanAtivo"/>
    <s v="---"/>
    <n v="106"/>
    <n v="7485047000131"/>
    <n v="106"/>
    <n v="177688347365651"/>
    <s v="(22) 99218-1454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44:41"/>
    <s v="3003 - FirjanAtivo"/>
    <s v="---"/>
    <n v="108"/>
    <n v="7560240000190"/>
    <n v="108"/>
    <n v="177688348165711"/>
    <s v="(21) 99252-014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4:42"/>
    <s v="3003 - FirjanAtivo"/>
    <s v="---"/>
    <n v="110"/>
    <n v="7585606000185"/>
    <n v="110"/>
    <n v="177688348265731"/>
    <s v="(24) 98181-05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4:49"/>
    <s v="3003 - FirjanAtivo"/>
    <s v="---"/>
    <n v="112"/>
    <n v="7762793000125"/>
    <n v="112"/>
    <n v="177688348965751"/>
    <s v="(24) 93500-079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4:55"/>
    <s v="3003 - FirjanAtivo"/>
    <s v="---"/>
    <n v="113"/>
    <n v="7783371000136"/>
    <n v="113"/>
    <n v="177688349565771"/>
    <s v="(24) 99969-699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4:59"/>
    <s v="3003 - FirjanAtivo"/>
    <s v="---"/>
    <n v="114"/>
    <n v="7876652000133"/>
    <n v="114"/>
    <n v="177688349965791"/>
    <s v="(22) 98819-282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5:05"/>
    <s v="3003 - FirjanAtivo"/>
    <s v="---"/>
    <n v="115"/>
    <n v="7955927000124"/>
    <n v="115"/>
    <n v="177688350565851"/>
    <s v="(22) 98101-229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5:06"/>
    <s v="3003 - FirjanAtivo"/>
    <s v="---"/>
    <n v="116"/>
    <n v="8083779000168"/>
    <n v="116"/>
    <n v="177688350665881"/>
    <s v="(24) 98133-259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5:06"/>
    <s v="3003 - FirjanAtivo"/>
    <s v="---"/>
    <n v="118"/>
    <n v="8144303000190"/>
    <n v="118"/>
    <n v="177688350665891"/>
    <s v="(21) 99989-160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5:08"/>
    <s v="3003 - FirjanAtivo"/>
    <s v="---"/>
    <n v="120"/>
    <n v="8226364000104"/>
    <n v="120"/>
    <n v="177688350865911"/>
    <s v="(24) 99855-1317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45:09"/>
    <s v="3003 - FirjanAtivo"/>
    <s v="---"/>
    <n v="121"/>
    <n v="8311819000262"/>
    <n v="121"/>
    <n v="177688350965931"/>
    <s v="(24) 98122-949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5:14"/>
    <s v="3003 - FirjanAtivo"/>
    <s v="---"/>
    <n v="122"/>
    <n v="8518829000354"/>
    <n v="122"/>
    <n v="177688351465941"/>
    <s v="(21) 99188-746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5:19"/>
    <s v="3003 - FirjanAtivo"/>
    <s v="---"/>
    <n v="123"/>
    <n v="8537926000122"/>
    <n v="123"/>
    <n v="177688351965971"/>
    <s v="(21) 99635-889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5:20"/>
    <s v="3003 - FirjanAtivo"/>
    <s v="---"/>
    <n v="124"/>
    <n v="8599024000110"/>
    <n v="124"/>
    <n v="177688352065981"/>
    <s v="(24) 98814-92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5:21"/>
    <s v="3003 - FirjanAtivo"/>
    <s v="---"/>
    <n v="126"/>
    <n v="8764146000115"/>
    <n v="126"/>
    <n v="177688352166001"/>
    <s v="(21) 97113-19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5:32"/>
    <s v="3003 - FirjanAtivo"/>
    <s v="---"/>
    <n v="127"/>
    <n v="8879331000155"/>
    <n v="127"/>
    <n v="177688353266021"/>
    <s v="(21) 99951-7659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5:45:33"/>
    <s v="3003 - FirjanAtivo"/>
    <s v="---"/>
    <n v="128"/>
    <n v="8892204000196"/>
    <n v="128"/>
    <n v="177688353366041"/>
    <s v="(21) 99465-427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5:33"/>
    <s v="3003 - FirjanAtivo"/>
    <s v="---"/>
    <n v="129"/>
    <n v="8912389000153"/>
    <n v="129"/>
    <n v="177688353366061"/>
    <s v="(21) 99752-2322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45:35"/>
    <s v="3003 - FirjanAtivo"/>
    <s v="---"/>
    <n v="131"/>
    <n v="8973205000165"/>
    <n v="131"/>
    <n v="177688353566081"/>
    <s v="(24) 99860-523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5:37"/>
    <s v="3003 - FirjanAtivo"/>
    <s v="---"/>
    <n v="132"/>
    <n v="8996355000194"/>
    <n v="132"/>
    <n v="177688353766111"/>
    <s v="(21) 97990-031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5:37"/>
    <s v="3003 - FirjanAtivo"/>
    <s v="---"/>
    <n v="133"/>
    <n v="9082639000138"/>
    <n v="133"/>
    <n v="177688353766121"/>
    <s v="(22) 99824-939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5:38"/>
    <s v="3003 - FirjanAtivo"/>
    <s v="---"/>
    <n v="134"/>
    <n v="9158698000142"/>
    <n v="134"/>
    <n v="177688353866131"/>
    <s v="(24) 99956-16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5:47"/>
    <s v="3003 - FirjanAtivo"/>
    <s v="---"/>
    <n v="136"/>
    <n v="9232340000112"/>
    <n v="136"/>
    <n v="177688354766211"/>
    <s v="(24) 98881-036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5:50"/>
    <s v="3003 - FirjanAtivo"/>
    <s v="---"/>
    <n v="137"/>
    <n v="9243828000145"/>
    <n v="137"/>
    <n v="177688355066231"/>
    <s v="(21) 98320-004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5:52"/>
    <s v="3003 - FirjanAtivo"/>
    <s v="---"/>
    <n v="141"/>
    <n v="9477090000180"/>
    <n v="141"/>
    <n v="177688355266251"/>
    <s v="(21) 98141-441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5:54"/>
    <s v="3003 - FirjanAtivo"/>
    <s v="6052-Marcia Lima Peixoto"/>
    <n v="142"/>
    <n v="9524235000157"/>
    <n v="142"/>
    <n v="177688355466271"/>
    <s v="(22) 98120-3199"/>
    <n v="3003"/>
    <s v="Discador"/>
    <s v="Atendido"/>
    <s v="Tel Não Atende / Ocupado"/>
    <s v="BPATIVO22042026"/>
    <s v="Cliente"/>
    <n v="16"/>
    <m/>
    <m/>
    <d v="1899-12-30T00:00:06"/>
    <s v="---"/>
    <s v=""/>
    <x v="1"/>
  </r>
  <r>
    <d v="2026-04-22T15:46:04"/>
    <s v="3003 - FirjanAtivo"/>
    <s v="---"/>
    <n v="143"/>
    <n v="10199619000120"/>
    <n v="143"/>
    <n v="177688356466291"/>
    <s v="(32) 98406-813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6:05"/>
    <s v="3003 - FirjanAtivo"/>
    <s v="---"/>
    <n v="144"/>
    <n v="10312430000100"/>
    <n v="144"/>
    <n v="177688356566321"/>
    <s v="(24) 99839-887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6:05"/>
    <s v="3003 - FirjanAtivo"/>
    <s v="---"/>
    <n v="145"/>
    <n v="10320742000158"/>
    <n v="145"/>
    <n v="177688356566331"/>
    <s v="(21) 99819-678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6:11"/>
    <s v="3003 - FirjanAtivo"/>
    <s v="---"/>
    <n v="146"/>
    <n v="10335794000106"/>
    <n v="146"/>
    <n v="177688357166391"/>
    <s v="(22) 99871-564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6:12"/>
    <s v="3003 - FirjanAtivo"/>
    <s v="---"/>
    <n v="147"/>
    <n v="10364002000113"/>
    <n v="147"/>
    <n v="177688357266411"/>
    <s v="(21) 99567-20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6:22"/>
    <s v="3003 - FirjanAtivo"/>
    <s v="---"/>
    <n v="148"/>
    <n v="10379649000119"/>
    <n v="148"/>
    <n v="177688358266491"/>
    <s v="(24) 99275-600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6:25"/>
    <s v="3003 - FirjanAtivo"/>
    <s v="---"/>
    <n v="149"/>
    <n v="10433504000159"/>
    <n v="149"/>
    <n v="177688358566521"/>
    <s v="(22) 98177-0430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46:25"/>
    <s v="3003 - FirjanAtivo"/>
    <s v="---"/>
    <n v="150"/>
    <n v="10443491000107"/>
    <n v="150"/>
    <n v="177688358566531"/>
    <s v="(22) 98169-663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5:46:33"/>
    <s v="3003 - FirjanAtivo"/>
    <s v="---"/>
    <n v="151"/>
    <n v="10479198000191"/>
    <n v="151"/>
    <n v="177688359366591"/>
    <s v="(22) 98832-5157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46:36"/>
    <s v="3003 - FirjanAtivo"/>
    <s v="---"/>
    <n v="153"/>
    <n v="10594727000106"/>
    <n v="153"/>
    <n v="177688359666641"/>
    <s v="(24) 98803-723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6:38"/>
    <s v="3003 - FirjanAtivo"/>
    <s v="---"/>
    <n v="154"/>
    <n v="10737265000120"/>
    <n v="154"/>
    <n v="177688359866661"/>
    <s v="(22) 99212-85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6:47"/>
    <s v="3003 - FirjanAtivo"/>
    <s v="---"/>
    <n v="155"/>
    <n v="10745721000184"/>
    <n v="155"/>
    <n v="177688360766691"/>
    <s v="(21) 98204-73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6:52"/>
    <s v="3003 - FirjanAtivo"/>
    <s v="---"/>
    <n v="156"/>
    <n v="10746169000149"/>
    <n v="156"/>
    <n v="177688361266711"/>
    <s v="(21) 98808-88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6:52"/>
    <s v="3003 - FirjanAtivo"/>
    <s v="---"/>
    <n v="157"/>
    <n v="10790942000174"/>
    <n v="157"/>
    <n v="177688361266741"/>
    <s v="(21) 96475-70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6:55"/>
    <s v="3003 - FirjanAtivo"/>
    <s v="---"/>
    <n v="158"/>
    <n v="10888515000123"/>
    <n v="158"/>
    <n v="177688361566811"/>
    <s v="(21) 96496-726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6:57"/>
    <s v="3003 - FirjanAtivo"/>
    <s v="---"/>
    <n v="159"/>
    <n v="10984785000138"/>
    <n v="159"/>
    <n v="177688361766831"/>
    <s v="(21) 98474-3198"/>
    <n v="3003"/>
    <s v="Discador"/>
    <s v="Atendido"/>
    <s v="Fora de Area / Cx de Mensagens"/>
    <s v="BPATIVO22042026"/>
    <s v="--"/>
    <n v="128"/>
    <m/>
    <m/>
    <d v="1899-12-30T00:00:05"/>
    <s v="---"/>
    <s v=""/>
    <x v="1"/>
  </r>
  <r>
    <d v="2026-04-22T15:47:05"/>
    <s v="3003 - FirjanAtivo"/>
    <s v="---"/>
    <n v="160"/>
    <n v="11013156000123"/>
    <n v="160"/>
    <n v="177688362566921"/>
    <s v="(22) 99261-9760"/>
    <n v="3003"/>
    <s v="Discador"/>
    <s v="Atendido"/>
    <s v="Fora de Area / Cx de Mensagens"/>
    <s v="BPATIVO22042026"/>
    <s v="--"/>
    <n v="131"/>
    <m/>
    <m/>
    <d v="1899-12-30T00:00:03"/>
    <s v="---"/>
    <s v=""/>
    <x v="1"/>
  </r>
  <r>
    <d v="2026-04-22T15:47:06"/>
    <s v="3003 - FirjanAtivo"/>
    <s v="---"/>
    <n v="161"/>
    <n v="11117005000115"/>
    <n v="161"/>
    <n v="177688362666941"/>
    <s v="(24) 99303-91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7:09"/>
    <s v="3003 - FirjanAtivo"/>
    <s v="---"/>
    <n v="163"/>
    <n v="11360283000107"/>
    <n v="163"/>
    <n v="177688362966961"/>
    <s v="(21) 96448-29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7:14"/>
    <s v="3003 - FirjanAtivo"/>
    <s v="---"/>
    <n v="164"/>
    <n v="11642542000184"/>
    <n v="164"/>
    <n v="177688363466981"/>
    <s v="(24) 99904-2812"/>
    <n v="3003"/>
    <s v="Discador"/>
    <s v="Atendido"/>
    <s v="Fora de Area / Cx de Mensagens"/>
    <s v="BPATIVO22042026"/>
    <s v="--"/>
    <n v="131"/>
    <m/>
    <m/>
    <d v="1899-12-30T00:00:04"/>
    <s v="---"/>
    <s v=""/>
    <x v="1"/>
  </r>
  <r>
    <d v="2026-04-22T15:47:18"/>
    <s v="3003 - FirjanAtivo"/>
    <s v="---"/>
    <n v="165"/>
    <n v="11649203000120"/>
    <n v="165"/>
    <n v="177688363867001"/>
    <s v="(24) 99825-729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7:20"/>
    <s v="3003 - FirjanAtivo"/>
    <s v="---"/>
    <n v="166"/>
    <n v="11661920000177"/>
    <n v="166"/>
    <n v="177688364067021"/>
    <s v="(24) 99227-17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7:23"/>
    <s v="3003 - FirjanAtivo"/>
    <s v="---"/>
    <n v="167"/>
    <n v="11701732000125"/>
    <n v="167"/>
    <n v="177688364367051"/>
    <s v="(22) 99737-282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7:23"/>
    <s v="3003 - FirjanAtivo"/>
    <s v="---"/>
    <n v="169"/>
    <n v="11750615000151"/>
    <n v="169"/>
    <n v="177688364367061"/>
    <s v="(22) 98864-2310"/>
    <n v="3003"/>
    <s v="Discador"/>
    <s v="Atendido"/>
    <s v="Fora de Area / Cx de Mensagens"/>
    <s v="BPATIVO22042026"/>
    <s v="Cliente"/>
    <n v="131"/>
    <m/>
    <m/>
    <d v="1899-12-30T00:00:06"/>
    <s v="---"/>
    <s v=""/>
    <x v="1"/>
  </r>
  <r>
    <d v="2026-04-22T15:47:27"/>
    <s v="3003 - FirjanAtivo"/>
    <s v="---"/>
    <n v="170"/>
    <n v="12022419000123"/>
    <n v="170"/>
    <n v="177688364767081"/>
    <s v="(21) 99623-4556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47:29"/>
    <s v="3003 - FirjanAtivo"/>
    <s v="---"/>
    <n v="171"/>
    <n v="12072761000138"/>
    <n v="171"/>
    <n v="177688364967101"/>
    <s v="(24) 97102-4094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5:47:30"/>
    <s v="3003 - FirjanAtivo"/>
    <s v="6052-Marcia Lima Peixoto"/>
    <n v="172"/>
    <n v="12098243000193"/>
    <n v="172"/>
    <n v="177688365067111"/>
    <s v="(22) 99941-7995"/>
    <n v="3003"/>
    <s v="Discador"/>
    <s v="Atendido"/>
    <s v="Enviar E-mail"/>
    <s v="BPATIVO22042026"/>
    <s v="Agente"/>
    <n v="16"/>
    <m/>
    <m/>
    <d v="1899-12-30T00:02:36"/>
    <d v="1899-12-30T00:02:31"/>
    <n v="1"/>
    <x v="1"/>
  </r>
  <r>
    <d v="2026-04-22T15:47:32"/>
    <s v="3003 - FirjanAtivo"/>
    <s v="---"/>
    <n v="173"/>
    <n v="12266091000190"/>
    <n v="173"/>
    <n v="177688365267131"/>
    <s v="(21) 98782-493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7:32"/>
    <s v="3003 - FirjanAtivo"/>
    <s v="---"/>
    <n v="174"/>
    <n v="12284895000112"/>
    <n v="174"/>
    <n v="177688365267151"/>
    <s v="(21) 99849-469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7:46"/>
    <s v="3003 - FirjanAtivo"/>
    <s v="---"/>
    <n v="176"/>
    <n v="12584713000129"/>
    <n v="176"/>
    <n v="177688366667181"/>
    <s v="(21) 98168-002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7:48"/>
    <s v="3003 - FirjanAtivo"/>
    <s v="---"/>
    <n v="177"/>
    <n v="12710766000149"/>
    <n v="177"/>
    <n v="177688366867251"/>
    <s v="(22) 99253-850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7:49"/>
    <s v="3003 - FirjanAtivo"/>
    <s v="---"/>
    <n v="178"/>
    <n v="12959066000192"/>
    <n v="178"/>
    <n v="177688366967281"/>
    <s v="(21) 99513-221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7:51"/>
    <s v="3003 - FirjanAtivo"/>
    <s v="---"/>
    <n v="179"/>
    <n v="12995318000139"/>
    <n v="179"/>
    <n v="177688367167301"/>
    <s v="(24) 98838-53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7:57"/>
    <s v="3003 - FirjanAtivo"/>
    <s v="---"/>
    <n v="180"/>
    <n v="13065020000192"/>
    <n v="180"/>
    <n v="177688367767331"/>
    <s v="(24) 99231-61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7:58"/>
    <s v="3003 - FirjanAtivo"/>
    <s v="---"/>
    <n v="181"/>
    <n v="13262186000107"/>
    <n v="181"/>
    <n v="177688367867351"/>
    <s v="(21) 99611-816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48:02"/>
    <s v="3003 - FirjanAtivo"/>
    <s v="6044-Roseli Honorato Dos Santos"/>
    <n v="182"/>
    <n v="13265421000196"/>
    <n v="182"/>
    <n v="177688368267371"/>
    <s v="(24) 99835-7233"/>
    <n v="3003"/>
    <s v="Discador"/>
    <s v="Atendido"/>
    <s v="Enviar E-mail"/>
    <s v="BPATIVO22042026"/>
    <s v="Cliente"/>
    <n v="16"/>
    <m/>
    <m/>
    <d v="1899-12-30T00:02:23"/>
    <d v="1899-12-30T00:02:17"/>
    <n v="1"/>
    <x v="1"/>
  </r>
  <r>
    <d v="2026-04-22T15:48:03"/>
    <s v="3003 - FirjanAtivo"/>
    <s v="---"/>
    <n v="183"/>
    <n v="13385694000174"/>
    <n v="183"/>
    <n v="177688368367391"/>
    <s v="(32) 99940-561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8:09"/>
    <s v="3003 - FirjanAtivo"/>
    <s v="---"/>
    <n v="184"/>
    <n v="13410313000160"/>
    <n v="184"/>
    <n v="177688368967411"/>
    <s v="(21) 99259-5895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5:48:11"/>
    <s v="3003 - FirjanAtivo"/>
    <s v="---"/>
    <n v="187"/>
    <n v="13464960000154"/>
    <n v="187"/>
    <n v="177688369167431"/>
    <s v="(21) 98392-8488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48:13"/>
    <s v="3003 - FirjanAtivo"/>
    <s v="---"/>
    <n v="190"/>
    <n v="13744177000144"/>
    <n v="190"/>
    <n v="177688369367451"/>
    <s v="(24) 98838-1296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5:48:22"/>
    <s v="3003 - FirjanAtivo"/>
    <s v="---"/>
    <n v="192"/>
    <n v="14059527000104"/>
    <n v="192"/>
    <n v="177688370267541"/>
    <s v="(21) 96430-263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8:30"/>
    <s v="3003 - FirjanAtivo"/>
    <s v="---"/>
    <n v="193"/>
    <n v="14370573000111"/>
    <n v="193"/>
    <n v="177688371067561"/>
    <s v="(55) 22998-5655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5:48:31"/>
    <s v="3003 - FirjanAtivo"/>
    <s v="---"/>
    <n v="194"/>
    <n v="14440968000143"/>
    <n v="194"/>
    <n v="177688371167571"/>
    <s v="(22) 99881-291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8:33"/>
    <s v="3003 - FirjanAtivo"/>
    <s v="---"/>
    <n v="195"/>
    <n v="14450781000120"/>
    <n v="195"/>
    <n v="177688371367591"/>
    <s v="(24) 99999-26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8:44"/>
    <s v="3003 - FirjanAtivo"/>
    <s v="---"/>
    <n v="196"/>
    <n v="14565807000186"/>
    <n v="196"/>
    <n v="177688372467611"/>
    <s v="(22) 99999-941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8:46"/>
    <s v="3003 - FirjanAtivo"/>
    <s v="---"/>
    <n v="197"/>
    <n v="14766966000149"/>
    <n v="197"/>
    <n v="177688372667631"/>
    <s v="(24) 99832-658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48:53"/>
    <s v="3003 - FirjanAtivo"/>
    <s v="---"/>
    <n v="198"/>
    <n v="14811950000100"/>
    <n v="198"/>
    <n v="177688373367651"/>
    <s v="(24) 99300-3717"/>
    <n v="3003"/>
    <s v="Discador"/>
    <s v="Atendido"/>
    <s v="Fora de Area / Cx de Mensagens"/>
    <s v="BPATIVO22042026"/>
    <s v="--"/>
    <n v="131"/>
    <m/>
    <m/>
    <d v="1899-12-30T00:00:04"/>
    <s v="---"/>
    <s v=""/>
    <x v="1"/>
  </r>
  <r>
    <d v="2026-04-22T15:48:54"/>
    <s v="3003 - FirjanAtivo"/>
    <s v="---"/>
    <n v="199"/>
    <n v="14965593000135"/>
    <n v="199"/>
    <n v="177688373467671"/>
    <s v="(21) 2782-1128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48:59"/>
    <s v="3003 - FirjanAtivo"/>
    <s v="---"/>
    <n v="200"/>
    <n v="15255973000149"/>
    <n v="200"/>
    <n v="177688373967741"/>
    <s v="(21) 98685-281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9:02"/>
    <s v="3003 - FirjanAtivo"/>
    <s v="---"/>
    <n v="202"/>
    <n v="16385008000153"/>
    <n v="202"/>
    <n v="177688374267751"/>
    <s v="(22) 98809-0123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49:02"/>
    <s v="3003 - FirjanAtivo"/>
    <s v="---"/>
    <n v="203"/>
    <n v="16720728000128"/>
    <n v="203"/>
    <n v="177688374267771"/>
    <s v="(22) 99836-443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9:07"/>
    <s v="3003 - FirjanAtivo"/>
    <s v="---"/>
    <n v="204"/>
    <n v="16918406000198"/>
    <n v="204"/>
    <n v="177688374767791"/>
    <s v="(21) 98216-56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9:11"/>
    <s v="3003 - FirjanAtivo"/>
    <s v="---"/>
    <n v="205"/>
    <n v="16918406000198"/>
    <n v="205"/>
    <n v="177688375167851"/>
    <s v="(21) 98216-56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9:16"/>
    <s v="3003 - FirjanAtivo"/>
    <s v="---"/>
    <n v="206"/>
    <n v="16927109000109"/>
    <n v="206"/>
    <n v="177688375667871"/>
    <s v="(21) 99756-9477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49:17"/>
    <s v="3003 - FirjanAtivo"/>
    <s v="---"/>
    <n v="207"/>
    <n v="16959774000184"/>
    <n v="207"/>
    <n v="177688375767891"/>
    <s v="(24) 97404-247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9:26"/>
    <s v="3003 - FirjanAtivo"/>
    <s v="---"/>
    <n v="208"/>
    <n v="17043182000180"/>
    <n v="208"/>
    <n v="177688376667951"/>
    <s v="(24) 99824-172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9:28"/>
    <s v="3003 - FirjanAtivo"/>
    <s v="---"/>
    <n v="209"/>
    <n v="17230906000103"/>
    <n v="209"/>
    <n v="177688376867971"/>
    <s v="(21) 98085-22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9:29"/>
    <s v="3003 - FirjanAtivo"/>
    <s v="---"/>
    <n v="210"/>
    <n v="17232038000192"/>
    <n v="210"/>
    <n v="177688376967991"/>
    <s v="(22) 99701-659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9:31"/>
    <s v="3003 - FirjanAtivo"/>
    <s v="---"/>
    <n v="211"/>
    <n v="17404008000116"/>
    <n v="211"/>
    <n v="177688377168011"/>
    <s v="(21) 99998-759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9:39"/>
    <s v="3003 - FirjanAtivo"/>
    <s v="---"/>
    <n v="212"/>
    <n v="17446625000184"/>
    <n v="212"/>
    <n v="177688377968031"/>
    <s v="(22) 99841-14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9:40"/>
    <s v="3003 - FirjanAtivo"/>
    <s v="---"/>
    <n v="213"/>
    <n v="17845803000140"/>
    <n v="213"/>
    <n v="177688378068061"/>
    <s v="(24) 97402-305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9:40"/>
    <s v="3003 - FirjanAtivo"/>
    <s v="---"/>
    <n v="214"/>
    <n v="18341732000100"/>
    <n v="214"/>
    <n v="177688378068081"/>
    <s v="(24) 99228-2708"/>
    <n v="3003"/>
    <s v="Discador"/>
    <s v="Atendido"/>
    <s v="Fora de Area / Cx de Mensagens"/>
    <s v="BPATIVO22042026"/>
    <s v="Cliente"/>
    <n v="131"/>
    <m/>
    <m/>
    <d v="1899-12-30T00:00:05"/>
    <s v="---"/>
    <s v=""/>
    <x v="1"/>
  </r>
  <r>
    <d v="2026-04-22T15:49:40"/>
    <s v="3003 - FirjanAtivo"/>
    <s v="---"/>
    <n v="215"/>
    <n v="18414594000142"/>
    <n v="215"/>
    <n v="177688378068091"/>
    <s v="(21) 99856-3613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49:44"/>
    <s v="3003 - FirjanAtivo"/>
    <s v="---"/>
    <n v="216"/>
    <n v="18705825000177"/>
    <n v="216"/>
    <n v="177688378468111"/>
    <s v="(21) 99581-391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49:49"/>
    <s v="3003 - FirjanAtivo"/>
    <s v="---"/>
    <n v="217"/>
    <n v="18863657000148"/>
    <n v="217"/>
    <n v="177688378968131"/>
    <s v="(24) 99999-0507"/>
    <n v="3003"/>
    <s v="Discador"/>
    <s v="Atendido"/>
    <s v="Fora de Area / Cx de Mensagens"/>
    <s v="BPATIVO22042026"/>
    <s v="Cliente"/>
    <n v="131"/>
    <m/>
    <m/>
    <d v="1899-12-30T00:00:30"/>
    <s v="---"/>
    <s v=""/>
    <x v="1"/>
  </r>
  <r>
    <d v="2026-04-22T15:49:52"/>
    <s v="3003 - FirjanAtivo"/>
    <s v="---"/>
    <n v="218"/>
    <n v="18889258000156"/>
    <n v="218"/>
    <n v="177688379268151"/>
    <s v="(21) 96711-7352"/>
    <n v="3003"/>
    <s v="Discador"/>
    <s v="Atendido"/>
    <s v="Fora de Area / Cx de Mensagens"/>
    <s v="BPATIVO22042026"/>
    <s v="--"/>
    <n v="128"/>
    <m/>
    <m/>
    <d v="1899-12-30T00:00:04"/>
    <s v="---"/>
    <s v=""/>
    <x v="1"/>
  </r>
  <r>
    <d v="2026-04-22T15:49:54"/>
    <s v="3003 - FirjanAtivo"/>
    <s v="---"/>
    <n v="219"/>
    <n v="18977285000180"/>
    <n v="219"/>
    <n v="177688379468171"/>
    <s v="(21) 98187-062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0:02"/>
    <s v="3003 - FirjanAtivo"/>
    <s v="---"/>
    <n v="221"/>
    <n v="19047535000146"/>
    <n v="221"/>
    <n v="177688380268201"/>
    <s v="(22) 99964-142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0:04"/>
    <s v="3003 - FirjanAtivo"/>
    <s v="---"/>
    <n v="223"/>
    <n v="19410510000165"/>
    <n v="223"/>
    <n v="177688380468211"/>
    <s v="(21) 98848-1808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50:06"/>
    <s v="3003 - FirjanAtivo"/>
    <s v="---"/>
    <n v="224"/>
    <n v="19420382000211"/>
    <n v="224"/>
    <n v="177688380668231"/>
    <s v="(24) 99968-302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0:11"/>
    <s v="3003 - FirjanAtivo"/>
    <s v="---"/>
    <n v="226"/>
    <n v="19753199000157"/>
    <n v="226"/>
    <n v="177688381168251"/>
    <s v="(21) 96752-421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50:15"/>
    <s v="3003 - FirjanAtivo"/>
    <s v="---"/>
    <n v="229"/>
    <n v="20045556000101"/>
    <n v="229"/>
    <n v="177688381568271"/>
    <s v="(22) 99940-411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50:17"/>
    <s v="3003 - FirjanAtivo"/>
    <s v="---"/>
    <n v="230"/>
    <n v="20331303000102"/>
    <n v="230"/>
    <n v="177688381768291"/>
    <s v="(21) 99727-339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0:19"/>
    <s v="3003 - FirjanAtivo"/>
    <s v="---"/>
    <n v="231"/>
    <n v="20415965000152"/>
    <n v="231"/>
    <n v="177688381968311"/>
    <s v="(21) 98565-13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0:23"/>
    <s v="3003 - FirjanAtivo"/>
    <s v="---"/>
    <n v="232"/>
    <n v="20458968000173"/>
    <n v="232"/>
    <n v="177688382368331"/>
    <s v="(22) 99243-73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0:25"/>
    <s v="3003 - FirjanAtivo"/>
    <s v="---"/>
    <n v="233"/>
    <n v="20458968000254"/>
    <n v="233"/>
    <n v="177688382568391"/>
    <s v="(22) 99243-7328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50:27"/>
    <s v="3003 - FirjanAtivo"/>
    <s v="---"/>
    <n v="234"/>
    <n v="20813461000190"/>
    <n v="234"/>
    <n v="177688382768411"/>
    <s v="(21) 99143-00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0:29"/>
    <s v="3003 - FirjanAtivo"/>
    <s v="---"/>
    <n v="235"/>
    <n v="20816553000124"/>
    <n v="235"/>
    <n v="177688382968431"/>
    <s v="(21) 99684-145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0:34"/>
    <s v="3003 - FirjanAtivo"/>
    <s v="---"/>
    <n v="236"/>
    <n v="20843735000194"/>
    <n v="236"/>
    <n v="177688383468511"/>
    <s v="(55) 11973-5599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5:50:35"/>
    <s v="3003 - FirjanAtivo"/>
    <s v="6052-Marcia Lima Peixoto"/>
    <n v="237"/>
    <n v="20920341000192"/>
    <n v="237"/>
    <n v="177688383568521"/>
    <s v="(22) 99830-2885"/>
    <n v="3003"/>
    <s v="Discador"/>
    <s v="Atendido"/>
    <s v="Enviar E-mail"/>
    <s v="BPATIVO22042026"/>
    <s v="Cliente"/>
    <n v="16"/>
    <m/>
    <m/>
    <d v="1899-12-30T00:03:41"/>
    <d v="1899-12-30T00:03:38"/>
    <n v="1"/>
    <x v="1"/>
  </r>
  <r>
    <d v="2026-04-22T15:50:36"/>
    <s v="3003 - FirjanAtivo"/>
    <s v="---"/>
    <n v="240"/>
    <n v="21108715000132"/>
    <n v="240"/>
    <n v="177688383668541"/>
    <s v="(22) 99214-5801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5:50:43"/>
    <s v="3003 - FirjanAtivo"/>
    <s v="---"/>
    <n v="241"/>
    <n v="21147409000105"/>
    <n v="241"/>
    <n v="177688384368561"/>
    <s v="(21) 98047-668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0:46"/>
    <s v="3003 - FirjanAtivo"/>
    <s v="---"/>
    <n v="242"/>
    <n v="21466995000150"/>
    <n v="242"/>
    <n v="177688384668591"/>
    <s v="(24) 99961-312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0:54"/>
    <s v="3003 - FirjanAtivo"/>
    <s v="---"/>
    <n v="243"/>
    <n v="21511926000111"/>
    <n v="243"/>
    <n v="177688385468671"/>
    <s v="(21) 98790-365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0:55"/>
    <s v="3003 - FirjanAtivo"/>
    <s v="6044-Roseli Honorato Dos Santos"/>
    <n v="244"/>
    <n v="21536041000177"/>
    <n v="244"/>
    <n v="177688385568691"/>
    <s v="(21) 2660-5797"/>
    <n v="3003"/>
    <s v="Discador"/>
    <s v="Atendido"/>
    <s v="Enviar E-mail"/>
    <s v="BPATIVO22042026"/>
    <s v="Cliente"/>
    <n v="16"/>
    <m/>
    <m/>
    <d v="1899-12-30T00:03:37"/>
    <d v="1899-12-30T00:03:33"/>
    <n v="1"/>
    <x v="1"/>
  </r>
  <r>
    <d v="2026-04-22T15:50:58"/>
    <s v="3003 - FirjanAtivo"/>
    <s v="---"/>
    <n v="246"/>
    <n v="21918143000157"/>
    <n v="246"/>
    <n v="177688385868711"/>
    <s v="(21) 97672-690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1:01"/>
    <s v="3003 - FirjanAtivo"/>
    <s v="---"/>
    <n v="247"/>
    <n v="21934634000191"/>
    <n v="247"/>
    <n v="177688386168731"/>
    <s v="(21) 99585-8360"/>
    <n v="3003"/>
    <s v="Discador"/>
    <s v="Atendido"/>
    <s v="Fora de Area / Cx de Mensagens"/>
    <s v="BPATIVO22042026"/>
    <s v="--"/>
    <n v="131"/>
    <m/>
    <m/>
    <d v="1899-12-30T00:00:02"/>
    <s v="---"/>
    <s v=""/>
    <x v="1"/>
  </r>
  <r>
    <d v="2026-04-22T15:51:02"/>
    <s v="3003 - FirjanAtivo"/>
    <s v="---"/>
    <n v="248"/>
    <n v="22122960000167"/>
    <n v="248"/>
    <n v="177688386268751"/>
    <s v="(21) 97428-36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1:04"/>
    <s v="3003 - FirjanAtivo"/>
    <s v="---"/>
    <n v="249"/>
    <n v="22213087000118"/>
    <n v="249"/>
    <n v="177688386468771"/>
    <s v="(21) 96466-098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1:08"/>
    <s v="3003 - FirjanAtivo"/>
    <s v="---"/>
    <n v="252"/>
    <n v="22843195000174"/>
    <n v="252"/>
    <n v="177688386868801"/>
    <s v="(21) 99830-0303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51:09"/>
    <s v="3003 - FirjanAtivo"/>
    <s v="---"/>
    <n v="254"/>
    <n v="23054134000190"/>
    <n v="254"/>
    <n v="177688386968811"/>
    <s v="(22) 99857-442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1:10"/>
    <s v="3003 - FirjanAtivo"/>
    <s v="---"/>
    <n v="255"/>
    <n v="23108884000106"/>
    <n v="255"/>
    <n v="177688387068831"/>
    <s v="(21) 99967-786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51:15"/>
    <s v="3003 - FirjanAtivo"/>
    <s v="---"/>
    <n v="256"/>
    <n v="23277156000110"/>
    <n v="256"/>
    <n v="177688387568971"/>
    <s v="(24) 98831-833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1:20"/>
    <s v="3003 - FirjanAtivo"/>
    <s v="---"/>
    <n v="258"/>
    <n v="23391798000145"/>
    <n v="258"/>
    <n v="177688388068991"/>
    <s v="(24) 99241-4636"/>
    <n v="3003"/>
    <s v="Discador"/>
    <s v="Atendido"/>
    <s v="Fora de Area / Cx de Mensagens"/>
    <s v="BPATIVO22042026"/>
    <s v="--"/>
    <n v="131"/>
    <m/>
    <m/>
    <d v="1899-12-30T00:00:00"/>
    <s v="---"/>
    <s v=""/>
    <x v="1"/>
  </r>
  <r>
    <d v="2026-04-22T15:51:26"/>
    <s v="3003 - FirjanAtivo"/>
    <s v="---"/>
    <n v="259"/>
    <n v="23628802000146"/>
    <n v="259"/>
    <n v="177688388669021"/>
    <s v="(21) 98048-109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51:35"/>
    <s v="3003 - FirjanAtivo"/>
    <s v="---"/>
    <n v="260"/>
    <n v="23836838000115"/>
    <n v="260"/>
    <n v="177688389569041"/>
    <s v="(24) 99909-70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1:42"/>
    <s v="3003 - FirjanAtivo"/>
    <s v="---"/>
    <n v="261"/>
    <n v="23884500000139"/>
    <n v="261"/>
    <n v="177688390269071"/>
    <s v="(24) 98824-151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1:45"/>
    <s v="3003 - FirjanAtivo"/>
    <s v="---"/>
    <n v="262"/>
    <n v="24021427000134"/>
    <n v="262"/>
    <n v="177688390569091"/>
    <s v="(21) 97272-875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1:46"/>
    <s v="3003 - FirjanAtivo"/>
    <s v="---"/>
    <n v="263"/>
    <n v="24265410000122"/>
    <n v="263"/>
    <n v="177688390669111"/>
    <s v="(21) 99860-2307"/>
    <n v="3003"/>
    <s v="Discador"/>
    <s v="Atendido"/>
    <s v="Fora de Area / Cx de Mensagens"/>
    <s v="BPATIVO22042026"/>
    <s v="Cliente"/>
    <n v="131"/>
    <m/>
    <m/>
    <d v="1899-12-30T00:00:10"/>
    <s v="---"/>
    <s v=""/>
    <x v="1"/>
  </r>
  <r>
    <d v="2026-04-22T15:51:54"/>
    <s v="3003 - FirjanAtivo"/>
    <s v="---"/>
    <n v="264"/>
    <n v="24323383000105"/>
    <n v="264"/>
    <n v="177688391469141"/>
    <s v="(24) 99996-001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2:00"/>
    <s v="3003 - FirjanAtivo"/>
    <s v="---"/>
    <n v="265"/>
    <n v="24373917000108"/>
    <n v="265"/>
    <n v="177688392069161"/>
    <s v="(24) 98152-001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2:02"/>
    <s v="3003 - FirjanAtivo"/>
    <s v="---"/>
    <n v="266"/>
    <n v="24415773000105"/>
    <n v="266"/>
    <n v="177688392269191"/>
    <s v="(24) 99940-069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2:02"/>
    <s v="3003 - FirjanAtivo"/>
    <s v="---"/>
    <n v="267"/>
    <n v="24569455000190"/>
    <n v="267"/>
    <n v="177688392269201"/>
    <s v="(21) 98627-356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2:16"/>
    <s v="3003 - FirjanAtivo"/>
    <s v="---"/>
    <n v="268"/>
    <n v="24583913000146"/>
    <n v="268"/>
    <n v="177688393669321"/>
    <s v="(21) 96461-8814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5:52:22"/>
    <s v="3003 - FirjanAtivo"/>
    <s v="---"/>
    <n v="269"/>
    <n v="25344452000111"/>
    <n v="269"/>
    <n v="177688394269341"/>
    <s v="(21) 97996-93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2:26"/>
    <s v="3003 - FirjanAtivo"/>
    <s v="---"/>
    <n v="270"/>
    <n v="25404835000138"/>
    <n v="270"/>
    <n v="177688394669351"/>
    <s v="(22) 99821-9454"/>
    <n v="3003"/>
    <s v="Discador"/>
    <s v="Atendido"/>
    <s v="Fora de Area / Cx de Mensagens"/>
    <s v="BPATIVO22042026"/>
    <s v="Cliente"/>
    <n v="131"/>
    <m/>
    <m/>
    <d v="1899-12-30T00:00:20"/>
    <s v="---"/>
    <s v=""/>
    <x v="1"/>
  </r>
  <r>
    <d v="2026-04-22T15:52:28"/>
    <s v="3003 - FirjanAtivo"/>
    <s v="---"/>
    <n v="271"/>
    <n v="25405605000193"/>
    <n v="271"/>
    <n v="177688394869371"/>
    <s v="(22) 99848-231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2:29"/>
    <s v="3003 - FirjanAtivo"/>
    <s v="---"/>
    <n v="272"/>
    <n v="26054449000126"/>
    <n v="272"/>
    <n v="177688394969391"/>
    <s v="(24) 98831-686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2:35"/>
    <s v="3003 - FirjanAtivo"/>
    <s v="---"/>
    <n v="273"/>
    <n v="26181076000154"/>
    <n v="273"/>
    <n v="177688395569411"/>
    <s v="(24) 98105-15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2:37"/>
    <s v="3003 - FirjanAtivo"/>
    <s v="---"/>
    <n v="274"/>
    <n v="26185307000106"/>
    <n v="274"/>
    <n v="177688395769431"/>
    <s v="(24) 99217-773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52:38"/>
    <s v="3003 - FirjanAtivo"/>
    <s v="---"/>
    <n v="275"/>
    <n v="26252435000117"/>
    <n v="275"/>
    <n v="177688395869451"/>
    <s v="(22) 98181-76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2:44"/>
    <s v="3003 - FirjanAtivo"/>
    <s v="---"/>
    <n v="276"/>
    <n v="26295622000188"/>
    <n v="276"/>
    <n v="177688396469531"/>
    <s v="(22) 99773-7282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52:45"/>
    <s v="3003 - FirjanAtivo"/>
    <s v="---"/>
    <n v="277"/>
    <n v="26344541000120"/>
    <n v="277"/>
    <n v="177688396569551"/>
    <s v="(21) 99523-106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5:52:49"/>
    <s v="3003 - FirjanAtivo"/>
    <s v="---"/>
    <n v="278"/>
    <n v="26350061000172"/>
    <n v="278"/>
    <n v="177688396969581"/>
    <s v="(22) 99720-702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2:55"/>
    <s v="3003 - FirjanAtivo"/>
    <s v="---"/>
    <n v="279"/>
    <n v="26401298000135"/>
    <n v="279"/>
    <n v="177688397569631"/>
    <s v="(21) 99649-785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3:04"/>
    <s v="3003 - FirjanAtivo"/>
    <s v="---"/>
    <n v="280"/>
    <n v="26419801000180"/>
    <n v="280"/>
    <n v="177688398469681"/>
    <s v="(24) 99832-658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53:15"/>
    <s v="3003 - FirjanAtivo"/>
    <s v="---"/>
    <n v="281"/>
    <n v="26596537000150"/>
    <n v="281"/>
    <n v="177688399569701"/>
    <s v="(22) 99727-64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3:19"/>
    <s v="3003 - FirjanAtivo"/>
    <s v="---"/>
    <n v="282"/>
    <n v="26753972000140"/>
    <n v="282"/>
    <n v="177688399969771"/>
    <s v="(21) 19829-6975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5:53:19"/>
    <s v="3003 - FirjanAtivo"/>
    <s v="---"/>
    <n v="283"/>
    <n v="26789035000145"/>
    <n v="283"/>
    <n v="177688399969781"/>
    <s v="(21) 99726-2983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53:24"/>
    <s v="3003 - FirjanAtivo"/>
    <s v="---"/>
    <n v="284"/>
    <n v="26871189000181"/>
    <n v="284"/>
    <n v="177688400469841"/>
    <s v="(24) 99305-256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3:27"/>
    <s v="3003 - FirjanAtivo"/>
    <s v="---"/>
    <n v="285"/>
    <n v="26960926000112"/>
    <n v="285"/>
    <n v="177688400769871"/>
    <s v="(24) 99965-739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3:32"/>
    <s v="3003 - FirjanAtivo"/>
    <s v="---"/>
    <n v="286"/>
    <n v="26990729000146"/>
    <n v="286"/>
    <n v="177688401269891"/>
    <s v="(22) 99905-432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3:39"/>
    <s v="3003 - FirjanAtivo"/>
    <s v="---"/>
    <n v="288"/>
    <n v="27037167000183"/>
    <n v="288"/>
    <n v="177688401969921"/>
    <s v="(21) 96416-636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53:39"/>
    <s v="3003 - FirjanAtivo"/>
    <s v="---"/>
    <n v="290"/>
    <n v="27316226000152"/>
    <n v="290"/>
    <n v="177688401969931"/>
    <s v="(21) 99297-218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3:47"/>
    <s v="3003 - FirjanAtivo"/>
    <s v="---"/>
    <n v="291"/>
    <n v="27379033000140"/>
    <n v="291"/>
    <n v="177688402769951"/>
    <s v="(21) 98241-6981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5:53:58"/>
    <s v="3003 - FirjanAtivo"/>
    <s v="---"/>
    <n v="292"/>
    <n v="27439229000183"/>
    <n v="292"/>
    <n v="177688403870011"/>
    <s v="(21) 97428-36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4:02"/>
    <s v="3003 - FirjanAtivo"/>
    <s v="---"/>
    <n v="293"/>
    <n v="27559945000102"/>
    <n v="293"/>
    <n v="177688404270031"/>
    <s v="(22) 99265-340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4:02"/>
    <s v="3003 - FirjanAtivo"/>
    <s v="---"/>
    <n v="294"/>
    <n v="27813377000116"/>
    <n v="294"/>
    <n v="177688404270041"/>
    <s v="(21) 96468-135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4:08"/>
    <s v="3003 - FirjanAtivo"/>
    <s v="---"/>
    <n v="295"/>
    <n v="27931047000125"/>
    <n v="295"/>
    <n v="177688404870121"/>
    <s v="(22) 99744-0953"/>
    <n v="3003"/>
    <s v="Discador"/>
    <s v="Atendido"/>
    <s v="Fora de Area / Cx de Mensagens"/>
    <s v="BPATIVO22042026"/>
    <s v="--"/>
    <n v="128"/>
    <m/>
    <m/>
    <d v="1899-12-30T00:00:04"/>
    <s v="---"/>
    <s v=""/>
    <x v="1"/>
  </r>
  <r>
    <d v="2026-04-22T15:54:11"/>
    <s v="3003 - FirjanAtivo"/>
    <s v="---"/>
    <n v="298"/>
    <n v="28093477000188"/>
    <n v="298"/>
    <n v="177688405170141"/>
    <s v="(24) 99219-255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4:16"/>
    <s v="3003 - FirjanAtivo"/>
    <s v="---"/>
    <n v="299"/>
    <n v="28113645000150"/>
    <n v="299"/>
    <n v="177688405670171"/>
    <s v="(21) 99649-2814"/>
    <n v="3003"/>
    <s v="Discador"/>
    <s v="Atendido"/>
    <s v="Fora de Area / Cx de Mensagens"/>
    <s v="BPATIVO22042026"/>
    <s v="--"/>
    <n v="131"/>
    <m/>
    <m/>
    <d v="1899-12-30T00:00:00"/>
    <s v="---"/>
    <s v=""/>
    <x v="1"/>
  </r>
  <r>
    <d v="2026-04-22T15:54:16"/>
    <s v="3003 - FirjanAtivo"/>
    <s v="---"/>
    <n v="300"/>
    <n v="28483585000167"/>
    <n v="300"/>
    <n v="177688405670181"/>
    <s v="(21) 97021-2590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5:54:20"/>
    <s v="3003 - FirjanAtivo"/>
    <s v="---"/>
    <n v="301"/>
    <n v="28566081000100"/>
    <n v="301"/>
    <n v="177688406070241"/>
    <s v="(24) 98818-043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4:23"/>
    <s v="3003 - FirjanAtivo"/>
    <s v="---"/>
    <n v="302"/>
    <n v="28584852000192"/>
    <n v="302"/>
    <n v="177688406370321"/>
    <s v="(21) 96467-655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4:27"/>
    <s v="3003 - FirjanAtivo"/>
    <s v="---"/>
    <n v="304"/>
    <n v="28673609000140"/>
    <n v="304"/>
    <n v="177688406770341"/>
    <s v="(21) 98273-948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4:30"/>
    <s v="3003 - FirjanAtivo"/>
    <s v="---"/>
    <n v="305"/>
    <n v="28679579000180"/>
    <n v="305"/>
    <n v="177688407070361"/>
    <s v="(24) 99856-672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4:33"/>
    <s v="3003 - FirjanAtivo"/>
    <s v="---"/>
    <n v="306"/>
    <n v="28757458000109"/>
    <n v="306"/>
    <n v="177688407370391"/>
    <s v="(21) 99755-464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4:42"/>
    <s v="3003 - FirjanAtivo"/>
    <s v="---"/>
    <n v="307"/>
    <n v="28774621000141"/>
    <n v="307"/>
    <n v="177688408270411"/>
    <s v="(21) 98857-3664"/>
    <n v="3003"/>
    <s v="Discador"/>
    <s v="Atendido"/>
    <s v="Fora de Area / Cx de Mensagens"/>
    <s v="BPATIVO22042026"/>
    <s v="Cliente"/>
    <n v="131"/>
    <m/>
    <m/>
    <d v="1899-12-30T00:00:10"/>
    <s v="---"/>
    <s v=""/>
    <x v="1"/>
  </r>
  <r>
    <d v="2026-04-22T15:54:43"/>
    <s v="3003 - FirjanAtivo"/>
    <s v="---"/>
    <n v="308"/>
    <n v="28801829000102"/>
    <n v="308"/>
    <n v="177688408370431"/>
    <s v="(22) 99820-773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4:46"/>
    <s v="3003 - FirjanAtivo"/>
    <s v="---"/>
    <n v="309"/>
    <n v="28804490000106"/>
    <n v="309"/>
    <n v="177688408670451"/>
    <s v="(24) 99257-759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4:47"/>
    <s v="3003 - FirjanAtivo"/>
    <s v="---"/>
    <n v="310"/>
    <n v="28818441000114"/>
    <n v="310"/>
    <n v="177688408770481"/>
    <s v="(21) 98151-192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4:53"/>
    <s v="3003 - FirjanAtivo"/>
    <s v="---"/>
    <n v="311"/>
    <n v="28839589000135"/>
    <n v="311"/>
    <n v="177688409370561"/>
    <s v="(21) 98152-3778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54:54"/>
    <s v="3003 - FirjanAtivo"/>
    <s v="---"/>
    <n v="312"/>
    <n v="28886281000140"/>
    <n v="312"/>
    <n v="177688409470581"/>
    <s v="(22) 99953-802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5:11"/>
    <s v="3003 - FirjanAtivo"/>
    <s v="---"/>
    <n v="313"/>
    <n v="28889028000140"/>
    <n v="313"/>
    <n v="177688411170691"/>
    <s v="(21) 98157-428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5:14"/>
    <s v="3003 - FirjanAtivo"/>
    <s v="---"/>
    <n v="314"/>
    <n v="29203700000165"/>
    <n v="314"/>
    <n v="177688411470721"/>
    <s v="(21) 99808-47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5:15"/>
    <s v="3003 - FirjanAtivo"/>
    <s v="---"/>
    <n v="315"/>
    <n v="29230335000188"/>
    <n v="315"/>
    <n v="177688411570741"/>
    <s v="(21) 97123-214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5:15"/>
    <s v="3003 - FirjanAtivo"/>
    <s v="---"/>
    <n v="318"/>
    <n v="29313890000173"/>
    <n v="318"/>
    <n v="177688411570751"/>
    <s v="(55) 21989-9831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5:55:15"/>
    <s v="3003 - FirjanAtivo"/>
    <s v="---"/>
    <n v="320"/>
    <n v="29348695000189"/>
    <n v="320"/>
    <n v="177688411570761"/>
    <s v="(21) 99986-93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5:15"/>
    <s v="3003 - FirjanAtivo"/>
    <s v="6044-Roseli Honorato Dos Santos"/>
    <n v="323"/>
    <n v="29627007000110"/>
    <n v="323"/>
    <n v="177688411570781"/>
    <s v="(22) 99924-2133"/>
    <n v="3003"/>
    <s v="Discador"/>
    <s v="Atendido"/>
    <s v="Enviar E-mail"/>
    <s v="BPATIVO22042026"/>
    <s v="Cliente"/>
    <n v="16"/>
    <m/>
    <m/>
    <d v="1899-12-30T00:02:14"/>
    <d v="1899-12-30T00:02:09"/>
    <n v="1"/>
    <x v="1"/>
  </r>
  <r>
    <d v="2026-04-22T15:55:24"/>
    <s v="3003 - FirjanAtivo"/>
    <s v="---"/>
    <n v="325"/>
    <n v="29654365000111"/>
    <n v="325"/>
    <n v="177688412470801"/>
    <s v="(21) 96411-300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5:29"/>
    <s v="3003 - FirjanAtivo"/>
    <s v="---"/>
    <n v="326"/>
    <n v="29688710000138"/>
    <n v="326"/>
    <n v="177688412970831"/>
    <s v="(22) 99844-323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5:32"/>
    <s v="3003 - FirjanAtivo"/>
    <s v="---"/>
    <n v="327"/>
    <n v="29732268000108"/>
    <n v="327"/>
    <n v="177688413270861"/>
    <s v="(22) 98141-8451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5:55:35"/>
    <s v="3003 - FirjanAtivo"/>
    <s v="---"/>
    <n v="328"/>
    <n v="29762098000104"/>
    <n v="328"/>
    <n v="177688413570881"/>
    <s v="(24) 99284-4720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5:55:50"/>
    <s v="3003 - FirjanAtivo"/>
    <s v="---"/>
    <n v="322"/>
    <n v="29549276000105"/>
    <n v="322"/>
    <n v="177688411570771"/>
    <s v="(21) 99800-9367"/>
    <n v="3003"/>
    <s v="Discador"/>
    <s v="Atendido"/>
    <s v="Fora de Area / Cx de Mensagens"/>
    <s v="BPATIVO22042026"/>
    <s v="Cliente"/>
    <n v="131"/>
    <m/>
    <m/>
    <d v="1899-12-30T00:00:29"/>
    <s v="---"/>
    <s v=""/>
    <x v="1"/>
  </r>
  <r>
    <d v="2026-04-22T15:56:09"/>
    <s v="3003 - FirjanAtivo"/>
    <s v="---"/>
    <n v="329"/>
    <n v="29763215000146"/>
    <n v="329"/>
    <n v="177688416971001"/>
    <s v="(21) 97956-0542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56:09"/>
    <s v="3003 - FirjanAtivo"/>
    <s v="---"/>
    <n v="330"/>
    <n v="29804549000110"/>
    <n v="330"/>
    <n v="177688416971011"/>
    <s v="(24) 99263-77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6:09"/>
    <s v="3003 - FirjanAtivo"/>
    <s v="---"/>
    <n v="331"/>
    <n v="29971512000187"/>
    <n v="331"/>
    <n v="177688416971021"/>
    <s v="(21) 98400-59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6:10"/>
    <s v="3003 - FirjanAtivo"/>
    <s v="---"/>
    <n v="332"/>
    <n v="29976990000180"/>
    <n v="332"/>
    <n v="177688417071031"/>
    <s v="(21) 99211-268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6:14"/>
    <s v="3003 - FirjanAtivo"/>
    <s v="---"/>
    <n v="333"/>
    <n v="30116263000121"/>
    <n v="333"/>
    <n v="177688417471081"/>
    <s v="(21) 99191-084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5:56:15"/>
    <s v="3003 - FirjanAtivo"/>
    <s v="---"/>
    <n v="334"/>
    <n v="30162531000141"/>
    <n v="334"/>
    <n v="177688417571141"/>
    <s v="(21) 99362-968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6:20"/>
    <s v="3003 - FirjanAtivo"/>
    <s v="---"/>
    <n v="335"/>
    <n v="30165203000107"/>
    <n v="335"/>
    <n v="177688418071201"/>
    <s v="(24) 98802-434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6:21"/>
    <s v="3003 - FirjanAtivo"/>
    <s v="---"/>
    <n v="336"/>
    <n v="30168759000149"/>
    <n v="336"/>
    <n v="177688418171211"/>
    <s v="(24) 99713-0782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5:56:22"/>
    <s v="3003 - FirjanAtivo"/>
    <s v="---"/>
    <n v="337"/>
    <n v="30182814000155"/>
    <n v="337"/>
    <n v="177688418271221"/>
    <s v="(21) 97256-670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6:26"/>
    <s v="3003 - FirjanAtivo"/>
    <s v="---"/>
    <n v="338"/>
    <n v="30220686000197"/>
    <n v="338"/>
    <n v="177688418671241"/>
    <s v="(22) 98831-34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6:40"/>
    <s v="3003 - FirjanAtivo"/>
    <s v="---"/>
    <n v="340"/>
    <n v="30301105000141"/>
    <n v="340"/>
    <n v="177688420071261"/>
    <s v="(21) 96805-465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6:41"/>
    <s v="3003 - FirjanAtivo"/>
    <s v="6052-Marcia Lima Peixoto"/>
    <n v="341"/>
    <n v="30410728000152"/>
    <n v="341"/>
    <n v="177688420171281"/>
    <s v="(22) 99833-4300"/>
    <n v="3003"/>
    <s v="Discador"/>
    <s v="Atendido"/>
    <s v="Enviar E-mail"/>
    <s v="BPATIVO22042026"/>
    <s v="Agente"/>
    <n v="16"/>
    <m/>
    <m/>
    <d v="1899-12-30T00:02:56"/>
    <d v="1899-12-30T00:02:52"/>
    <n v="1"/>
    <x v="1"/>
  </r>
  <r>
    <d v="2026-04-22T15:56:44"/>
    <s v="3003 - FirjanAtivo"/>
    <s v="---"/>
    <n v="342"/>
    <n v="30540991000166"/>
    <n v="342"/>
    <n v="177688420471301"/>
    <s v="(22) 99277-290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6:49"/>
    <s v="3003 - FirjanAtivo"/>
    <s v="---"/>
    <n v="343"/>
    <n v="30546429000140"/>
    <n v="343"/>
    <n v="177688420971321"/>
    <s v="(21) 98109-83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6:54"/>
    <s v="3003 - FirjanAtivo"/>
    <s v="---"/>
    <n v="344"/>
    <n v="30548467000131"/>
    <n v="344"/>
    <n v="177688421471341"/>
    <s v="(55) 21982-826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5:56:56"/>
    <s v="3003 - FirjanAtivo"/>
    <s v="---"/>
    <n v="345"/>
    <n v="30603615000173"/>
    <n v="345"/>
    <n v="177688421671361"/>
    <s v="(21) 96635-623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6:59"/>
    <s v="3003 - FirjanAtivo"/>
    <s v="---"/>
    <n v="346"/>
    <n v="30704910000116"/>
    <n v="346"/>
    <n v="177688421971381"/>
    <s v="(21) 98331-790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7:00"/>
    <s v="3003 - FirjanAtivo"/>
    <s v="---"/>
    <n v="347"/>
    <n v="30780625000184"/>
    <n v="347"/>
    <n v="177688422071401"/>
    <s v="(21) 99245-6513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57:11"/>
    <s v="3003 - FirjanAtivo"/>
    <s v="---"/>
    <n v="348"/>
    <n v="30828743000115"/>
    <n v="348"/>
    <n v="177688423171501"/>
    <s v="(21) 99880-5967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57:11"/>
    <s v="3003 - FirjanAtivo"/>
    <s v="---"/>
    <n v="349"/>
    <n v="30905379000140"/>
    <n v="349"/>
    <n v="177688423171521"/>
    <s v="(24) 98881-171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7:12"/>
    <s v="3003 - FirjanAtivo"/>
    <s v="---"/>
    <n v="350"/>
    <n v="31084270000151"/>
    <n v="350"/>
    <n v="177688423271541"/>
    <s v="(21) 97046-396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7:14"/>
    <s v="3003 - FirjanAtivo"/>
    <s v="---"/>
    <n v="351"/>
    <n v="31086168000195"/>
    <n v="351"/>
    <n v="177688423471561"/>
    <s v="(22) 99493-516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5:57:14"/>
    <s v="3003 - FirjanAtivo"/>
    <s v="---"/>
    <n v="352"/>
    <n v="31131246000126"/>
    <n v="352"/>
    <n v="177688423471571"/>
    <s v="(24) 98846-451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7:23"/>
    <s v="3003 - FirjanAtivo"/>
    <s v="---"/>
    <n v="353"/>
    <n v="31131998000197"/>
    <n v="353"/>
    <n v="177688424371591"/>
    <s v="(21) 99911-891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7:26"/>
    <s v="3003 - FirjanAtivo"/>
    <s v="---"/>
    <n v="354"/>
    <n v="31142292000120"/>
    <n v="354"/>
    <n v="177688424671611"/>
    <s v="(21) 99678-28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7:27"/>
    <s v="3003 - FirjanAtivo"/>
    <s v="---"/>
    <n v="355"/>
    <n v="31142572000139"/>
    <n v="355"/>
    <n v="177688424771631"/>
    <s v="(21) 99851-082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7:27"/>
    <s v="3003 - FirjanAtivo"/>
    <s v="---"/>
    <n v="356"/>
    <n v="31301737000178"/>
    <n v="356"/>
    <n v="177688424771641"/>
    <s v="(21) 98133-471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7:36"/>
    <s v="3003 - FirjanAtivo"/>
    <s v="---"/>
    <n v="357"/>
    <n v="31307787000162"/>
    <n v="357"/>
    <n v="177688425671701"/>
    <s v="(22) 99981-3134"/>
    <n v="3003"/>
    <s v="Discador"/>
    <s v="Atendido"/>
    <s v="Fora de Area / Cx de Mensagens"/>
    <s v="BPATIVO22042026"/>
    <s v="Cliente"/>
    <n v="131"/>
    <m/>
    <m/>
    <d v="1899-12-30T00:00:07"/>
    <s v="---"/>
    <s v=""/>
    <x v="1"/>
  </r>
  <r>
    <d v="2026-04-22T15:57:39"/>
    <s v="3003 - FirjanAtivo"/>
    <s v="---"/>
    <n v="358"/>
    <n v="31396511000106"/>
    <n v="358"/>
    <n v="177688425971721"/>
    <s v="(21) 98149-983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7:40"/>
    <s v="3003 - FirjanAtivo"/>
    <s v="---"/>
    <n v="359"/>
    <n v="31441165000122"/>
    <n v="359"/>
    <n v="177688426071741"/>
    <s v="(22) 99231-8360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57:43"/>
    <s v="3003 - FirjanAtivo"/>
    <s v="---"/>
    <n v="361"/>
    <n v="31591969000108"/>
    <n v="361"/>
    <n v="177688426371771"/>
    <s v="(21) 97597-816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7:43"/>
    <s v="3003 - FirjanAtivo"/>
    <s v="---"/>
    <n v="362"/>
    <n v="31627306000104"/>
    <n v="362"/>
    <n v="177688426371781"/>
    <s v="(22) 99758-98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7:51"/>
    <s v="3003 - FirjanAtivo"/>
    <s v="---"/>
    <n v="364"/>
    <n v="31669377000161"/>
    <n v="364"/>
    <n v="177688427171811"/>
    <s v="(55) 21268-769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5:57:53"/>
    <s v="3003 - FirjanAtivo"/>
    <s v="---"/>
    <n v="365"/>
    <n v="31865488000143"/>
    <n v="365"/>
    <n v="177688427371821"/>
    <s v="(21) 99959-656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7:55"/>
    <s v="3003 - FirjanAtivo"/>
    <s v="---"/>
    <n v="366"/>
    <n v="31967201000196"/>
    <n v="366"/>
    <n v="177688427571881"/>
    <s v="(24) 98142-53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7:56"/>
    <s v="3003 - FirjanAtivo"/>
    <s v="---"/>
    <n v="367"/>
    <n v="31969017000185"/>
    <n v="367"/>
    <n v="177688427671921"/>
    <s v="(24) 99983-297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7:56"/>
    <s v="3003 - FirjanAtivo"/>
    <s v="---"/>
    <n v="369"/>
    <n v="32121837000185"/>
    <n v="369"/>
    <n v="177688427671931"/>
    <s v="(21) 97972-1348"/>
    <n v="3003"/>
    <s v="Discador"/>
    <s v="Atendido"/>
    <s v="Fora de Area / Cx de Mensagens"/>
    <s v="BPATIVO22042026"/>
    <s v="Cliente"/>
    <n v="131"/>
    <m/>
    <m/>
    <d v="1899-12-30T00:00:07"/>
    <s v="---"/>
    <s v=""/>
    <x v="1"/>
  </r>
  <r>
    <d v="2026-04-22T15:57:56"/>
    <s v="3003 - FirjanAtivo"/>
    <s v="---"/>
    <n v="370"/>
    <n v="32256448000167"/>
    <n v="370"/>
    <n v="177688427671941"/>
    <s v="(21) 96756-026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7:56"/>
    <s v="3003 - FirjanAtivo"/>
    <s v="---"/>
    <n v="371"/>
    <n v="32258196000105"/>
    <n v="371"/>
    <n v="177688427671951"/>
    <s v="(21) 99443-7171"/>
    <n v="3003"/>
    <s v="Discador"/>
    <s v="Atendido"/>
    <s v="Fora de Area / Cx de Mensagens"/>
    <s v="BPATIVO22042026"/>
    <s v="Cliente"/>
    <n v="131"/>
    <m/>
    <m/>
    <d v="1899-12-30T00:00:11"/>
    <s v="---"/>
    <s v=""/>
    <x v="1"/>
  </r>
  <r>
    <d v="2026-04-22T15:58:06"/>
    <s v="3003 - FirjanAtivo"/>
    <s v="---"/>
    <n v="372"/>
    <n v="32303404000140"/>
    <n v="372"/>
    <n v="177688428672101"/>
    <s v="(21) 99685-444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8:07"/>
    <s v="3003 - FirjanAtivo"/>
    <s v="---"/>
    <n v="373"/>
    <n v="32333337000107"/>
    <n v="373"/>
    <n v="177688428772111"/>
    <s v="(22) 99983-1403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58:09"/>
    <s v="3003 - FirjanAtivo"/>
    <s v="---"/>
    <n v="374"/>
    <n v="32514234000143"/>
    <n v="374"/>
    <n v="177688428972141"/>
    <s v="(24) 98806-6006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58:12"/>
    <s v="3003 - FirjanAtivo"/>
    <s v="---"/>
    <n v="375"/>
    <n v="32579807000117"/>
    <n v="375"/>
    <n v="177688429272161"/>
    <s v="(22) 99978-138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58:17"/>
    <s v="3003 - FirjanAtivo"/>
    <s v="---"/>
    <n v="376"/>
    <n v="32599342000166"/>
    <n v="376"/>
    <n v="177688429772181"/>
    <s v="(22) 99989-2597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58:33"/>
    <s v="3003 - FirjanAtivo"/>
    <s v="---"/>
    <n v="377"/>
    <n v="32956821000192"/>
    <n v="377"/>
    <n v="177688431372261"/>
    <s v="(24) 99216-7770"/>
    <n v="3003"/>
    <s v="Discador"/>
    <s v="Atendido"/>
    <s v="Fora de Area / Cx de Mensagens"/>
    <s v="BPATIVO22042026"/>
    <s v="--"/>
    <n v="147"/>
    <m/>
    <m/>
    <d v="1899-12-30T00:00:06"/>
    <s v="---"/>
    <s v=""/>
    <x v="1"/>
  </r>
  <r>
    <d v="2026-04-22T15:58:33"/>
    <s v="3003 - FirjanAtivo"/>
    <s v="---"/>
    <n v="378"/>
    <n v="32968396000151"/>
    <n v="378"/>
    <n v="177688431372271"/>
    <s v="(21) 98323-903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8:33"/>
    <s v="3003 - FirjanAtivo"/>
    <s v="---"/>
    <n v="380"/>
    <n v="33117243000163"/>
    <n v="380"/>
    <n v="177688431372281"/>
    <s v="(21) 99220-828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8:33"/>
    <s v="3003 - FirjanAtivo"/>
    <s v="---"/>
    <n v="381"/>
    <n v="33208034000125"/>
    <n v="381"/>
    <n v="177688431372291"/>
    <s v="(21) 98834-2617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5:58:33"/>
    <s v="3003 - FirjanAtivo"/>
    <s v="---"/>
    <n v="382"/>
    <n v="33208174000101"/>
    <n v="382"/>
    <n v="177688431372301"/>
    <s v="(21) 98584-82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8:49"/>
    <s v="3003 - FirjanAtivo"/>
    <s v="---"/>
    <n v="383"/>
    <n v="33242199000113"/>
    <n v="383"/>
    <n v="177688432972321"/>
    <s v="(21) 98757-201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8:50"/>
    <s v="3003 - FirjanAtivo"/>
    <s v="---"/>
    <n v="384"/>
    <n v="33262916000179"/>
    <n v="384"/>
    <n v="177688433072351"/>
    <s v="(21) 96477-27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8:50"/>
    <s v="3003 - FirjanAtivo"/>
    <s v="---"/>
    <n v="385"/>
    <n v="33472846000183"/>
    <n v="385"/>
    <n v="177688433072361"/>
    <s v="(21) 96547-3391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5:58:55"/>
    <s v="3003 - FirjanAtivo"/>
    <s v="---"/>
    <n v="386"/>
    <n v="33524117000123"/>
    <n v="386"/>
    <n v="177688433572441"/>
    <s v="(21) 99769-9629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5:58:55"/>
    <s v="3003 - FirjanAtivo"/>
    <s v="---"/>
    <n v="387"/>
    <n v="33524950000174"/>
    <n v="387"/>
    <n v="177688433572461"/>
    <s v="(21) 99311-420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9:11"/>
    <s v="3003 - FirjanAtivo"/>
    <s v="---"/>
    <n v="388"/>
    <n v="33833660000102"/>
    <n v="388"/>
    <n v="177688435172621"/>
    <s v="(22) 99760-70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9:12"/>
    <s v="3003 - FirjanAtivo"/>
    <s v="---"/>
    <n v="389"/>
    <n v="33863778000183"/>
    <n v="389"/>
    <n v="177688435172631"/>
    <s v="(21) 99182-492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9:12"/>
    <s v="3003 - FirjanAtivo"/>
    <s v="6044-Roseli Honorato Dos Santos"/>
    <n v="390"/>
    <n v="33880863000150"/>
    <n v="390"/>
    <n v="177688435272641"/>
    <s v="(21) 99540-3710"/>
    <n v="3003"/>
    <s v="Discador"/>
    <s v="Atendido"/>
    <s v="Ligação Muda"/>
    <s v="BPATIVO22042026"/>
    <s v="Cliente"/>
    <n v="16"/>
    <m/>
    <m/>
    <d v="1899-12-30T00:00:15"/>
    <d v="1899-12-30T00:00:09"/>
    <s v=""/>
    <x v="1"/>
  </r>
  <r>
    <d v="2026-04-22T15:59:12"/>
    <s v="3003 - FirjanAtivo"/>
    <s v="---"/>
    <n v="391"/>
    <n v="33889341000119"/>
    <n v="391"/>
    <n v="177688435272651"/>
    <s v="(21) 99493-843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9:18"/>
    <s v="3003 - FirjanAtivo"/>
    <s v="---"/>
    <n v="392"/>
    <n v="33979964000182"/>
    <n v="392"/>
    <n v="177688435872701"/>
    <s v="(21) 99944-830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9:21"/>
    <s v="3003 - FirjanAtivo"/>
    <s v="---"/>
    <n v="393"/>
    <n v="34005108000199"/>
    <n v="393"/>
    <n v="177688436172751"/>
    <s v="(21) 99948-26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9:23"/>
    <s v="3003 - FirjanAtivo"/>
    <s v="---"/>
    <n v="394"/>
    <n v="34050567000194"/>
    <n v="394"/>
    <n v="177688436372771"/>
    <s v="(21) 99977-18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9:23"/>
    <s v="3003 - FirjanAtivo"/>
    <s v="---"/>
    <n v="395"/>
    <n v="34058701000101"/>
    <n v="395"/>
    <n v="177688436372781"/>
    <s v="(21) 99338-911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9:30"/>
    <s v="3003 - FirjanAtivo"/>
    <s v="---"/>
    <n v="396"/>
    <n v="34413663000150"/>
    <n v="396"/>
    <n v="177688437072831"/>
    <s v="(22) 99741-120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9:33"/>
    <s v="3003 - FirjanAtivo"/>
    <s v="---"/>
    <n v="397"/>
    <n v="34484975000154"/>
    <n v="397"/>
    <n v="177688437372901"/>
    <s v="(21) 99816-040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9:43"/>
    <s v="3003 - FirjanAtivo"/>
    <s v="---"/>
    <n v="398"/>
    <n v="34851161000100"/>
    <n v="398"/>
    <n v="177688438372941"/>
    <s v="(24) 99997-5044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5:59:44"/>
    <s v="3003 - FirjanAtivo"/>
    <s v="---"/>
    <n v="399"/>
    <n v="34978275000116"/>
    <n v="399"/>
    <n v="177688438472951"/>
    <s v="(21) 99557-621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9:44"/>
    <s v="3003 - FirjanAtivo"/>
    <s v="---"/>
    <n v="400"/>
    <n v="35055430000195"/>
    <n v="400"/>
    <n v="177688438472971"/>
    <s v="(24) 99833-182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9:50"/>
    <s v="3003 - FirjanAtivo"/>
    <s v="---"/>
    <n v="402"/>
    <n v="35700816000102"/>
    <n v="402"/>
    <n v="177688439072991"/>
    <s v="(22) 99257-0909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5:59:52"/>
    <s v="3003 - FirjanAtivo"/>
    <s v="---"/>
    <n v="403"/>
    <n v="35765734000146"/>
    <n v="403"/>
    <n v="177688439273021"/>
    <s v="(21) 98897-015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5:59:57"/>
    <s v="3003 - FirjanAtivo"/>
    <s v="---"/>
    <n v="404"/>
    <n v="35872118000194"/>
    <n v="404"/>
    <n v="177688439773051"/>
    <s v="(24) 97404-145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5:59:57"/>
    <s v="3003 - FirjanAtivo"/>
    <s v="---"/>
    <n v="405"/>
    <n v="35981385000108"/>
    <n v="405"/>
    <n v="177688439773061"/>
    <s v="(22) 99946-826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0:01"/>
    <s v="3003 - FirjanAtivo"/>
    <s v="---"/>
    <n v="406"/>
    <n v="35982209000182"/>
    <n v="406"/>
    <n v="177688440173081"/>
    <s v="(21) 97014-642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0:04"/>
    <s v="3003 - FirjanAtivo"/>
    <s v="---"/>
    <n v="408"/>
    <n v="36085439000101"/>
    <n v="408"/>
    <n v="177688440473111"/>
    <s v="(21) 96900-7409"/>
    <n v="3003"/>
    <s v="Discador"/>
    <s v="Atendido"/>
    <s v="Fora de Area / Cx de Mensagens"/>
    <s v="BPATIVO22042026"/>
    <s v="--"/>
    <n v="128"/>
    <m/>
    <m/>
    <d v="1899-12-30T00:00:02"/>
    <s v="---"/>
    <s v=""/>
    <x v="1"/>
  </r>
  <r>
    <d v="2026-04-22T16:00:04"/>
    <s v="3003 - FirjanAtivo"/>
    <s v="---"/>
    <n v="409"/>
    <n v="36158632000125"/>
    <n v="409"/>
    <n v="177688440473121"/>
    <s v="(21) 99461-811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0:09"/>
    <s v="3003 - FirjanAtivo"/>
    <s v="---"/>
    <n v="410"/>
    <n v="36204923000102"/>
    <n v="410"/>
    <n v="177688440973191"/>
    <s v="(22) 99833-32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0:17"/>
    <s v="3003 - FirjanAtivo"/>
    <s v="---"/>
    <n v="411"/>
    <n v="36264719000187"/>
    <n v="411"/>
    <n v="177688441773321"/>
    <s v="(24) 98103-475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0:18"/>
    <s v="3003 - FirjanAtivo"/>
    <s v="---"/>
    <n v="414"/>
    <n v="36481984000117"/>
    <n v="414"/>
    <n v="177688441873341"/>
    <s v="(22) 98120-2194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00:19"/>
    <s v="3003 - FirjanAtivo"/>
    <s v="---"/>
    <n v="415"/>
    <n v="36509446000193"/>
    <n v="415"/>
    <n v="177688441973351"/>
    <s v="(24) 99239-599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0:28"/>
    <s v="3003 - FirjanAtivo"/>
    <s v="---"/>
    <n v="416"/>
    <n v="36541506000155"/>
    <n v="416"/>
    <n v="177688442873371"/>
    <s v="(67) 09157-8769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00:28"/>
    <s v="3003 - FirjanAtivo"/>
    <s v="---"/>
    <n v="417"/>
    <n v="36565794000188"/>
    <n v="417"/>
    <n v="177688442873381"/>
    <s v="(22) 99955-7739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00:34"/>
    <s v="3003 - FirjanAtivo"/>
    <s v="---"/>
    <n v="418"/>
    <n v="36567717000167"/>
    <n v="418"/>
    <n v="177688443473411"/>
    <s v="(22) 98132-465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0:35"/>
    <s v="3003 - FirjanAtivo"/>
    <s v="---"/>
    <n v="419"/>
    <n v="36572501000190"/>
    <n v="419"/>
    <n v="177688443573431"/>
    <s v="(22) 99982-775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0:39"/>
    <s v="3003 - FirjanAtivo"/>
    <s v="---"/>
    <n v="420"/>
    <n v="36936004000123"/>
    <n v="420"/>
    <n v="177688443973451"/>
    <s v="(21) 96409-893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1:00"/>
    <s v="3003 - FirjanAtivo"/>
    <s v="---"/>
    <n v="421"/>
    <n v="37285492000119"/>
    <n v="421"/>
    <n v="177688446073551"/>
    <s v="(24) 98114-157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1:11"/>
    <s v="3003 - FirjanAtivo"/>
    <s v="---"/>
    <n v="422"/>
    <n v="37407191000110"/>
    <n v="422"/>
    <n v="177688447173571"/>
    <s v="(24) 98126-2199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01:13"/>
    <s v="3003 - FirjanAtivo"/>
    <s v="---"/>
    <n v="424"/>
    <n v="37676685000109"/>
    <n v="424"/>
    <n v="177688447373591"/>
    <s v="(21) 96433-646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1:19"/>
    <s v="3003 - FirjanAtivo"/>
    <s v="---"/>
    <n v="425"/>
    <n v="37785014000178"/>
    <n v="425"/>
    <n v="177688447973611"/>
    <s v="(21) 96945-2479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01:30"/>
    <s v="3003 - FirjanAtivo"/>
    <s v="---"/>
    <n v="426"/>
    <n v="37961934000108"/>
    <n v="426"/>
    <n v="177688449073641"/>
    <s v="(21) 99985-210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1:30"/>
    <s v="3003 - FirjanAtivo"/>
    <s v="---"/>
    <n v="427"/>
    <n v="38253250000106"/>
    <n v="427"/>
    <n v="177688449073651"/>
    <s v="(21) 96433-0092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01:32"/>
    <s v="3003 - FirjanAtivo"/>
    <s v="---"/>
    <n v="428"/>
    <n v="38327906000198"/>
    <n v="428"/>
    <n v="177688449273671"/>
    <s v="(22) 99999-703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1:45"/>
    <s v="3003 - FirjanAtivo"/>
    <s v="---"/>
    <n v="429"/>
    <n v="38456890000113"/>
    <n v="429"/>
    <n v="177688450573761"/>
    <s v="(21) 97013-116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1:46"/>
    <s v="3003 - FirjanAtivo"/>
    <s v="---"/>
    <n v="430"/>
    <n v="39210513000162"/>
    <n v="430"/>
    <n v="177688450673791"/>
    <s v="(24) 99309-794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02:00"/>
    <s v="3003 - FirjanAtivo"/>
    <s v="---"/>
    <n v="431"/>
    <n v="39214150000133"/>
    <n v="431"/>
    <n v="177688452073811"/>
    <s v="(22) 99930-756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02:19"/>
    <s v="3003 - FirjanAtivo"/>
    <s v="---"/>
    <n v="432"/>
    <n v="39216809000190"/>
    <n v="432"/>
    <n v="177688453973891"/>
    <s v="(21) 97730-266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2:20"/>
    <s v="3003 - FirjanAtivo"/>
    <s v="---"/>
    <n v="433"/>
    <n v="39220751000159"/>
    <n v="433"/>
    <n v="177688454073911"/>
    <s v="(22) 98132-465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2:34"/>
    <s v="3003 - FirjanAtivo"/>
    <s v="---"/>
    <n v="434"/>
    <n v="39227830000191"/>
    <n v="434"/>
    <n v="177688455473931"/>
    <s v="(22) 99704-98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2:37"/>
    <s v="3003 - FirjanAtivo"/>
    <s v="---"/>
    <n v="435"/>
    <n v="39468257000108"/>
    <n v="435"/>
    <n v="177688455773941"/>
    <s v="(71) 98143-5224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02:49"/>
    <s v="3003 - FirjanAtivo"/>
    <s v="---"/>
    <n v="436"/>
    <n v="39556402000102"/>
    <n v="436"/>
    <n v="177688456973961"/>
    <s v="(24) 97401-715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2:50"/>
    <s v="3003 - FirjanAtivo"/>
    <s v="---"/>
    <n v="437"/>
    <n v="39596079000109"/>
    <n v="437"/>
    <n v="177688457073971"/>
    <s v="(24) 98855-736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2:51"/>
    <s v="3003 - FirjanAtivo"/>
    <s v="---"/>
    <n v="438"/>
    <n v="39929832000122"/>
    <n v="438"/>
    <n v="177688457173991"/>
    <s v="(24) 99825-19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2:58"/>
    <s v="3003 - FirjanAtivo"/>
    <s v="---"/>
    <n v="439"/>
    <n v="39935945000130"/>
    <n v="439"/>
    <n v="177688457874071"/>
    <s v="(21) 99856-3613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03:02"/>
    <s v="3003 - FirjanAtivo"/>
    <s v="---"/>
    <n v="440"/>
    <n v="40019453000184"/>
    <n v="440"/>
    <n v="177688458274091"/>
    <s v="(22) 98171-008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3:08"/>
    <s v="3003 - FirjanAtivo"/>
    <s v="---"/>
    <n v="441"/>
    <n v="40127921000134"/>
    <n v="441"/>
    <n v="177688458874111"/>
    <s v="(22) 98802-72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3:21"/>
    <s v="3003 - FirjanAtivo"/>
    <s v="6044-Roseli Honorato Dos Santos"/>
    <n v="442"/>
    <n v="40144814000114"/>
    <n v="442"/>
    <n v="177688460174141"/>
    <s v="(21) 96913-1587"/>
    <n v="3003"/>
    <s v="Discador"/>
    <s v="Atendido"/>
    <s v="Enviar E-mail"/>
    <s v="BPATIVO22042026"/>
    <s v="Cliente"/>
    <n v="16"/>
    <m/>
    <m/>
    <d v="1899-12-30T00:02:03"/>
    <d v="1899-12-30T00:01:57"/>
    <n v="1"/>
    <x v="1"/>
  </r>
  <r>
    <d v="2026-04-22T16:03:21"/>
    <s v="3003 - FirjanAtivo"/>
    <s v="---"/>
    <n v="443"/>
    <n v="40159980000194"/>
    <n v="443"/>
    <n v="177688460174151"/>
    <s v="(21) 98181-263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3:23"/>
    <s v="3003 - FirjanAtivo"/>
    <s v="---"/>
    <n v="445"/>
    <n v="40205791000100"/>
    <n v="445"/>
    <n v="177688460374221"/>
    <s v="(21) 96438-45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3:45"/>
    <s v="3003 - FirjanAtivo"/>
    <s v="---"/>
    <n v="446"/>
    <n v="40217278000130"/>
    <n v="446"/>
    <n v="177688462574331"/>
    <s v="(22) 99893-3832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03:52"/>
    <s v="3003 - FirjanAtivo"/>
    <s v="---"/>
    <n v="447"/>
    <n v="40290991000109"/>
    <n v="447"/>
    <n v="177688463274411"/>
    <s v="(22) 99525-5637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03:53"/>
    <s v="3003 - FirjanAtivo"/>
    <s v="---"/>
    <n v="448"/>
    <n v="40503929000158"/>
    <n v="448"/>
    <n v="177688463374421"/>
    <s v="(21) 98396-424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04:08"/>
    <s v="3003 - FirjanAtivo"/>
    <s v="---"/>
    <n v="449"/>
    <n v="40687859000135"/>
    <n v="449"/>
    <n v="177688464874461"/>
    <s v="(21) 98780-000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4:09"/>
    <s v="3003 - FirjanAtivo"/>
    <s v="---"/>
    <n v="450"/>
    <n v="40696152000195"/>
    <n v="450"/>
    <n v="177688464974471"/>
    <s v="(22) 99787-8564"/>
    <n v="3003"/>
    <s v="Discador"/>
    <s v="Atendido"/>
    <s v="Fora de Area / Cx de Mensagens"/>
    <s v="BPATIVO22042026"/>
    <s v="--"/>
    <n v="147"/>
    <m/>
    <m/>
    <d v="1899-12-30T00:00:06"/>
    <s v="---"/>
    <s v=""/>
    <x v="1"/>
  </r>
  <r>
    <d v="2026-04-22T16:04:36"/>
    <s v="3003 - FirjanAtivo"/>
    <s v="6044-Roseli Honorato Dos Santos"/>
    <n v="451"/>
    <n v="40713777000118"/>
    <n v="451"/>
    <n v="177688467674491"/>
    <s v="(24) 98867-7928"/>
    <n v="3003"/>
    <s v="Discador"/>
    <s v="Atendido"/>
    <s v="Ligação Muda"/>
    <s v="BPATIVO22042026"/>
    <s v="Cliente"/>
    <n v="16"/>
    <m/>
    <m/>
    <d v="1899-12-30T00:01:52"/>
    <d v="1899-12-30T00:01:22"/>
    <s v=""/>
    <x v="1"/>
  </r>
  <r>
    <d v="2026-04-22T16:04:51"/>
    <s v="3003 - FirjanAtivo"/>
    <s v="---"/>
    <n v="452"/>
    <n v="40904952000154"/>
    <n v="452"/>
    <n v="177688469174551"/>
    <s v="(21) 99987-2359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04:53"/>
    <s v="3003 - FirjanAtivo"/>
    <s v="---"/>
    <n v="453"/>
    <n v="41284144000102"/>
    <n v="453"/>
    <n v="177688469374571"/>
    <s v="(21) 96556-21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5:13"/>
    <s v="3003 - FirjanAtivo"/>
    <s v="---"/>
    <n v="454"/>
    <n v="41433088000112"/>
    <n v="454"/>
    <n v="177688471374601"/>
    <s v="(22) 99243-97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5:16"/>
    <s v="3003 - FirjanAtivo"/>
    <s v="---"/>
    <n v="455"/>
    <n v="41601367000148"/>
    <n v="455"/>
    <n v="177688471674621"/>
    <s v="(22) 99841-478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5:28"/>
    <s v="3003 - FirjanAtivo"/>
    <s v="---"/>
    <n v="456"/>
    <n v="41907234000102"/>
    <n v="456"/>
    <n v="177688472874641"/>
    <s v="(22) 99225-9403"/>
    <n v="3003"/>
    <s v="Discador"/>
    <s v="Atendido"/>
    <s v="Fora de Area / Cx de Mensagens"/>
    <s v="BPATIVO22042026"/>
    <s v="Cliente"/>
    <n v="131"/>
    <m/>
    <m/>
    <d v="1899-12-30T00:00:11"/>
    <s v="---"/>
    <s v=""/>
    <x v="1"/>
  </r>
  <r>
    <d v="2026-04-22T16:05:37"/>
    <s v="3003 - FirjanAtivo"/>
    <s v="---"/>
    <n v="457"/>
    <n v="42081946000170"/>
    <n v="457"/>
    <n v="177688473774671"/>
    <s v="(21) 96410-86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5:44"/>
    <s v="3003 - FirjanAtivo"/>
    <s v="---"/>
    <n v="458"/>
    <n v="42427558000106"/>
    <n v="458"/>
    <n v="177688474474751"/>
    <s v="(21) 99598-64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5:50"/>
    <s v="3003 - FirjanAtivo"/>
    <s v="---"/>
    <n v="459"/>
    <n v="42430090000109"/>
    <n v="459"/>
    <n v="177688475074771"/>
    <s v="(21) 19982-2154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05:51"/>
    <s v="3003 - FirjanAtivo"/>
    <s v="---"/>
    <n v="460"/>
    <n v="42497263000106"/>
    <n v="460"/>
    <n v="177688475174781"/>
    <s v="(21) 96448-0102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05:53"/>
    <s v="3003 - FirjanAtivo"/>
    <s v="---"/>
    <n v="461"/>
    <n v="42558791000110"/>
    <n v="461"/>
    <n v="177688475374801"/>
    <s v="(21) 97637-8052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05:59"/>
    <s v="3003 - FirjanAtivo"/>
    <s v="---"/>
    <n v="462"/>
    <n v="42564351000175"/>
    <n v="462"/>
    <n v="177688475974821"/>
    <s v="(21) 98840-487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06:05"/>
    <s v="3003 - FirjanAtivo"/>
    <s v="---"/>
    <n v="463"/>
    <n v="42764642000107"/>
    <n v="463"/>
    <n v="177688476574841"/>
    <s v="(21) 97295-3079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06:14"/>
    <s v="3003 - FirjanAtivo"/>
    <s v="---"/>
    <n v="464"/>
    <n v="42834744000151"/>
    <n v="464"/>
    <n v="177688477474851"/>
    <s v="(21) 99654-9088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06:14"/>
    <s v="3003 - FirjanAtivo"/>
    <s v="---"/>
    <n v="465"/>
    <n v="42895602000102"/>
    <n v="465"/>
    <n v="177688477474861"/>
    <s v="(22) 99831-5390"/>
    <s v="Falha"/>
    <s v="Discador"/>
    <s v="Não Atendeu"/>
    <s v="Não Atendeu"/>
    <s v="BPATIVO22042026"/>
    <s v="--"/>
    <n v="38"/>
    <m/>
    <m/>
    <d v="1899-12-30T00:00:00"/>
    <s v="---"/>
    <s v=""/>
    <x v="1"/>
  </r>
  <r>
    <d v="2026-04-22T16:06:14"/>
    <s v="3003 - FirjanAtivo"/>
    <s v="---"/>
    <n v="467"/>
    <n v="43189309000184"/>
    <n v="467"/>
    <n v="177688477474871"/>
    <s v="(22) 99826-2171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06:14"/>
    <s v="3003 - FirjanAtivo"/>
    <s v="---"/>
    <n v="468"/>
    <n v="43291803000155"/>
    <n v="468"/>
    <n v="177688477474881"/>
    <s v="(21) 99390-337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6:15"/>
    <s v="3003 - FirjanAtivo"/>
    <s v="---"/>
    <n v="469"/>
    <n v="43600132000167"/>
    <n v="469"/>
    <n v="177688477574891"/>
    <s v="(24) 98188-313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6:15"/>
    <s v="3003 - FirjanAtivo"/>
    <s v="---"/>
    <n v="470"/>
    <n v="43608407000109"/>
    <n v="470"/>
    <n v="177688477574901"/>
    <s v="(21) 99043-710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6:20"/>
    <s v="3003 - FirjanAtivo"/>
    <s v="---"/>
    <n v="471"/>
    <n v="43647834000104"/>
    <n v="471"/>
    <n v="177688478074911"/>
    <s v="(22) 98130-674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6:26"/>
    <s v="3003 - FirjanAtivo"/>
    <s v="---"/>
    <n v="472"/>
    <n v="43753738000132"/>
    <n v="472"/>
    <n v="177688478674931"/>
    <s v="(22) 98811-464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6:28"/>
    <s v="3003 - FirjanAtivo"/>
    <s v="---"/>
    <n v="473"/>
    <n v="43907332000167"/>
    <n v="473"/>
    <n v="177688478874951"/>
    <s v="(21) 98790-365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6:28"/>
    <s v="3003 - FirjanAtivo"/>
    <s v="---"/>
    <n v="474"/>
    <n v="44141387000171"/>
    <n v="474"/>
    <n v="177688478874971"/>
    <s v="(21) 99799-3422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06:31"/>
    <s v="3003 - FirjanAtivo"/>
    <s v="---"/>
    <n v="475"/>
    <n v="44172855000175"/>
    <n v="475"/>
    <n v="177688479174991"/>
    <s v="(21) 96441-64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6:34"/>
    <s v="3003 - FirjanAtivo"/>
    <s v="6052-Marcia Lima Peixoto"/>
    <n v="476"/>
    <n v="45020481000135"/>
    <n v="476"/>
    <n v="177688479475051"/>
    <s v="(24) 98817-5986"/>
    <n v="3003"/>
    <s v="Discador"/>
    <s v="Atendido"/>
    <s v="Tel Não Atende / Ocupado"/>
    <s v="BPATIVO22042026"/>
    <s v="Cliente"/>
    <n v="16"/>
    <m/>
    <m/>
    <d v="1899-12-30T00:00:30"/>
    <d v="1899-12-30T00:00:25"/>
    <s v=""/>
    <x v="1"/>
  </r>
  <r>
    <d v="2026-04-22T16:06:38"/>
    <s v="3003 - FirjanAtivo"/>
    <s v="---"/>
    <n v="477"/>
    <n v="45271123000103"/>
    <n v="477"/>
    <n v="177688479875061"/>
    <s v="(24) 98848-207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6:44"/>
    <s v="3003 - FirjanAtivo"/>
    <s v="---"/>
    <n v="478"/>
    <n v="45504294000127"/>
    <n v="478"/>
    <n v="177688480475091"/>
    <s v="(22) 99930-205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06:50"/>
    <s v="3003 - FirjanAtivo"/>
    <s v="---"/>
    <n v="479"/>
    <n v="45618003000121"/>
    <n v="479"/>
    <n v="177688481075111"/>
    <s v="(22) 99266-189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6:53"/>
    <s v="3003 - FirjanAtivo"/>
    <s v="---"/>
    <n v="480"/>
    <n v="45642764000119"/>
    <n v="480"/>
    <n v="177688481375141"/>
    <s v="(21) 99293-32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6:53"/>
    <s v="3003 - FirjanAtivo"/>
    <s v="---"/>
    <n v="481"/>
    <n v="45654432000154"/>
    <n v="481"/>
    <n v="177688481375151"/>
    <s v="(22) 99793-594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6:58"/>
    <s v="3003 - FirjanAtivo"/>
    <s v="---"/>
    <n v="482"/>
    <n v="46265059000102"/>
    <n v="482"/>
    <n v="177688481875161"/>
    <s v="(21) 02199-8325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06:59"/>
    <s v="3003 - FirjanAtivo"/>
    <s v="---"/>
    <n v="483"/>
    <n v="46660690000106"/>
    <n v="483"/>
    <n v="177688481975171"/>
    <s v="(21) 98883-32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7:05"/>
    <s v="3003 - FirjanAtivo"/>
    <s v="---"/>
    <n v="484"/>
    <n v="46884983000177"/>
    <n v="484"/>
    <n v="177688482575191"/>
    <s v="(21) 96411-4857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07:07"/>
    <s v="3003 - FirjanAtivo"/>
    <s v="---"/>
    <n v="485"/>
    <n v="46905043000117"/>
    <n v="485"/>
    <n v="177688482775211"/>
    <s v="(21) 98820-6645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07:14"/>
    <s v="3003 - FirjanAtivo"/>
    <s v="---"/>
    <n v="486"/>
    <n v="47197932000130"/>
    <n v="486"/>
    <n v="177688483475241"/>
    <s v="(21) 98565-13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7:14"/>
    <s v="3003 - FirjanAtivo"/>
    <s v="---"/>
    <n v="487"/>
    <n v="48145681000102"/>
    <n v="487"/>
    <n v="177688483475251"/>
    <s v="(24) 98856-3953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07:17"/>
    <s v="3003 - FirjanAtivo"/>
    <s v="---"/>
    <n v="488"/>
    <n v="48319171000104"/>
    <n v="488"/>
    <n v="177688483775271"/>
    <s v="(22) 97405-553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07:19"/>
    <s v="3003 - FirjanAtivo"/>
    <s v="---"/>
    <n v="489"/>
    <n v="48361628000149"/>
    <n v="489"/>
    <n v="177688483975281"/>
    <s v="(24) 98823-8317"/>
    <n v="3003"/>
    <s v="Discador"/>
    <s v="Atendido"/>
    <s v="Fora de Area / Cx de Mensagens"/>
    <s v="BPATIVO22042026"/>
    <s v="Cliente"/>
    <n v="131"/>
    <m/>
    <m/>
    <d v="1899-12-30T00:00:04"/>
    <s v="---"/>
    <s v=""/>
    <x v="1"/>
  </r>
  <r>
    <d v="2026-04-22T16:07:21"/>
    <s v="3003 - FirjanAtivo"/>
    <s v="---"/>
    <n v="490"/>
    <n v="48762740000191"/>
    <n v="490"/>
    <n v="177688484175301"/>
    <s v="(22) 98801-495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7:25"/>
    <s v="3003 - FirjanAtivo"/>
    <s v="---"/>
    <n v="491"/>
    <n v="48793273000167"/>
    <n v="491"/>
    <n v="177688484575321"/>
    <s v="(21) 99221-31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7:31"/>
    <s v="3003 - FirjanAtivo"/>
    <s v="---"/>
    <n v="492"/>
    <n v="48968786000161"/>
    <n v="492"/>
    <n v="177688485175341"/>
    <s v="(21) 96412-77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7:32"/>
    <s v="3003 - FirjanAtivo"/>
    <s v="---"/>
    <n v="493"/>
    <n v="49039587000131"/>
    <n v="493"/>
    <n v="177688485275361"/>
    <s v="(21) 96462-0376"/>
    <n v="3003"/>
    <s v="Discador"/>
    <s v="Atendido"/>
    <s v="Fora de Area / Cx de Mensagens"/>
    <s v="BPATIVO22042026"/>
    <s v="Cliente"/>
    <n v="131"/>
    <m/>
    <m/>
    <d v="1899-12-30T00:00:08"/>
    <s v="---"/>
    <s v=""/>
    <x v="1"/>
  </r>
  <r>
    <d v="2026-04-22T16:07:33"/>
    <s v="3003 - FirjanAtivo"/>
    <s v="---"/>
    <n v="494"/>
    <n v="49310128000140"/>
    <n v="494"/>
    <n v="177688485375381"/>
    <s v="(21) 96462-03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7:38"/>
    <s v="3003 - FirjanAtivo"/>
    <s v="---"/>
    <n v="495"/>
    <n v="49419902000156"/>
    <n v="495"/>
    <n v="177688485875401"/>
    <s v="(21) 97281-99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7:43"/>
    <s v="3003 - FirjanAtivo"/>
    <s v="---"/>
    <n v="497"/>
    <n v="49606616000108"/>
    <n v="497"/>
    <n v="177688486375441"/>
    <s v="(24) 99930-8767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07:43"/>
    <s v="3003 - FirjanAtivo"/>
    <s v="---"/>
    <n v="498"/>
    <n v="49876067000183"/>
    <n v="498"/>
    <n v="177688486375451"/>
    <s v="(22) 99872-7233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07:44"/>
    <s v="3003 - FirjanAtivo"/>
    <s v="---"/>
    <n v="499"/>
    <n v="49895195000174"/>
    <n v="499"/>
    <n v="177688486475471"/>
    <s v="(22) 98144-533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7:45"/>
    <s v="3003 - FirjanAtivo"/>
    <s v="---"/>
    <n v="500"/>
    <n v="50253555000113"/>
    <n v="500"/>
    <n v="177688486575491"/>
    <s v="(24) 99292-7214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07:48"/>
    <s v="3003 - FirjanAtivo"/>
    <s v="---"/>
    <n v="501"/>
    <n v="50300325000168"/>
    <n v="501"/>
    <n v="177688486875511"/>
    <s v="(22) 99805-794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7:57"/>
    <s v="3003 - FirjanAtivo"/>
    <s v="---"/>
    <n v="502"/>
    <n v="50884703000106"/>
    <n v="502"/>
    <n v="177688487775551"/>
    <s v="(22) 99895-2016"/>
    <n v="3003"/>
    <s v="Discador"/>
    <s v="Atendido"/>
    <s v="Fora de Area / Cx de Mensagens"/>
    <s v="BPATIVO22042026"/>
    <s v="--"/>
    <n v="128"/>
    <m/>
    <m/>
    <d v="1899-12-30T00:00:05"/>
    <s v="---"/>
    <s v=""/>
    <x v="1"/>
  </r>
  <r>
    <d v="2026-04-22T16:07:57"/>
    <s v="3003 - FirjanAtivo"/>
    <s v="6044-Roseli Honorato Dos Santos"/>
    <n v="503"/>
    <n v="51081827000108"/>
    <n v="503"/>
    <n v="177688487775561"/>
    <s v="(24) 99212-2215"/>
    <n v="3003"/>
    <s v="Discador"/>
    <s v="Atendido"/>
    <s v="Cliente Desligou"/>
    <s v="BPATIVO22042026"/>
    <s v="Cliente"/>
    <n v="16"/>
    <m/>
    <m/>
    <d v="1899-12-30T00:00:12"/>
    <d v="1899-12-30T00:00:08"/>
    <s v=""/>
    <x v="1"/>
  </r>
  <r>
    <d v="2026-04-22T16:07:57"/>
    <s v="3003 - FirjanAtivo"/>
    <s v="---"/>
    <n v="504"/>
    <n v="51318932000118"/>
    <n v="504"/>
    <n v="177688487775571"/>
    <s v="(22) 99956-6724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07:57"/>
    <s v="3003 - FirjanAtivo"/>
    <s v="---"/>
    <n v="505"/>
    <n v="51780829000195"/>
    <n v="505"/>
    <n v="177688487775591"/>
    <s v="(24) 99215-404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7:58"/>
    <s v="3003 - FirjanAtivo"/>
    <s v="---"/>
    <n v="506"/>
    <n v="52007964000165"/>
    <n v="506"/>
    <n v="177688487875601"/>
    <s v="(22) 99951-525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8:00"/>
    <s v="3003 - FirjanAtivo"/>
    <s v="---"/>
    <n v="507"/>
    <n v="53060069000177"/>
    <n v="507"/>
    <n v="177688488075621"/>
    <s v="(22) 99276-985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8:11"/>
    <s v="3003 - FirjanAtivo"/>
    <s v="6044-Roseli Honorato Dos Santos"/>
    <n v="508"/>
    <n v="53105568000133"/>
    <n v="508"/>
    <n v="177688489175641"/>
    <s v="(24) 98159-8783"/>
    <n v="3003"/>
    <s v="Discador"/>
    <s v="Atendido"/>
    <s v="Enviar E-mail"/>
    <s v="BPATIVO22042026"/>
    <s v="Cliente"/>
    <n v="16"/>
    <m/>
    <m/>
    <d v="1899-12-30T00:03:29"/>
    <d v="1899-12-30T00:03:24"/>
    <n v="1"/>
    <x v="1"/>
  </r>
  <r>
    <d v="2026-04-22T16:08:12"/>
    <s v="3003 - FirjanAtivo"/>
    <s v="---"/>
    <n v="509"/>
    <n v="53116705000135"/>
    <n v="509"/>
    <n v="177688489275671"/>
    <s v="(21) 97300-81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8:15"/>
    <s v="3003 - FirjanAtivo"/>
    <s v="---"/>
    <n v="510"/>
    <n v="53135563000153"/>
    <n v="510"/>
    <n v="177688489575691"/>
    <s v="(21) 97361-1414"/>
    <n v="3003"/>
    <s v="Discador"/>
    <s v="Atendido"/>
    <s v="Fora de Area / Cx de Mensagens"/>
    <s v="BPATIVO22042026"/>
    <s v="--"/>
    <n v="131"/>
    <m/>
    <m/>
    <d v="1899-12-30T00:00:01"/>
    <s v="---"/>
    <s v=""/>
    <x v="1"/>
  </r>
  <r>
    <d v="2026-04-22T16:08:17"/>
    <s v="3003 - FirjanAtivo"/>
    <s v="---"/>
    <n v="511"/>
    <n v="53159230000164"/>
    <n v="511"/>
    <n v="177688489775711"/>
    <s v="(22) 98169-2907"/>
    <n v="3003"/>
    <s v="Discador"/>
    <s v="Atendido"/>
    <s v="Fora de Area / Cx de Mensagens"/>
    <s v="BPATIVO22042026"/>
    <s v="Cliente"/>
    <n v="131"/>
    <m/>
    <m/>
    <d v="1899-12-30T00:00:09"/>
    <s v="---"/>
    <s v=""/>
    <x v="1"/>
  </r>
  <r>
    <d v="2026-04-22T16:08:23"/>
    <s v="3003 - FirjanAtivo"/>
    <s v="---"/>
    <n v="512"/>
    <n v="53380505000195"/>
    <n v="512"/>
    <n v="177688490375751"/>
    <s v="(24) 99880-118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8:23"/>
    <s v="3003 - FirjanAtivo"/>
    <s v="---"/>
    <n v="513"/>
    <n v="53472383000167"/>
    <n v="513"/>
    <n v="177688490375761"/>
    <s v="(22) 99949-0970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08:23"/>
    <s v="3003 - FirjanAtivo"/>
    <s v="---"/>
    <n v="514"/>
    <n v="53691935000128"/>
    <n v="514"/>
    <n v="177688490375771"/>
    <s v="(21) 97155-6522"/>
    <s v="Falha"/>
    <s v="Discador"/>
    <s v="Não Atendeu"/>
    <s v="Não Atendeu"/>
    <s v="BPATIVO22042026"/>
    <s v="--"/>
    <n v="21"/>
    <m/>
    <m/>
    <d v="1899-12-30T00:00:00"/>
    <s v="---"/>
    <s v=""/>
    <x v="1"/>
  </r>
  <r>
    <d v="2026-04-22T16:08:24"/>
    <s v="3003 - FirjanAtivo"/>
    <s v="---"/>
    <n v="515"/>
    <n v="54478765000160"/>
    <n v="515"/>
    <n v="177688490475791"/>
    <s v="(24) 99821-845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8:26"/>
    <s v="3003 - FirjanAtivo"/>
    <s v="---"/>
    <n v="516"/>
    <n v="55143066000122"/>
    <n v="516"/>
    <n v="177688490675811"/>
    <s v="(24) 99269-71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8:28"/>
    <s v="3003 - FirjanAtivo"/>
    <s v="---"/>
    <n v="517"/>
    <n v="55385904000174"/>
    <n v="517"/>
    <n v="177688490875841"/>
    <s v="(24) 98848-2076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08:33"/>
    <s v="3003 - FirjanAtivo"/>
    <s v="---"/>
    <n v="518"/>
    <n v="55573642000171"/>
    <n v="518"/>
    <n v="177688491375861"/>
    <s v="(24) 97404-300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8:38"/>
    <s v="3003 - FirjanAtivo"/>
    <s v="---"/>
    <n v="519"/>
    <n v="55789121000156"/>
    <n v="519"/>
    <n v="177688491875881"/>
    <s v="(21) 99966-622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8:40"/>
    <s v="3003 - FirjanAtivo"/>
    <s v="---"/>
    <n v="520"/>
    <n v="56062863000148"/>
    <n v="520"/>
    <n v="177688492075911"/>
    <s v="(24) 99292-476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08:43"/>
    <s v="3003 - FirjanAtivo"/>
    <s v="---"/>
    <n v="521"/>
    <n v="56199093000180"/>
    <n v="521"/>
    <n v="177688492375931"/>
    <s v="(21) 99959-477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8:45"/>
    <s v="3003 - FirjanAtivo"/>
    <s v="---"/>
    <n v="522"/>
    <n v="56227513000194"/>
    <n v="522"/>
    <n v="177688492575941"/>
    <s v="(22) 99892-688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8:52"/>
    <s v="3003 - FirjanAtivo"/>
    <s v="---"/>
    <n v="523"/>
    <n v="56932666000132"/>
    <n v="523"/>
    <n v="177688493275961"/>
    <s v="(22) 99988-1020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6:08:59"/>
    <s v="3003 - FirjanAtivo"/>
    <s v="---"/>
    <n v="524"/>
    <n v="57170375000460"/>
    <n v="524"/>
    <n v="177688493975981"/>
    <s v="(22) 98148-822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8:59"/>
    <s v="3003 - FirjanAtivo"/>
    <s v="---"/>
    <n v="525"/>
    <n v="57188457000199"/>
    <n v="525"/>
    <n v="177688493976001"/>
    <s v="(24) 98802-0549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09:01"/>
    <s v="3003 - FirjanAtivo"/>
    <s v="---"/>
    <n v="526"/>
    <n v="57213863000164"/>
    <n v="526"/>
    <n v="177688494176021"/>
    <s v="(22) 99916-6709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09:11"/>
    <s v="3003 - FirjanAtivo"/>
    <s v="---"/>
    <n v="527"/>
    <n v="57348787000102"/>
    <n v="527"/>
    <n v="177688495176051"/>
    <s v="(21) 99296-821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9:11"/>
    <s v="3003 - FirjanAtivo"/>
    <s v="---"/>
    <n v="528"/>
    <n v="57769577000180"/>
    <n v="528"/>
    <n v="177688495176061"/>
    <s v="(21) 96418-6340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09:13"/>
    <s v="3003 - FirjanAtivo"/>
    <s v="---"/>
    <n v="529"/>
    <n v="58196686000118"/>
    <n v="529"/>
    <n v="177688495376081"/>
    <s v="(24) 99292-476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09:15"/>
    <s v="3003 - FirjanAtivo"/>
    <s v="---"/>
    <n v="530"/>
    <n v="58476582000167"/>
    <n v="530"/>
    <n v="177688495576101"/>
    <s v="(21) 99059-153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9:21"/>
    <s v="3003 - FirjanAtivo"/>
    <s v="---"/>
    <n v="531"/>
    <n v="59138749000142"/>
    <n v="531"/>
    <n v="177688496176121"/>
    <s v="(21) 96649-85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9:26"/>
    <s v="3003 - FirjanAtivo"/>
    <s v="---"/>
    <n v="533"/>
    <n v="59597687000137"/>
    <n v="533"/>
    <n v="177688496676131"/>
    <s v="(22) 99978-67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9:28"/>
    <s v="3003 - FirjanAtivo"/>
    <s v="---"/>
    <n v="534"/>
    <n v="59958760000159"/>
    <n v="534"/>
    <n v="177688496876151"/>
    <s v="(24) 98129-217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9:29"/>
    <s v="3003 - FirjanAtivo"/>
    <s v="---"/>
    <n v="535"/>
    <n v="60710938000127"/>
    <n v="535"/>
    <n v="177688496976171"/>
    <s v="(21) 99955-41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9:31"/>
    <s v="3003 - FirjanAtivo"/>
    <s v="---"/>
    <n v="536"/>
    <n v="61917457000150"/>
    <n v="536"/>
    <n v="177688497176191"/>
    <s v="(24) 99251-787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9:34"/>
    <s v="3003 - FirjanAtivo"/>
    <s v="---"/>
    <n v="537"/>
    <n v="63110255000127"/>
    <n v="537"/>
    <n v="177688497476211"/>
    <s v="(24) 99968-17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9:41"/>
    <s v="3003 - FirjanAtivo"/>
    <s v="---"/>
    <n v="538"/>
    <n v="68615988000137"/>
    <n v="538"/>
    <n v="177688498176231"/>
    <s v="(24) 99228-211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9:45"/>
    <s v="3003 - FirjanAtivo"/>
    <s v="---"/>
    <n v="539"/>
    <n v="68654938000169"/>
    <n v="539"/>
    <n v="177688498576251"/>
    <s v="(22) 98831-844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9:46"/>
    <s v="3003 - FirjanAtivo"/>
    <s v="---"/>
    <n v="540"/>
    <n v="68842905000142"/>
    <n v="540"/>
    <n v="177688498676271"/>
    <s v="(21) 98165-782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9:52"/>
    <s v="3003 - FirjanAtivo"/>
    <s v="---"/>
    <n v="541"/>
    <n v="72357726000197"/>
    <n v="541"/>
    <n v="177688499276291"/>
    <s v="(21) 99988-291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10:01"/>
    <s v="3003 - FirjanAtivo"/>
    <s v="---"/>
    <n v="542"/>
    <n v="72493794000183"/>
    <n v="542"/>
    <n v="177688500176321"/>
    <s v="(24) 98814-395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10:02"/>
    <s v="3003 - FirjanAtivo"/>
    <s v="---"/>
    <n v="543"/>
    <n v="73275570000168"/>
    <n v="543"/>
    <n v="177688500276331"/>
    <s v="(22) 98832-51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10:03"/>
    <s v="3003 - FirjanAtivo"/>
    <s v="---"/>
    <n v="544"/>
    <n v="73353534000175"/>
    <n v="544"/>
    <n v="177688500376351"/>
    <s v="(32) 99994-185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10:10"/>
    <s v="3003 - FirjanAtivo"/>
    <s v="---"/>
    <n v="545"/>
    <n v="73630725000137"/>
    <n v="545"/>
    <n v="177688501076371"/>
    <s v="(21) 96444-644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10:12"/>
    <s v="3003 - FirjanAtivo"/>
    <s v="---"/>
    <n v="546"/>
    <n v="73852469000122"/>
    <n v="546"/>
    <n v="177688501276391"/>
    <s v="(24) 99228-8502"/>
    <n v="3003"/>
    <s v="Discador"/>
    <s v="Atendido"/>
    <s v="Fora de Area / Cx de Mensagens"/>
    <s v="BPATIVO22042026"/>
    <s v="--"/>
    <n v="131"/>
    <m/>
    <m/>
    <d v="1899-12-30T00:00:04"/>
    <s v="---"/>
    <s v=""/>
    <x v="1"/>
  </r>
  <r>
    <d v="2026-04-22T16:10:18"/>
    <s v="3003 - FirjanAtivo"/>
    <s v="---"/>
    <n v="547"/>
    <n v="82449760000145"/>
    <n v="547"/>
    <n v="177688501876411"/>
    <s v="(21) 96958-553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10:22"/>
    <s v="3003 - FirjanAtivo"/>
    <s v="---"/>
    <n v="548"/>
    <n v="86932266000198"/>
    <n v="548"/>
    <n v="177688502276431"/>
    <s v="(24) 98815-1973"/>
    <n v="3003"/>
    <s v="Discador"/>
    <s v="Atendido"/>
    <s v="Fora de Area / Cx de Mensagens"/>
    <s v="BPATIVO22042026"/>
    <s v="Cliente"/>
    <n v="131"/>
    <m/>
    <m/>
    <d v="1899-12-30T00:00:13"/>
    <s v="---"/>
    <s v=""/>
    <x v="1"/>
  </r>
  <r>
    <d v="2026-04-22T16:10:29"/>
    <s v="3003 - FirjanAtivo"/>
    <s v="---"/>
    <n v="549"/>
    <n v="86936481000167"/>
    <n v="549"/>
    <n v="177688502976451"/>
    <s v="(21) 99618-641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10:31"/>
    <s v="3003 - FirjanAtivo"/>
    <s v="---"/>
    <n v="550"/>
    <n v="97537119000130"/>
    <n v="550"/>
    <n v="177688503176481"/>
    <s v="(22) 99852-15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0:40"/>
    <s v="3003 - FirjanAtivo"/>
    <s v="---"/>
    <n v="7"/>
    <n v="451332000192"/>
    <n v="7"/>
    <n v="177688624078221"/>
    <s v="(24) 98818-1800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30:40"/>
    <s v="3003 - FirjanAtivo"/>
    <s v="---"/>
    <n v="13"/>
    <n v="1056628000171"/>
    <n v="13"/>
    <n v="177688624078231"/>
    <s v="(21) 96458-57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0:40"/>
    <s v="3003 - FirjanAtivo"/>
    <s v="---"/>
    <n v="17"/>
    <n v="1340549000198"/>
    <n v="17"/>
    <n v="177688624078241"/>
    <s v="(22) 99944-4350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0:40"/>
    <s v="3003 - FirjanAtivo"/>
    <s v="---"/>
    <n v="18"/>
    <n v="1387961000163"/>
    <n v="18"/>
    <n v="177688624078251"/>
    <s v="(21) 97033-906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0:40"/>
    <s v="3003 - FirjanAtivo"/>
    <s v="---"/>
    <n v="19"/>
    <n v="1399122000165"/>
    <n v="19"/>
    <n v="177688624078261"/>
    <s v="(22) 99941-8171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6:30:40"/>
    <s v="3003 - FirjanAtivo"/>
    <s v="---"/>
    <n v="22"/>
    <n v="1632895000140"/>
    <n v="22"/>
    <n v="177688624078271"/>
    <s v="(21) 99983-2180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30:40"/>
    <s v="3003 - FirjanAtivo"/>
    <s v="---"/>
    <n v="23"/>
    <n v="1721269000120"/>
    <n v="23"/>
    <n v="177688624078281"/>
    <s v="(21) 99890-8170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30:40"/>
    <s v="3003 - FirjanAtivo"/>
    <s v="---"/>
    <n v="28"/>
    <n v="1978794000125"/>
    <n v="28"/>
    <n v="177688624078291"/>
    <s v="(21) 97998-5990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30:40"/>
    <s v="3003 - FirjanAtivo"/>
    <s v="---"/>
    <n v="32"/>
    <n v="2113776000143"/>
    <n v="32"/>
    <n v="177688624078301"/>
    <s v="(21) 97033-430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0:40"/>
    <s v="3003 - FirjanAtivo"/>
    <s v="---"/>
    <n v="33"/>
    <n v="2148473000166"/>
    <n v="33"/>
    <n v="177688624078311"/>
    <s v="(21) 98461-848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0:40"/>
    <s v="3003 - FirjanAtivo"/>
    <s v="---"/>
    <n v="35"/>
    <n v="2326459000105"/>
    <n v="35"/>
    <n v="177688624078321"/>
    <s v="(21) 98741-118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0:56"/>
    <s v="3003 - FirjanAtivo"/>
    <s v="---"/>
    <n v="39"/>
    <n v="2510074000101"/>
    <n v="39"/>
    <n v="177688625678341"/>
    <s v="(22) 97401-1109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0:59"/>
    <s v="3003 - FirjanAtivo"/>
    <s v="---"/>
    <n v="40"/>
    <n v="2604580000151"/>
    <n v="40"/>
    <n v="177688625978361"/>
    <s v="(24) 99913-406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1:05"/>
    <s v="3003 - FirjanAtivo"/>
    <s v="---"/>
    <n v="41"/>
    <n v="2605792000153"/>
    <n v="41"/>
    <n v="177688626578381"/>
    <s v="(22) 99278-813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1:15"/>
    <s v="3003 - FirjanAtivo"/>
    <s v="---"/>
    <n v="44"/>
    <n v="2823246000199"/>
    <n v="44"/>
    <n v="177688627578401"/>
    <s v="(21) 98142-554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1:23"/>
    <s v="3003 - FirjanAtivo"/>
    <s v="---"/>
    <n v="46"/>
    <n v="2961614000165"/>
    <n v="46"/>
    <n v="177688628378421"/>
    <s v="(22) 99861-2688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31:23"/>
    <s v="3003 - FirjanAtivo"/>
    <s v="---"/>
    <n v="47"/>
    <n v="3063053000140"/>
    <n v="47"/>
    <n v="177688628378431"/>
    <s v="(22) 99969-6384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31:25"/>
    <s v="3003 - FirjanAtivo"/>
    <s v="---"/>
    <n v="49"/>
    <n v="3130917000107"/>
    <n v="49"/>
    <n v="177688628578451"/>
    <s v="(24) 98131-68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1:28"/>
    <s v="3003 - FirjanAtivo"/>
    <s v="---"/>
    <n v="50"/>
    <n v="3135802000105"/>
    <n v="50"/>
    <n v="177688628878461"/>
    <s v="(22) 98177-761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1:29"/>
    <s v="3003 - FirjanAtivo"/>
    <s v="---"/>
    <n v="51"/>
    <n v="3276131000194"/>
    <n v="51"/>
    <n v="177688628978471"/>
    <s v="(21) 96484-913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1:38"/>
    <s v="3003 - FirjanAtivo"/>
    <s v="---"/>
    <n v="52"/>
    <n v="3311811000100"/>
    <n v="52"/>
    <n v="177688629878491"/>
    <s v="(22) 99954-8034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31:44"/>
    <s v="3003 - FirjanAtivo"/>
    <s v="---"/>
    <n v="53"/>
    <n v="3463826000185"/>
    <n v="53"/>
    <n v="177688630478501"/>
    <s v="(21) 96526-2338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31:48"/>
    <s v="3003 - FirjanAtivo"/>
    <s v="---"/>
    <n v="55"/>
    <n v="3488597000153"/>
    <n v="55"/>
    <n v="177688630878511"/>
    <s v="(21) 98187-738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1:52"/>
    <s v="3003 - FirjanAtivo"/>
    <s v="---"/>
    <n v="59"/>
    <n v="3904574000182"/>
    <n v="59"/>
    <n v="177688631278531"/>
    <s v="(22) 99708-9429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31:53"/>
    <s v="3003 - FirjanAtivo"/>
    <s v="---"/>
    <n v="60"/>
    <n v="3954733000153"/>
    <n v="60"/>
    <n v="177688631378551"/>
    <s v="(21) 96857-917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1:53"/>
    <s v="3003 - FirjanAtivo"/>
    <s v="---"/>
    <n v="61"/>
    <n v="3995747000115"/>
    <n v="61"/>
    <n v="177688631378571"/>
    <s v="(21) 98835-020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2:00"/>
    <s v="3003 - FirjanAtivo"/>
    <s v="---"/>
    <n v="62"/>
    <n v="4028062000162"/>
    <n v="62"/>
    <n v="177688632078591"/>
    <s v="(22) 98819-8325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32:03"/>
    <s v="3003 - FirjanAtivo"/>
    <s v="---"/>
    <n v="63"/>
    <n v="4044746000158"/>
    <n v="63"/>
    <n v="177688632378611"/>
    <s v="(22) 98802-7200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32:06"/>
    <s v="3003 - FirjanAtivo"/>
    <s v="---"/>
    <n v="64"/>
    <n v="4048649000133"/>
    <n v="64"/>
    <n v="177688632678631"/>
    <s v="(21) 99805-222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2:09"/>
    <s v="3003 - FirjanAtivo"/>
    <s v="6044-Roseli Honorato Dos Santos"/>
    <n v="65"/>
    <n v="4063828000140"/>
    <n v="65"/>
    <n v="177688632978661"/>
    <s v="(22) 99936-5457"/>
    <n v="3003"/>
    <s v="Discador"/>
    <s v="Atendido"/>
    <s v="Enviar E-mail"/>
    <s v="BPATIVO22042026"/>
    <s v="Cliente"/>
    <n v="16"/>
    <m/>
    <m/>
    <d v="1899-12-30T00:02:25"/>
    <d v="1899-12-30T00:02:21"/>
    <n v="1"/>
    <x v="1"/>
  </r>
  <r>
    <d v="2026-04-22T16:32:09"/>
    <s v="3003 - FirjanAtivo"/>
    <s v="---"/>
    <n v="66"/>
    <n v="4137354000133"/>
    <n v="66"/>
    <n v="177688632978671"/>
    <s v="(21) 99422-67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2:10"/>
    <s v="3003 - FirjanAtivo"/>
    <s v="---"/>
    <n v="67"/>
    <n v="4160599000181"/>
    <n v="67"/>
    <n v="177688633078691"/>
    <s v="(24) 98107-825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2:11"/>
    <s v="3003 - FirjanAtivo"/>
    <s v="---"/>
    <n v="68"/>
    <n v="4356149000169"/>
    <n v="68"/>
    <n v="177688633178701"/>
    <s v="(21) 97123-0789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32:15"/>
    <s v="3003 - FirjanAtivo"/>
    <s v="---"/>
    <n v="69"/>
    <n v="4371864000170"/>
    <n v="69"/>
    <n v="177688633578721"/>
    <s v="(22) 99965-101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2:16"/>
    <s v="3003 - FirjanAtivo"/>
    <s v="6052-Marcia Lima Peixoto"/>
    <n v="70"/>
    <n v="4373195000176"/>
    <n v="70"/>
    <n v="177688633678741"/>
    <s v="(21) 99371-9168"/>
    <n v="3003"/>
    <s v="Discador"/>
    <s v="Atendido"/>
    <s v="Enviar E-mail"/>
    <s v="BPATIVO22042026"/>
    <s v="Cliente"/>
    <n v="16"/>
    <m/>
    <m/>
    <d v="1899-12-30T00:03:27"/>
    <d v="1899-12-30T00:03:23"/>
    <n v="1"/>
    <x v="1"/>
  </r>
  <r>
    <d v="2026-04-22T16:32:19"/>
    <s v="3003 - FirjanAtivo"/>
    <s v="---"/>
    <n v="71"/>
    <n v="4433625000106"/>
    <n v="71"/>
    <n v="177688633978771"/>
    <s v="(21) 98225-792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2:28"/>
    <s v="3003 - FirjanAtivo"/>
    <s v="---"/>
    <n v="72"/>
    <n v="4652839000165"/>
    <n v="72"/>
    <n v="177688634878801"/>
    <s v="(21) 99953-15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2:29"/>
    <s v="3003 - FirjanAtivo"/>
    <s v="---"/>
    <n v="73"/>
    <n v="4728735000197"/>
    <n v="73"/>
    <n v="177688634978811"/>
    <s v="(22) 99835-027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32:30"/>
    <s v="3003 - FirjanAtivo"/>
    <s v="---"/>
    <n v="74"/>
    <n v="4900076000124"/>
    <n v="74"/>
    <n v="177688635078831"/>
    <s v="(21) 98882-567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2:34"/>
    <s v="3003 - FirjanAtivo"/>
    <s v="---"/>
    <n v="75"/>
    <n v="4987252000107"/>
    <n v="75"/>
    <n v="177688635478851"/>
    <s v="(21) 99335-661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2:35"/>
    <s v="3003 - FirjanAtivo"/>
    <s v="---"/>
    <n v="76"/>
    <n v="5068583000106"/>
    <n v="76"/>
    <n v="177688635578871"/>
    <s v="(21) 99701-8990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32:39"/>
    <s v="3003 - FirjanAtivo"/>
    <s v="---"/>
    <n v="77"/>
    <n v="5105470000133"/>
    <n v="77"/>
    <n v="177688635978891"/>
    <s v="(21) 99254-1190"/>
    <n v="3003"/>
    <s v="Discador"/>
    <s v="Atendido"/>
    <s v="Fora de Area / Cx de Mensagens"/>
    <s v="BPATIVO22042026"/>
    <s v="Cliente"/>
    <n v="131"/>
    <m/>
    <m/>
    <d v="1899-12-30T00:00:19"/>
    <s v="---"/>
    <s v=""/>
    <x v="1"/>
  </r>
  <r>
    <d v="2026-04-22T16:32:44"/>
    <s v="3003 - FirjanAtivo"/>
    <s v="---"/>
    <n v="78"/>
    <n v="5124020000198"/>
    <n v="78"/>
    <n v="177688636478911"/>
    <s v="(21) 96416-636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2:47"/>
    <s v="3003 - FirjanAtivo"/>
    <s v="---"/>
    <n v="79"/>
    <n v="5133369000196"/>
    <n v="79"/>
    <n v="177688636778941"/>
    <s v="(21) 98160-016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2:51"/>
    <s v="3003 - FirjanAtivo"/>
    <s v="---"/>
    <n v="80"/>
    <n v="5207886000162"/>
    <n v="80"/>
    <n v="177688637178961"/>
    <s v="(21) 98208-39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2:59"/>
    <s v="3003 - FirjanAtivo"/>
    <s v="---"/>
    <n v="81"/>
    <n v="5476516000120"/>
    <n v="81"/>
    <n v="177688637978981"/>
    <s v="(21) 99999-707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3:01"/>
    <s v="3003 - FirjanAtivo"/>
    <s v="---"/>
    <n v="82"/>
    <n v="5483497000160"/>
    <n v="82"/>
    <n v="177688638179001"/>
    <s v="(24) 99999-746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3:07"/>
    <s v="3003 - FirjanAtivo"/>
    <s v="---"/>
    <n v="83"/>
    <n v="5485452000124"/>
    <n v="83"/>
    <n v="177688638779021"/>
    <s v="(81) 99651-3130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3:09"/>
    <s v="3003 - FirjanAtivo"/>
    <s v="---"/>
    <n v="84"/>
    <n v="5487548000121"/>
    <n v="84"/>
    <n v="177688638979041"/>
    <s v="(21) 98478-185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3:11"/>
    <s v="3003 - FirjanAtivo"/>
    <s v="---"/>
    <n v="85"/>
    <n v="5587109000190"/>
    <n v="85"/>
    <n v="177688639179061"/>
    <s v="(21) 96500-6500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33:13"/>
    <s v="3003 - FirjanAtivo"/>
    <s v="---"/>
    <n v="86"/>
    <n v="5600088000104"/>
    <n v="86"/>
    <n v="177688639379081"/>
    <s v="(21) 96769-115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3:14"/>
    <s v="3003 - FirjanAtivo"/>
    <s v="---"/>
    <n v="88"/>
    <n v="5870198000188"/>
    <n v="88"/>
    <n v="177688639479101"/>
    <s v="(22) 99999-73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3:22"/>
    <s v="3003 - FirjanAtivo"/>
    <s v="---"/>
    <n v="89"/>
    <n v="5887391000121"/>
    <n v="89"/>
    <n v="177688640279121"/>
    <s v="(22) 99780-66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3:24"/>
    <s v="3003 - FirjanAtivo"/>
    <s v="---"/>
    <n v="90"/>
    <n v="5951912000162"/>
    <n v="90"/>
    <n v="177688640479141"/>
    <s v="(22) 99278-483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3:33"/>
    <s v="3003 - FirjanAtivo"/>
    <s v="---"/>
    <n v="91"/>
    <n v="6058857000149"/>
    <n v="91"/>
    <n v="177688641379161"/>
    <s v="(22) 99832-543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3:34"/>
    <s v="3003 - FirjanAtivo"/>
    <s v="---"/>
    <n v="92"/>
    <n v="6093542000132"/>
    <n v="92"/>
    <n v="177688641479181"/>
    <s v="(22) 98115-032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3:37"/>
    <s v="3003 - FirjanAtivo"/>
    <s v="---"/>
    <n v="93"/>
    <n v="6100968000176"/>
    <n v="93"/>
    <n v="177688641779201"/>
    <s v="(55) 21998-910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33:52"/>
    <s v="3003 - FirjanAtivo"/>
    <s v="---"/>
    <n v="94"/>
    <n v="6215708000146"/>
    <n v="94"/>
    <n v="177688643279221"/>
    <s v="(21) 99859-4453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33:57"/>
    <s v="3003 - FirjanAtivo"/>
    <s v="---"/>
    <n v="95"/>
    <n v="6236859000180"/>
    <n v="95"/>
    <n v="177688643779231"/>
    <s v="(24) 99277-76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4:00"/>
    <s v="3003 - FirjanAtivo"/>
    <s v="---"/>
    <n v="96"/>
    <n v="6276371000187"/>
    <n v="96"/>
    <n v="177688644079251"/>
    <s v="(21) 96459-205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4:07"/>
    <s v="3003 - FirjanAtivo"/>
    <s v="---"/>
    <n v="97"/>
    <n v="6326043000148"/>
    <n v="97"/>
    <n v="177688644779271"/>
    <s v="(24) 99983-297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4:08"/>
    <s v="3003 - FirjanAtivo"/>
    <s v="---"/>
    <n v="98"/>
    <n v="6652280000107"/>
    <n v="98"/>
    <n v="177688644879281"/>
    <s v="(55) 21969-7751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34:08"/>
    <s v="3003 - FirjanAtivo"/>
    <s v="---"/>
    <n v="99"/>
    <n v="6983876000181"/>
    <n v="99"/>
    <n v="177688644879291"/>
    <s v="(24) 99926-5520"/>
    <n v="3003"/>
    <s v="Discador"/>
    <s v="Atendido"/>
    <s v="Fora de Area / Cx de Mensagens"/>
    <s v="BPATIVO22042026"/>
    <s v="Cliente"/>
    <n v="131"/>
    <m/>
    <m/>
    <d v="1899-12-30T00:00:13"/>
    <s v="---"/>
    <s v=""/>
    <x v="1"/>
  </r>
  <r>
    <d v="2026-04-22T16:34:13"/>
    <s v="3003 - FirjanAtivo"/>
    <s v="---"/>
    <n v="100"/>
    <n v="7042642000364"/>
    <n v="100"/>
    <n v="177688645379311"/>
    <s v="(22) 99883-6782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4:15"/>
    <s v="3003 - FirjanAtivo"/>
    <s v="---"/>
    <n v="102"/>
    <n v="7211888000150"/>
    <n v="102"/>
    <n v="177688645579331"/>
    <s v="(21) 97041-61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4:16"/>
    <s v="3003 - FirjanAtivo"/>
    <s v="---"/>
    <n v="104"/>
    <n v="7368744000102"/>
    <n v="104"/>
    <n v="177688645679351"/>
    <s v="(21) 98309-169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4:22"/>
    <s v="3003 - FirjanAtivo"/>
    <s v="---"/>
    <n v="106"/>
    <n v="7485047000131"/>
    <n v="106"/>
    <n v="177688646279361"/>
    <s v="(22) 99218-145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4:33"/>
    <s v="3003 - FirjanAtivo"/>
    <s v="---"/>
    <n v="108"/>
    <n v="7560240000190"/>
    <n v="108"/>
    <n v="177688647379381"/>
    <s v="(21) 99252-014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4:38"/>
    <s v="3003 - FirjanAtivo"/>
    <s v="---"/>
    <n v="110"/>
    <n v="7585606000185"/>
    <n v="110"/>
    <n v="177688647879431"/>
    <s v="(24) 98181-05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4:41"/>
    <s v="3003 - FirjanAtivo"/>
    <s v="---"/>
    <n v="112"/>
    <n v="7762793000125"/>
    <n v="112"/>
    <n v="177688648179481"/>
    <s v="(24) 93500-079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4:48"/>
    <s v="3003 - FirjanAtivo"/>
    <s v="---"/>
    <n v="114"/>
    <n v="7876652000133"/>
    <n v="114"/>
    <n v="177688648879611"/>
    <s v="(22) 98819-282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4:48"/>
    <s v="3003 - FirjanAtivo"/>
    <s v="---"/>
    <n v="115"/>
    <n v="7955927000124"/>
    <n v="115"/>
    <n v="177688648879621"/>
    <s v="(22) 98101-229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4:52"/>
    <s v="3003 - FirjanAtivo"/>
    <s v="---"/>
    <n v="116"/>
    <n v="8083779000168"/>
    <n v="116"/>
    <n v="177688649279651"/>
    <s v="(24) 98133-2595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35:08"/>
    <s v="3003 - FirjanAtivo"/>
    <s v="---"/>
    <n v="118"/>
    <n v="8144303000190"/>
    <n v="118"/>
    <n v="177688650879711"/>
    <s v="(21) 99989-160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5:26"/>
    <s v="3003 - FirjanAtivo"/>
    <s v="---"/>
    <n v="120"/>
    <n v="8226364000104"/>
    <n v="120"/>
    <n v="177688652679751"/>
    <s v="(24) 99855-13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5:38"/>
    <s v="3003 - FirjanAtivo"/>
    <s v="---"/>
    <n v="113"/>
    <n v="7783371000136"/>
    <n v="113"/>
    <n v="177688648379531"/>
    <s v="(24) 99969-6999"/>
    <n v="3003"/>
    <s v="Discador"/>
    <s v="Atendido"/>
    <s v="Fora de Area / Cx de Mensagens"/>
    <s v="BPATIVO22042026"/>
    <s v="Cliente"/>
    <n v="131"/>
    <m/>
    <m/>
    <d v="1899-12-30T00:00:58"/>
    <s v="---"/>
    <s v=""/>
    <x v="1"/>
  </r>
  <r>
    <d v="2026-04-22T16:35:43"/>
    <s v="3003 - FirjanAtivo"/>
    <s v="---"/>
    <n v="121"/>
    <n v="8311819000262"/>
    <n v="121"/>
    <n v="177688654379961"/>
    <s v="(24) 98122-949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5:45"/>
    <s v="3003 - FirjanAtivo"/>
    <s v="---"/>
    <n v="122"/>
    <n v="8518829000354"/>
    <n v="122"/>
    <n v="177688654579981"/>
    <s v="(21) 99188-746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5:47"/>
    <s v="3003 - FirjanAtivo"/>
    <s v="6044-Roseli Honorato Dos Santos"/>
    <n v="123"/>
    <n v="8537926000122"/>
    <n v="123"/>
    <n v="177688654779991"/>
    <s v="(21) 99635-8899"/>
    <n v="3003"/>
    <s v="Discador"/>
    <s v="Atendido"/>
    <s v="Ligação Muda"/>
    <s v="BPATIVO22042026"/>
    <s v="Cliente"/>
    <n v="16"/>
    <m/>
    <m/>
    <d v="1899-12-30T00:00:06"/>
    <s v="---"/>
    <s v=""/>
    <x v="1"/>
  </r>
  <r>
    <d v="2026-04-22T16:35:47"/>
    <s v="3003 - FirjanAtivo"/>
    <s v="---"/>
    <n v="124"/>
    <n v="8599024000110"/>
    <n v="124"/>
    <n v="177688654780001"/>
    <s v="(24) 98814-92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5:47"/>
    <s v="3003 - FirjanAtivo"/>
    <s v="---"/>
    <n v="126"/>
    <n v="8764146000115"/>
    <n v="126"/>
    <n v="177688654780011"/>
    <s v="(21) 97113-19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5:47"/>
    <s v="3003 - FirjanAtivo"/>
    <s v="---"/>
    <n v="127"/>
    <n v="8879331000155"/>
    <n v="127"/>
    <n v="177688654780021"/>
    <s v="(21) 99951-7659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35:53"/>
    <s v="3003 - FirjanAtivo"/>
    <s v="---"/>
    <n v="128"/>
    <n v="8892204000196"/>
    <n v="128"/>
    <n v="177688655380091"/>
    <s v="(21) 99465-4272"/>
    <n v="3003"/>
    <s v="Discador"/>
    <s v="Atendido"/>
    <s v="Fora de Area / Cx de Mensagens"/>
    <s v="BPATIVO22042026"/>
    <s v="--"/>
    <n v="128"/>
    <m/>
    <m/>
    <d v="1899-12-30T00:00:05"/>
    <s v="---"/>
    <s v=""/>
    <x v="1"/>
  </r>
  <r>
    <d v="2026-04-22T16:36:03"/>
    <s v="3003 - FirjanAtivo"/>
    <s v="---"/>
    <n v="129"/>
    <n v="8912389000153"/>
    <n v="129"/>
    <n v="177688656380121"/>
    <s v="(21) 99752-2322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36:07"/>
    <s v="3003 - FirjanAtivo"/>
    <s v="---"/>
    <n v="131"/>
    <n v="8973205000165"/>
    <n v="131"/>
    <n v="177688656780141"/>
    <s v="(24) 99860-523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6:09"/>
    <s v="3003 - FirjanAtivo"/>
    <s v="---"/>
    <n v="132"/>
    <n v="8996355000194"/>
    <n v="132"/>
    <n v="177688656980161"/>
    <s v="(21) 97990-031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6:10"/>
    <s v="3003 - FirjanAtivo"/>
    <s v="---"/>
    <n v="133"/>
    <n v="9082639000138"/>
    <n v="133"/>
    <n v="177688657080181"/>
    <s v="(22) 99824-939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6:13"/>
    <s v="3003 - FirjanAtivo"/>
    <s v="6052-Marcia Lima Peixoto"/>
    <n v="134"/>
    <n v="9158698000142"/>
    <n v="134"/>
    <n v="177688657380201"/>
    <s v="(24) 99956-1607"/>
    <n v="3003"/>
    <s v="Discador"/>
    <s v="Atendido"/>
    <s v="Enviar E-mail"/>
    <s v="BPATIVO22042026"/>
    <s v="Agente"/>
    <n v="16"/>
    <m/>
    <m/>
    <d v="1899-12-30T00:02:30"/>
    <d v="1899-12-30T00:02:25"/>
    <n v="1"/>
    <x v="1"/>
  </r>
  <r>
    <d v="2026-04-22T16:36:15"/>
    <s v="3003 - FirjanAtivo"/>
    <s v="---"/>
    <n v="136"/>
    <n v="9232340000112"/>
    <n v="136"/>
    <n v="177688657580221"/>
    <s v="(24) 98881-036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6:17"/>
    <s v="3003 - FirjanAtivo"/>
    <s v="---"/>
    <n v="137"/>
    <n v="9243828000145"/>
    <n v="137"/>
    <n v="177688657780241"/>
    <s v="(21) 98320-004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6:30"/>
    <s v="3003 - FirjanAtivo"/>
    <s v="---"/>
    <n v="141"/>
    <n v="9477090000180"/>
    <n v="141"/>
    <n v="177688659080301"/>
    <s v="(21) 98141-441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6:32"/>
    <s v="3003 - FirjanAtivo"/>
    <s v="---"/>
    <n v="143"/>
    <n v="10199619000120"/>
    <n v="143"/>
    <n v="177688659280321"/>
    <s v="(32) 98406-8132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36:40"/>
    <s v="3003 - FirjanAtivo"/>
    <s v="---"/>
    <n v="144"/>
    <n v="10312430000100"/>
    <n v="144"/>
    <n v="177688660080361"/>
    <s v="(24) 99839-887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6:41"/>
    <s v="3003 - FirjanAtivo"/>
    <s v="---"/>
    <n v="145"/>
    <n v="10320742000158"/>
    <n v="145"/>
    <n v="177688660180411"/>
    <s v="(21) 99819-678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6:42"/>
    <s v="3003 - FirjanAtivo"/>
    <s v="---"/>
    <n v="146"/>
    <n v="10335794000106"/>
    <n v="146"/>
    <n v="177688660280431"/>
    <s v="(22) 99871-564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6:46"/>
    <s v="3003 - FirjanAtivo"/>
    <s v="---"/>
    <n v="147"/>
    <n v="10364002000113"/>
    <n v="147"/>
    <n v="177688660680451"/>
    <s v="(21) 99567-20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6:56"/>
    <s v="3003 - FirjanAtivo"/>
    <s v="---"/>
    <n v="148"/>
    <n v="10379649000119"/>
    <n v="148"/>
    <n v="177688661680561"/>
    <s v="(24) 99275-6001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7:00"/>
    <s v="3003 - FirjanAtivo"/>
    <s v="---"/>
    <n v="149"/>
    <n v="10433504000159"/>
    <n v="149"/>
    <n v="177688662080601"/>
    <s v="(22) 98177-043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7:00"/>
    <s v="3003 - FirjanAtivo"/>
    <s v="---"/>
    <n v="150"/>
    <n v="10443491000107"/>
    <n v="150"/>
    <n v="177688662080611"/>
    <s v="(22) 98169-663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7:03"/>
    <s v="3003 - FirjanAtivo"/>
    <s v="---"/>
    <n v="151"/>
    <n v="10479198000191"/>
    <n v="151"/>
    <n v="177688662380631"/>
    <s v="(22) 98832-51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7:15"/>
    <s v="3003 - FirjanAtivo"/>
    <s v="---"/>
    <n v="153"/>
    <n v="10594727000106"/>
    <n v="153"/>
    <n v="177688663580661"/>
    <s v="(24) 98803-7230"/>
    <n v="3003"/>
    <s v="Discador"/>
    <s v="Atendido"/>
    <s v="Fora de Area / Cx de Mensagens"/>
    <s v="BPATIVO22042026"/>
    <s v="--"/>
    <n v="128"/>
    <m/>
    <m/>
    <d v="1899-12-30T00:00:03"/>
    <s v="---"/>
    <s v=""/>
    <x v="1"/>
  </r>
  <r>
    <d v="2026-04-22T16:37:16"/>
    <s v="3003 - FirjanAtivo"/>
    <s v="---"/>
    <n v="154"/>
    <n v="10737265000120"/>
    <n v="154"/>
    <n v="177688663680671"/>
    <s v="(22) 99212-85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7:29"/>
    <s v="3003 - FirjanAtivo"/>
    <s v="---"/>
    <n v="155"/>
    <n v="10745721000184"/>
    <n v="155"/>
    <n v="177688664980761"/>
    <s v="(21) 98204-7322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37:30"/>
    <s v="3003 - FirjanAtivo"/>
    <s v="---"/>
    <n v="156"/>
    <n v="10746169000149"/>
    <n v="156"/>
    <n v="177688665080811"/>
    <s v="(21) 98808-88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7:31"/>
    <s v="3003 - FirjanAtivo"/>
    <s v="6044-Roseli Honorato Dos Santos"/>
    <n v="157"/>
    <n v="10790942000174"/>
    <n v="157"/>
    <n v="177688665180821"/>
    <s v="(21) 96475-7007"/>
    <n v="3003"/>
    <s v="Discador"/>
    <s v="Atendido"/>
    <s v="Ligação Muda"/>
    <s v="BPATIVO22042026"/>
    <s v="Cliente"/>
    <n v="16"/>
    <m/>
    <m/>
    <d v="1899-12-30T00:00:08"/>
    <d v="1899-12-30T00:00:02"/>
    <s v=""/>
    <x v="1"/>
  </r>
  <r>
    <d v="2026-04-22T16:37:31"/>
    <s v="3003 - FirjanAtivo"/>
    <s v="---"/>
    <n v="158"/>
    <n v="10888515000123"/>
    <n v="158"/>
    <n v="177688665180841"/>
    <s v="(21) 96496-726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37:39"/>
    <s v="3003 - FirjanAtivo"/>
    <s v="---"/>
    <n v="159"/>
    <n v="10984785000138"/>
    <n v="159"/>
    <n v="177688665980861"/>
    <s v="(21) 98474-319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7:43"/>
    <s v="3003 - FirjanAtivo"/>
    <s v="---"/>
    <n v="160"/>
    <n v="11013156000123"/>
    <n v="160"/>
    <n v="177688666380881"/>
    <s v="(22) 99261-976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7:43"/>
    <s v="3003 - FirjanAtivo"/>
    <s v="---"/>
    <n v="161"/>
    <n v="11117005000115"/>
    <n v="161"/>
    <n v="177688666380891"/>
    <s v="(24) 99303-91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7:44"/>
    <s v="3003 - FirjanAtivo"/>
    <s v="---"/>
    <n v="163"/>
    <n v="11360283000107"/>
    <n v="163"/>
    <n v="177688666480911"/>
    <s v="(21) 96448-29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7:52"/>
    <s v="3003 - FirjanAtivo"/>
    <s v="---"/>
    <n v="164"/>
    <n v="11642542000184"/>
    <n v="164"/>
    <n v="177688667280931"/>
    <s v="(24) 99904-2812"/>
    <n v="3003"/>
    <s v="Discador"/>
    <s v="Atendido"/>
    <s v="Fora de Area / Cx de Mensagens"/>
    <s v="BPATIVO22042026"/>
    <s v="--"/>
    <n v="147"/>
    <m/>
    <m/>
    <d v="1899-12-30T00:00:05"/>
    <s v="---"/>
    <s v=""/>
    <x v="1"/>
  </r>
  <r>
    <d v="2026-04-22T16:37:54"/>
    <s v="3003 - FirjanAtivo"/>
    <s v="---"/>
    <n v="165"/>
    <n v="11649203000120"/>
    <n v="165"/>
    <n v="177688667480941"/>
    <s v="(24) 99825-729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7:55"/>
    <s v="3003 - FirjanAtivo"/>
    <s v="---"/>
    <n v="166"/>
    <n v="11661920000177"/>
    <n v="166"/>
    <n v="177688667580971"/>
    <s v="(24) 99227-17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7:58"/>
    <s v="3003 - FirjanAtivo"/>
    <s v="---"/>
    <n v="167"/>
    <n v="11701732000125"/>
    <n v="167"/>
    <n v="177688667881051"/>
    <s v="(22) 99737-282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7:59"/>
    <s v="3003 - FirjanAtivo"/>
    <s v="---"/>
    <n v="169"/>
    <n v="11750615000151"/>
    <n v="169"/>
    <n v="177688667981071"/>
    <s v="(22) 98864-2310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38:01"/>
    <s v="3003 - FirjanAtivo"/>
    <s v="---"/>
    <n v="170"/>
    <n v="12022419000123"/>
    <n v="170"/>
    <n v="177688668181091"/>
    <s v="(21) 99623-4556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38:08"/>
    <s v="3003 - FirjanAtivo"/>
    <s v="---"/>
    <n v="171"/>
    <n v="12072761000138"/>
    <n v="171"/>
    <n v="177688668881121"/>
    <s v="(24) 97102-4094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38:08"/>
    <s v="3003 - FirjanAtivo"/>
    <s v="---"/>
    <n v="173"/>
    <n v="12266091000190"/>
    <n v="173"/>
    <n v="177688668881131"/>
    <s v="(21) 98782-4932"/>
    <n v="3003"/>
    <s v="Discador"/>
    <s v="Atendido"/>
    <s v="Fora de Area / Cx de Mensagens"/>
    <s v="BPATIVO22042026"/>
    <s v="--"/>
    <n v="131"/>
    <m/>
    <m/>
    <d v="1899-12-30T00:00:03"/>
    <s v="---"/>
    <s v=""/>
    <x v="1"/>
  </r>
  <r>
    <d v="2026-04-22T16:38:08"/>
    <s v="3003 - FirjanAtivo"/>
    <s v="---"/>
    <n v="174"/>
    <n v="12284895000112"/>
    <n v="174"/>
    <n v="177688668881141"/>
    <s v="(21) 99849-469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8:16"/>
    <s v="3003 - FirjanAtivo"/>
    <s v="---"/>
    <n v="176"/>
    <n v="12584713000129"/>
    <n v="176"/>
    <n v="177688669681161"/>
    <s v="(21) 98168-002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8:18"/>
    <s v="3003 - FirjanAtivo"/>
    <s v="---"/>
    <n v="177"/>
    <n v="12710766000149"/>
    <n v="177"/>
    <n v="177688669881181"/>
    <s v="(22) 99253-850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8:28"/>
    <s v="3003 - FirjanAtivo"/>
    <s v="---"/>
    <n v="178"/>
    <n v="12959066000192"/>
    <n v="178"/>
    <n v="177688670881221"/>
    <s v="(21) 99513-221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8:28"/>
    <s v="3003 - FirjanAtivo"/>
    <s v="---"/>
    <n v="179"/>
    <n v="12995318000139"/>
    <n v="179"/>
    <n v="177688670881231"/>
    <s v="(24) 98838-53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8:29"/>
    <s v="3003 - FirjanAtivo"/>
    <s v="---"/>
    <n v="180"/>
    <n v="13065020000192"/>
    <n v="180"/>
    <n v="177688670981251"/>
    <s v="(24) 99231-61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8:33"/>
    <s v="3003 - FirjanAtivo"/>
    <s v="---"/>
    <n v="181"/>
    <n v="13262186000107"/>
    <n v="181"/>
    <n v="177688671381271"/>
    <s v="(21) 99611-816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38:43"/>
    <s v="3003 - FirjanAtivo"/>
    <s v="---"/>
    <n v="183"/>
    <n v="13385694000174"/>
    <n v="183"/>
    <n v="177688672381291"/>
    <s v="(32) 99940-561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8:45"/>
    <s v="3003 - FirjanAtivo"/>
    <s v="---"/>
    <n v="184"/>
    <n v="13410313000160"/>
    <n v="184"/>
    <n v="177688672581321"/>
    <s v="(21) 99259-5895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38:45"/>
    <s v="3003 - FirjanAtivo"/>
    <s v="---"/>
    <n v="187"/>
    <n v="13464960000154"/>
    <n v="187"/>
    <n v="177688672581331"/>
    <s v="(21) 98392-848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8:45"/>
    <s v="3003 - FirjanAtivo"/>
    <s v="---"/>
    <n v="190"/>
    <n v="13744177000144"/>
    <n v="190"/>
    <n v="177688672581361"/>
    <s v="(24) 98838-129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8:46"/>
    <s v="3003 - FirjanAtivo"/>
    <s v="---"/>
    <n v="192"/>
    <n v="14059527000104"/>
    <n v="192"/>
    <n v="177688672681371"/>
    <s v="(21) 96430-263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8:52"/>
    <s v="3003 - FirjanAtivo"/>
    <s v="---"/>
    <n v="193"/>
    <n v="14370573000111"/>
    <n v="193"/>
    <n v="177688673281391"/>
    <s v="(55) 22998-5655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38:52"/>
    <s v="3003 - FirjanAtivo"/>
    <s v="---"/>
    <n v="194"/>
    <n v="14440968000143"/>
    <n v="194"/>
    <n v="177688673281401"/>
    <s v="(22) 99881-291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9:03"/>
    <s v="3003 - FirjanAtivo"/>
    <s v="---"/>
    <n v="195"/>
    <n v="14450781000120"/>
    <n v="195"/>
    <n v="177688674381421"/>
    <s v="(24) 99999-2670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39:04"/>
    <s v="3003 - FirjanAtivo"/>
    <s v="---"/>
    <n v="196"/>
    <n v="14565807000186"/>
    <n v="196"/>
    <n v="177688674481441"/>
    <s v="(22) 99999-941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9:07"/>
    <s v="3003 - FirjanAtivo"/>
    <s v="---"/>
    <n v="197"/>
    <n v="14766966000149"/>
    <n v="197"/>
    <n v="177688674781461"/>
    <s v="(24) 99832-65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9:08"/>
    <s v="3003 - FirjanAtivo"/>
    <s v="---"/>
    <n v="198"/>
    <n v="14811950000100"/>
    <n v="198"/>
    <n v="177688674881481"/>
    <s v="(24) 99300-37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9:08"/>
    <s v="3003 - FirjanAtivo"/>
    <s v="---"/>
    <n v="199"/>
    <n v="14965593000135"/>
    <n v="199"/>
    <n v="177688674881501"/>
    <s v="(21) 2782-1128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39:13"/>
    <s v="3003 - FirjanAtivo"/>
    <s v="---"/>
    <n v="200"/>
    <n v="15255973000149"/>
    <n v="200"/>
    <n v="177688675381521"/>
    <s v="(21) 98685-281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9:14"/>
    <s v="3003 - FirjanAtivo"/>
    <s v="---"/>
    <n v="202"/>
    <n v="16385008000153"/>
    <n v="202"/>
    <n v="177688675481541"/>
    <s v="(22) 98809-012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9:16"/>
    <s v="3003 - FirjanAtivo"/>
    <s v="---"/>
    <n v="203"/>
    <n v="16720728000128"/>
    <n v="203"/>
    <n v="177688675681561"/>
    <s v="(22) 99836-443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9:21"/>
    <s v="3003 - FirjanAtivo"/>
    <s v="---"/>
    <n v="204"/>
    <n v="16918406000198"/>
    <n v="204"/>
    <n v="177688676181581"/>
    <s v="(21) 98216-5600"/>
    <n v="3003"/>
    <s v="Discador"/>
    <s v="Atendido"/>
    <s v="Fora de Area / Cx de Mensagens"/>
    <s v="BPATIVO22042026"/>
    <s v="--"/>
    <n v="131"/>
    <m/>
    <m/>
    <d v="1899-12-30T00:00:00"/>
    <s v="---"/>
    <s v=""/>
    <x v="1"/>
  </r>
  <r>
    <d v="2026-04-22T16:39:28"/>
    <s v="3003 - FirjanAtivo"/>
    <s v="---"/>
    <n v="205"/>
    <n v="16918406000198"/>
    <n v="205"/>
    <n v="177688676881721"/>
    <s v="(21) 98216-56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9:33"/>
    <s v="3003 - FirjanAtivo"/>
    <s v="---"/>
    <n v="206"/>
    <n v="16927109000109"/>
    <n v="206"/>
    <n v="177688677381731"/>
    <s v="(21) 99756-9477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39:35"/>
    <s v="3003 - FirjanAtivo"/>
    <s v="---"/>
    <n v="207"/>
    <n v="16959774000184"/>
    <n v="207"/>
    <n v="177688677581751"/>
    <s v="(24) 97404-247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9:45"/>
    <s v="3003 - FirjanAtivo"/>
    <s v="---"/>
    <n v="209"/>
    <n v="17230906000103"/>
    <n v="209"/>
    <n v="177688678581911"/>
    <s v="(21) 98085-22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9:46"/>
    <s v="3003 - FirjanAtivo"/>
    <s v="---"/>
    <n v="210"/>
    <n v="17232038000192"/>
    <n v="210"/>
    <n v="177688678681931"/>
    <s v="(22) 99701-6593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39:46"/>
    <s v="3003 - FirjanAtivo"/>
    <s v="---"/>
    <n v="211"/>
    <n v="17404008000116"/>
    <n v="211"/>
    <n v="177688678681961"/>
    <s v="(21) 99998-759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9:48"/>
    <s v="3003 - FirjanAtivo"/>
    <s v="---"/>
    <n v="212"/>
    <n v="17446625000184"/>
    <n v="212"/>
    <n v="177688678881981"/>
    <s v="(22) 99841-14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9:50"/>
    <s v="3003 - FirjanAtivo"/>
    <s v="---"/>
    <n v="213"/>
    <n v="17845803000140"/>
    <n v="213"/>
    <n v="177688679082001"/>
    <s v="(24) 97402-305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9:54"/>
    <s v="3003 - FirjanAtivo"/>
    <s v="---"/>
    <n v="214"/>
    <n v="18341732000100"/>
    <n v="214"/>
    <n v="177688679482031"/>
    <s v="(24) 99228-27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9:54"/>
    <s v="3003 - FirjanAtivo"/>
    <s v="---"/>
    <n v="215"/>
    <n v="18414594000142"/>
    <n v="215"/>
    <n v="177688679482041"/>
    <s v="(21) 99856-36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39:56"/>
    <s v="3003 - FirjanAtivo"/>
    <s v="---"/>
    <n v="208"/>
    <n v="17043182000180"/>
    <n v="208"/>
    <n v="177688677681781"/>
    <s v="(24) 99824-1721"/>
    <n v="3003"/>
    <s v="Discador"/>
    <s v="Atendido"/>
    <s v="Fora de Area / Cx de Mensagens"/>
    <s v="BPATIVO22042026"/>
    <s v="Cliente"/>
    <n v="131"/>
    <m/>
    <m/>
    <d v="1899-12-30T00:00:22"/>
    <s v="---"/>
    <s v=""/>
    <x v="1"/>
  </r>
  <r>
    <d v="2026-04-22T16:40:07"/>
    <s v="3003 - FirjanAtivo"/>
    <s v="---"/>
    <n v="216"/>
    <n v="18705825000177"/>
    <n v="216"/>
    <n v="177688680782121"/>
    <s v="(21) 99581-3916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0:09"/>
    <s v="3003 - FirjanAtivo"/>
    <s v="---"/>
    <n v="217"/>
    <n v="18863657000148"/>
    <n v="217"/>
    <n v="177688680982141"/>
    <s v="(24) 99999-05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0:16"/>
    <s v="3003 - FirjanAtivo"/>
    <s v="---"/>
    <n v="218"/>
    <n v="18889258000156"/>
    <n v="218"/>
    <n v="177688681682151"/>
    <s v="(21) 96711-7352"/>
    <n v="3003"/>
    <s v="Discador"/>
    <s v="Atendido"/>
    <s v="Fora de Area / Cx de Mensagens"/>
    <s v="BPATIVO22042026"/>
    <s v="--"/>
    <n v="128"/>
    <m/>
    <m/>
    <d v="1899-12-30T00:00:04"/>
    <s v="---"/>
    <s v=""/>
    <x v="1"/>
  </r>
  <r>
    <d v="2026-04-22T16:40:16"/>
    <s v="3003 - FirjanAtivo"/>
    <s v="---"/>
    <n v="219"/>
    <n v="18977285000180"/>
    <n v="219"/>
    <n v="177688681682161"/>
    <s v="(21) 98187-062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0:16"/>
    <s v="3003 - FirjanAtivo"/>
    <s v="---"/>
    <n v="221"/>
    <n v="19047535000146"/>
    <n v="221"/>
    <n v="177688681682171"/>
    <s v="(22) 99964-142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0:16"/>
    <s v="3003 - FirjanAtivo"/>
    <s v="---"/>
    <n v="223"/>
    <n v="19410510000165"/>
    <n v="223"/>
    <n v="177688681682181"/>
    <s v="(21) 98848-18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0:22"/>
    <s v="3003 - FirjanAtivo"/>
    <s v="---"/>
    <n v="224"/>
    <n v="19420382000211"/>
    <n v="224"/>
    <n v="177688682282201"/>
    <s v="(24) 99968-302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0:23"/>
    <s v="3003 - FirjanAtivo"/>
    <s v="6052-Marcia Lima Peixoto"/>
    <n v="226"/>
    <n v="19753199000157"/>
    <n v="226"/>
    <n v="177688682382221"/>
    <s v="(21) 96752-4211"/>
    <n v="3003"/>
    <s v="Discador"/>
    <s v="Atendido"/>
    <s v="Ligação Muda"/>
    <s v="BPATIVO22042026"/>
    <s v="Agente"/>
    <n v="16"/>
    <m/>
    <m/>
    <d v="1899-12-30T00:00:37"/>
    <d v="1899-12-30T00:00:33"/>
    <s v=""/>
    <x v="1"/>
  </r>
  <r>
    <d v="2026-04-22T16:40:24"/>
    <s v="3003 - FirjanAtivo"/>
    <s v="---"/>
    <n v="229"/>
    <n v="20045556000101"/>
    <n v="229"/>
    <n v="177688682482241"/>
    <s v="(22) 99940-4118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40:25"/>
    <s v="3003 - FirjanAtivo"/>
    <s v="---"/>
    <n v="230"/>
    <n v="20331303000102"/>
    <n v="230"/>
    <n v="177688682582261"/>
    <s v="(21) 99727-3393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0:25"/>
    <s v="3003 - FirjanAtivo"/>
    <s v="---"/>
    <n v="231"/>
    <n v="20415965000152"/>
    <n v="231"/>
    <n v="177688682582281"/>
    <s v="(21) 98565-1370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40:29"/>
    <s v="3003 - FirjanAtivo"/>
    <s v="---"/>
    <n v="232"/>
    <n v="20458968000173"/>
    <n v="232"/>
    <n v="177688682982301"/>
    <s v="(22) 99243-73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0:29"/>
    <s v="3003 - FirjanAtivo"/>
    <s v="---"/>
    <n v="233"/>
    <n v="20458968000254"/>
    <n v="233"/>
    <n v="177688682982321"/>
    <s v="(22) 99243-73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0:31"/>
    <s v="3003 - FirjanAtivo"/>
    <s v="6044-Roseli Honorato Dos Santos"/>
    <n v="234"/>
    <n v="20813461000190"/>
    <n v="234"/>
    <n v="177688683182351"/>
    <s v="(21) 99143-0008"/>
    <n v="3003"/>
    <s v="Discador"/>
    <s v="Atendido"/>
    <s v="Enviar E-mail"/>
    <s v="BPATIVO22042026"/>
    <s v="Cliente"/>
    <n v="16"/>
    <m/>
    <m/>
    <d v="1899-12-30T00:03:18"/>
    <d v="1899-12-30T00:03:14"/>
    <n v="1"/>
    <x v="1"/>
  </r>
  <r>
    <d v="2026-04-22T16:40:36"/>
    <s v="3003 - FirjanAtivo"/>
    <s v="---"/>
    <n v="235"/>
    <n v="20816553000124"/>
    <n v="235"/>
    <n v="177688683682381"/>
    <s v="(21) 99684-145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0:36"/>
    <s v="3003 - FirjanAtivo"/>
    <s v="---"/>
    <n v="236"/>
    <n v="20843735000194"/>
    <n v="236"/>
    <n v="177688683682391"/>
    <s v="(55) 11973-5599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40:36"/>
    <s v="3003 - FirjanAtivo"/>
    <s v="---"/>
    <n v="240"/>
    <n v="21108715000132"/>
    <n v="240"/>
    <n v="177688683682401"/>
    <s v="(21) 2038-4382"/>
    <n v="3003"/>
    <s v="Discador"/>
    <s v="Atendido"/>
    <s v="Fora de Area / Cx de Mensagens"/>
    <s v="BPATIVO22042026"/>
    <s v="--"/>
    <n v="131"/>
    <m/>
    <m/>
    <d v="1899-12-30T00:00:00"/>
    <s v="---"/>
    <s v=""/>
    <x v="1"/>
  </r>
  <r>
    <d v="2026-04-22T16:40:39"/>
    <s v="3003 - FirjanAtivo"/>
    <s v="---"/>
    <n v="241"/>
    <n v="21147409000105"/>
    <n v="241"/>
    <n v="177688683982421"/>
    <s v="(21) 98047-668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0:49"/>
    <s v="3003 - FirjanAtivo"/>
    <s v="---"/>
    <n v="242"/>
    <n v="21466995000150"/>
    <n v="242"/>
    <n v="177688684982511"/>
    <s v="(24) 99961-312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0:49"/>
    <s v="3003 - FirjanAtivo"/>
    <s v="---"/>
    <n v="243"/>
    <n v="21511926000111"/>
    <n v="243"/>
    <n v="177688684982521"/>
    <s v="(21) 98790-3656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40:55"/>
    <s v="3003 - FirjanAtivo"/>
    <s v="---"/>
    <n v="246"/>
    <n v="21918143000157"/>
    <n v="246"/>
    <n v="177688685582571"/>
    <s v="(21) 97672-690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1:04"/>
    <s v="3003 - FirjanAtivo"/>
    <s v="---"/>
    <n v="247"/>
    <n v="21934634000191"/>
    <n v="247"/>
    <n v="177688686482621"/>
    <s v="(21) 99585-836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1:04"/>
    <s v="3003 - FirjanAtivo"/>
    <s v="---"/>
    <n v="248"/>
    <n v="22122960000167"/>
    <n v="248"/>
    <n v="177688686482651"/>
    <s v="(21) 97428-36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1:04"/>
    <s v="3003 - FirjanAtivo"/>
    <s v="---"/>
    <n v="249"/>
    <n v="22213087000118"/>
    <n v="249"/>
    <n v="177688686482661"/>
    <s v="(21) 96466-098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1:05"/>
    <s v="3003 - FirjanAtivo"/>
    <s v="---"/>
    <n v="252"/>
    <n v="22843195000174"/>
    <n v="252"/>
    <n v="177688686582681"/>
    <s v="(21) 99830-030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1:07"/>
    <s v="3003 - FirjanAtivo"/>
    <s v="---"/>
    <n v="254"/>
    <n v="23054134000190"/>
    <n v="254"/>
    <n v="177688686782701"/>
    <s v="(22) 99857-442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1:08"/>
    <s v="3003 - FirjanAtivo"/>
    <s v="---"/>
    <n v="255"/>
    <n v="23108884000106"/>
    <n v="255"/>
    <n v="177688686882721"/>
    <s v="(21) 99967-786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1:14"/>
    <s v="3003 - FirjanAtivo"/>
    <s v="---"/>
    <n v="256"/>
    <n v="23277156000110"/>
    <n v="256"/>
    <n v="177688687482781"/>
    <s v="(24) 98831-833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1:18"/>
    <s v="3003 - FirjanAtivo"/>
    <s v="---"/>
    <n v="258"/>
    <n v="23391798000145"/>
    <n v="258"/>
    <n v="177688687882801"/>
    <s v="(24) 99241-4636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41:25"/>
    <s v="3003 - FirjanAtivo"/>
    <s v="---"/>
    <n v="259"/>
    <n v="23628802000146"/>
    <n v="259"/>
    <n v="177688688582821"/>
    <s v="(21) 98048-109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1:25"/>
    <s v="3003 - FirjanAtivo"/>
    <s v="---"/>
    <n v="260"/>
    <n v="23836838000115"/>
    <n v="260"/>
    <n v="177688688582851"/>
    <s v="(24) 99909-70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1:25"/>
    <s v="3003 - FirjanAtivo"/>
    <s v="---"/>
    <n v="261"/>
    <n v="23884500000139"/>
    <n v="261"/>
    <n v="177688688582871"/>
    <s v="(24) 98824-151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1:29"/>
    <s v="3003 - FirjanAtivo"/>
    <s v="---"/>
    <n v="262"/>
    <n v="24021427000134"/>
    <n v="262"/>
    <n v="177688688982941"/>
    <s v="(21) 97272-875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1:35"/>
    <s v="3003 - FirjanAtivo"/>
    <s v="---"/>
    <n v="263"/>
    <n v="24265410000122"/>
    <n v="263"/>
    <n v="177688689583061"/>
    <s v="(21) 99860-23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1:39"/>
    <s v="3003 - FirjanAtivo"/>
    <s v="---"/>
    <n v="264"/>
    <n v="24323383000105"/>
    <n v="264"/>
    <n v="177688689983081"/>
    <s v="(24) 99996-001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1:50"/>
    <s v="3003 - FirjanAtivo"/>
    <s v="---"/>
    <n v="265"/>
    <n v="24373917000108"/>
    <n v="265"/>
    <n v="177688691083111"/>
    <s v="(24) 98152-001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1:55"/>
    <s v="3003 - FirjanAtivo"/>
    <s v="---"/>
    <n v="266"/>
    <n v="24415773000105"/>
    <n v="266"/>
    <n v="177688691583131"/>
    <s v="(24) 99940-069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2:08"/>
    <s v="3003 - FirjanAtivo"/>
    <s v="---"/>
    <n v="267"/>
    <n v="24569455000190"/>
    <n v="267"/>
    <n v="177688692883161"/>
    <s v="(21) 98627-356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2:08"/>
    <s v="3003 - FirjanAtivo"/>
    <s v="---"/>
    <n v="268"/>
    <n v="24583913000146"/>
    <n v="268"/>
    <n v="177688692883171"/>
    <s v="(21) 96461-8814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6:42:12"/>
    <s v="3003 - FirjanAtivo"/>
    <s v="---"/>
    <n v="269"/>
    <n v="25344452000111"/>
    <n v="269"/>
    <n v="177688693283211"/>
    <s v="(21) 97996-9313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42:12"/>
    <s v="3003 - FirjanAtivo"/>
    <s v="---"/>
    <n v="270"/>
    <n v="25404835000138"/>
    <n v="270"/>
    <n v="177688693283221"/>
    <s v="(22) 99821-9454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2:13"/>
    <s v="3003 - FirjanAtivo"/>
    <s v="---"/>
    <n v="271"/>
    <n v="25405605000193"/>
    <n v="271"/>
    <n v="177688693383231"/>
    <s v="(22) 99848-231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2:14"/>
    <s v="3003 - FirjanAtivo"/>
    <s v="---"/>
    <n v="272"/>
    <n v="26054449000126"/>
    <n v="272"/>
    <n v="177688693483241"/>
    <s v="(24) 98831-686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2:23"/>
    <s v="3003 - FirjanAtivo"/>
    <s v="---"/>
    <n v="273"/>
    <n v="26181076000154"/>
    <n v="273"/>
    <n v="177688694383261"/>
    <s v="(24) 98105-15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2:25"/>
    <s v="3003 - FirjanAtivo"/>
    <s v="---"/>
    <n v="274"/>
    <n v="26185307000106"/>
    <n v="274"/>
    <n v="177688694583281"/>
    <s v="(24) 99217-7731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2:25"/>
    <s v="3003 - FirjanAtivo"/>
    <s v="---"/>
    <n v="275"/>
    <n v="26252435000117"/>
    <n v="275"/>
    <n v="177688694583301"/>
    <s v="(22) 98181-76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2:28"/>
    <s v="3003 - FirjanAtivo"/>
    <s v="---"/>
    <n v="276"/>
    <n v="26295622000188"/>
    <n v="276"/>
    <n v="177688694883361"/>
    <s v="(22) 99773-7282"/>
    <n v="3003"/>
    <s v="Discador"/>
    <s v="Atendido"/>
    <s v="Fora de Area / Cx de Mensagens"/>
    <s v="BPATIVO22042026"/>
    <s v="--"/>
    <n v="128"/>
    <m/>
    <m/>
    <d v="1899-12-30T00:00:03"/>
    <s v="---"/>
    <s v=""/>
    <x v="1"/>
  </r>
  <r>
    <d v="2026-04-22T16:42:30"/>
    <s v="3003 - FirjanAtivo"/>
    <s v="---"/>
    <n v="277"/>
    <n v="26344541000120"/>
    <n v="277"/>
    <n v="177688695083381"/>
    <s v="(21) 99523-106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42:36"/>
    <s v="3003 - FirjanAtivo"/>
    <s v="---"/>
    <n v="278"/>
    <n v="26350061000172"/>
    <n v="278"/>
    <n v="177688695683401"/>
    <s v="(22) 99720-702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2:38"/>
    <s v="3003 - FirjanAtivo"/>
    <s v="---"/>
    <n v="279"/>
    <n v="26401298000135"/>
    <n v="279"/>
    <n v="177688695883421"/>
    <s v="(21) 99649-785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2:40"/>
    <s v="3003 - FirjanAtivo"/>
    <s v="---"/>
    <n v="280"/>
    <n v="26419801000180"/>
    <n v="280"/>
    <n v="177688696083441"/>
    <s v="(24) 99832-65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2:44"/>
    <s v="3003 - FirjanAtivo"/>
    <s v="---"/>
    <n v="281"/>
    <n v="26596537000150"/>
    <n v="281"/>
    <n v="177688696483461"/>
    <s v="(22) 99727-642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2:47"/>
    <s v="3003 - FirjanAtivo"/>
    <s v="---"/>
    <n v="282"/>
    <n v="26753972000140"/>
    <n v="282"/>
    <n v="177688696783481"/>
    <s v="(21) 19829-6975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42:47"/>
    <s v="3003 - FirjanAtivo"/>
    <s v="---"/>
    <n v="283"/>
    <n v="26789035000145"/>
    <n v="283"/>
    <n v="177688696783491"/>
    <s v="(21) 99726-2983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2:56"/>
    <s v="3003 - FirjanAtivo"/>
    <s v="6052-Marcia Lima Peixoto"/>
    <n v="284"/>
    <n v="26871189000181"/>
    <n v="284"/>
    <n v="177688697683521"/>
    <s v="(24) 99305-2569"/>
    <n v="3003"/>
    <s v="Discador"/>
    <s v="Atendido"/>
    <s v="Enviar E-mail"/>
    <s v="BPATIVO22042026"/>
    <s v="Cliente"/>
    <n v="16"/>
    <m/>
    <m/>
    <d v="1899-12-30T00:03:04"/>
    <d v="1899-12-30T00:03:00"/>
    <n v="1"/>
    <x v="1"/>
  </r>
  <r>
    <d v="2026-04-22T16:43:01"/>
    <s v="3003 - FirjanAtivo"/>
    <s v="---"/>
    <n v="285"/>
    <n v="26960926000112"/>
    <n v="285"/>
    <n v="177688698183541"/>
    <s v="(24) 99965-739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3:05"/>
    <s v="3003 - FirjanAtivo"/>
    <s v="---"/>
    <n v="286"/>
    <n v="26990729000146"/>
    <n v="286"/>
    <n v="177688698583561"/>
    <s v="(22) 99905-432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3:18"/>
    <s v="3003 - FirjanAtivo"/>
    <s v="---"/>
    <n v="288"/>
    <n v="27037167000183"/>
    <n v="288"/>
    <n v="177688699883581"/>
    <s v="(21) 96416-636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3:23"/>
    <s v="3003 - FirjanAtivo"/>
    <s v="---"/>
    <n v="290"/>
    <n v="27316226000152"/>
    <n v="290"/>
    <n v="177688700383611"/>
    <s v="(21) 99297-218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3:23"/>
    <s v="3003 - FirjanAtivo"/>
    <s v="---"/>
    <n v="291"/>
    <n v="27379033000140"/>
    <n v="291"/>
    <n v="177688700383621"/>
    <s v="(21) 98241-6981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6:43:24"/>
    <s v="3003 - FirjanAtivo"/>
    <s v="---"/>
    <n v="292"/>
    <n v="27439229000183"/>
    <n v="292"/>
    <n v="177688700483651"/>
    <s v="(21) 97428-36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3:24"/>
    <s v="3003 - FirjanAtivo"/>
    <s v="---"/>
    <n v="293"/>
    <n v="27559945000102"/>
    <n v="293"/>
    <n v="177688700483661"/>
    <s v="(22) 99265-340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3:30"/>
    <s v="3003 - FirjanAtivo"/>
    <s v="---"/>
    <n v="294"/>
    <n v="27813377000116"/>
    <n v="294"/>
    <n v="177688701083671"/>
    <s v="(21) 96468-135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3:35"/>
    <s v="3003 - FirjanAtivo"/>
    <s v="---"/>
    <n v="295"/>
    <n v="27931047000125"/>
    <n v="295"/>
    <n v="177688701583691"/>
    <s v="(22) 99744-0953"/>
    <n v="3003"/>
    <s v="Discador"/>
    <s v="Atendido"/>
    <s v="Fora de Area / Cx de Mensagens"/>
    <s v="BPATIVO22042026"/>
    <s v="--"/>
    <n v="128"/>
    <m/>
    <m/>
    <d v="1899-12-30T00:00:04"/>
    <s v="---"/>
    <s v=""/>
    <x v="1"/>
  </r>
  <r>
    <d v="2026-04-22T16:43:41"/>
    <s v="3003 - FirjanAtivo"/>
    <s v="---"/>
    <n v="298"/>
    <n v="28093477000188"/>
    <n v="298"/>
    <n v="177688702183711"/>
    <s v="(24) 99219-255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3:43"/>
    <s v="3003 - FirjanAtivo"/>
    <s v="---"/>
    <n v="299"/>
    <n v="28113645000150"/>
    <n v="299"/>
    <n v="177688702383731"/>
    <s v="(21) 99649-281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3:45"/>
    <s v="3003 - FirjanAtivo"/>
    <s v="---"/>
    <n v="300"/>
    <n v="28483585000167"/>
    <n v="300"/>
    <n v="177688702583751"/>
    <s v="(21) 97021-2590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43:46"/>
    <s v="3003 - FirjanAtivo"/>
    <s v="---"/>
    <n v="301"/>
    <n v="28566081000100"/>
    <n v="301"/>
    <n v="177688702683771"/>
    <s v="(24) 98818-043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3:51"/>
    <s v="3003 - FirjanAtivo"/>
    <s v="---"/>
    <n v="302"/>
    <n v="28584852000192"/>
    <n v="302"/>
    <n v="177688703183791"/>
    <s v="(21) 96467-655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3:52"/>
    <s v="3003 - FirjanAtivo"/>
    <s v="6044-Roseli Honorato Dos Santos"/>
    <n v="304"/>
    <n v="28673609000140"/>
    <n v="304"/>
    <n v="177688703283811"/>
    <s v="(21) 98273-9480"/>
    <n v="3003"/>
    <s v="Discador"/>
    <s v="Atendido"/>
    <s v="Retornar"/>
    <s v="BPATIVO22042026"/>
    <s v="Cliente"/>
    <n v="16"/>
    <m/>
    <m/>
    <d v="1899-12-30T00:00:56"/>
    <d v="1899-12-30T00:00:51"/>
    <s v=""/>
    <x v="1"/>
  </r>
  <r>
    <d v="2026-04-22T16:43:54"/>
    <s v="3003 - FirjanAtivo"/>
    <s v="---"/>
    <n v="305"/>
    <n v="28679579000180"/>
    <n v="305"/>
    <n v="177688703483831"/>
    <s v="(24) 99856-672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3:56"/>
    <s v="3003 - FirjanAtivo"/>
    <s v="---"/>
    <n v="306"/>
    <n v="28757458000109"/>
    <n v="306"/>
    <n v="177688703683851"/>
    <s v="(21) 99755-4649"/>
    <n v="3003"/>
    <s v="Discador"/>
    <s v="Atendido"/>
    <s v="Fora de Area / Cx de Mensagens"/>
    <s v="BPATIVO22042026"/>
    <s v="Cliente"/>
    <n v="131"/>
    <m/>
    <m/>
    <d v="1899-12-30T00:00:06"/>
    <s v="---"/>
    <s v=""/>
    <x v="1"/>
  </r>
  <r>
    <d v="2026-04-22T16:44:03"/>
    <s v="3003 - FirjanAtivo"/>
    <s v="---"/>
    <n v="307"/>
    <n v="28774621000141"/>
    <n v="307"/>
    <n v="177688704383871"/>
    <s v="(21) 98857-366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4:06"/>
    <s v="3003 - FirjanAtivo"/>
    <s v="---"/>
    <n v="308"/>
    <n v="28801829000102"/>
    <n v="308"/>
    <n v="177688704683901"/>
    <s v="(22) 99820-773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4:10"/>
    <s v="3003 - FirjanAtivo"/>
    <s v="---"/>
    <n v="309"/>
    <n v="28804490000106"/>
    <n v="309"/>
    <n v="177688705083921"/>
    <s v="(24) 99257-759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4:13"/>
    <s v="3003 - FirjanAtivo"/>
    <s v="---"/>
    <n v="310"/>
    <n v="28818441000114"/>
    <n v="310"/>
    <n v="177688705383991"/>
    <s v="(21) 98151-1929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4:17"/>
    <s v="3003 - FirjanAtivo"/>
    <s v="---"/>
    <n v="311"/>
    <n v="28839589000135"/>
    <n v="311"/>
    <n v="177688705784031"/>
    <s v="(21) 98152-377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4:17"/>
    <s v="3003 - FirjanAtivo"/>
    <s v="---"/>
    <n v="312"/>
    <n v="28886281000140"/>
    <n v="312"/>
    <n v="177688705784041"/>
    <s v="(22) 99953-802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4:21"/>
    <s v="3003 - FirjanAtivo"/>
    <s v="---"/>
    <n v="313"/>
    <n v="28889028000140"/>
    <n v="313"/>
    <n v="177688706184051"/>
    <s v="(21) 98157-428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4:25"/>
    <s v="3003 - FirjanAtivo"/>
    <s v="---"/>
    <n v="314"/>
    <n v="29203700000165"/>
    <n v="314"/>
    <n v="177688706584071"/>
    <s v="(21) 99808-47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4:29"/>
    <s v="3003 - FirjanAtivo"/>
    <s v="---"/>
    <n v="315"/>
    <n v="29230335000188"/>
    <n v="315"/>
    <n v="177688706984091"/>
    <s v="(21) 97123-214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4:30"/>
    <s v="3003 - FirjanAtivo"/>
    <s v="---"/>
    <n v="318"/>
    <n v="29313890000173"/>
    <n v="318"/>
    <n v="177688707084111"/>
    <s v="(55) 21989-9831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44:37"/>
    <s v="3003 - FirjanAtivo"/>
    <s v="6044-Roseli Honorato Dos Santos"/>
    <n v="320"/>
    <n v="29348695000189"/>
    <n v="320"/>
    <n v="177688707784131"/>
    <s v="(21) 99986-9382"/>
    <n v="3003"/>
    <s v="Discador"/>
    <s v="Atendido"/>
    <s v="Enviar E-mail"/>
    <s v="BPATIVO22042026"/>
    <s v="Cliente"/>
    <n v="16"/>
    <m/>
    <m/>
    <d v="1899-12-30T00:04:36"/>
    <d v="1899-12-30T00:04:18"/>
    <n v="1"/>
    <x v="1"/>
  </r>
  <r>
    <d v="2026-04-22T16:44:38"/>
    <s v="3003 - FirjanAtivo"/>
    <s v="---"/>
    <n v="322"/>
    <n v="29549276000105"/>
    <n v="322"/>
    <n v="177688707884151"/>
    <s v="(21) 99800-9367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44:40"/>
    <s v="3003 - FirjanAtivo"/>
    <s v="---"/>
    <n v="325"/>
    <n v="29654365000111"/>
    <n v="325"/>
    <n v="177688708084171"/>
    <s v="(21) 96411-300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4:44"/>
    <s v="3003 - FirjanAtivo"/>
    <s v="---"/>
    <n v="326"/>
    <n v="29688710000138"/>
    <n v="326"/>
    <n v="177688708484191"/>
    <s v="(22) 99844-3236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4:56"/>
    <s v="3003 - FirjanAtivo"/>
    <s v="---"/>
    <n v="327"/>
    <n v="29732268000108"/>
    <n v="327"/>
    <n v="177688709684211"/>
    <s v="(22) 98141-8451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44:58"/>
    <s v="3003 - FirjanAtivo"/>
    <s v="---"/>
    <n v="328"/>
    <n v="29762098000104"/>
    <n v="328"/>
    <n v="177688709884241"/>
    <s v="(24) 99284-4720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44:59"/>
    <s v="3003 - FirjanAtivo"/>
    <s v="---"/>
    <n v="329"/>
    <n v="29763215000146"/>
    <n v="329"/>
    <n v="177688709984261"/>
    <s v="(21) 97956-054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4:59"/>
    <s v="3003 - FirjanAtivo"/>
    <s v="---"/>
    <n v="330"/>
    <n v="29804549000110"/>
    <n v="330"/>
    <n v="177688709984271"/>
    <s v="(24) 99263-77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5:01"/>
    <s v="3003 - FirjanAtivo"/>
    <s v="---"/>
    <n v="331"/>
    <n v="29971512000187"/>
    <n v="331"/>
    <n v="177688710184281"/>
    <s v="(21) 98400-59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5:11"/>
    <s v="3003 - FirjanAtivo"/>
    <s v="---"/>
    <n v="332"/>
    <n v="29976990000180"/>
    <n v="332"/>
    <n v="177688711184311"/>
    <s v="(21) 99211-2683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5:25"/>
    <s v="3003 - FirjanAtivo"/>
    <s v="---"/>
    <n v="333"/>
    <n v="30116263000121"/>
    <n v="333"/>
    <n v="177688712584331"/>
    <s v="(21) 99191-084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45:31"/>
    <s v="3003 - FirjanAtivo"/>
    <s v="---"/>
    <n v="334"/>
    <n v="30162531000141"/>
    <n v="334"/>
    <n v="177688713184351"/>
    <s v="(21) 99362-968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5:33"/>
    <s v="3003 - FirjanAtivo"/>
    <s v="---"/>
    <n v="335"/>
    <n v="30165203000107"/>
    <n v="335"/>
    <n v="177688713384361"/>
    <s v="(24) 98802-434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5:43"/>
    <s v="3003 - FirjanAtivo"/>
    <s v="---"/>
    <n v="336"/>
    <n v="30168759000149"/>
    <n v="336"/>
    <n v="177688714384381"/>
    <s v="(24) 99713-0782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45:44"/>
    <s v="3003 - FirjanAtivo"/>
    <s v="---"/>
    <n v="337"/>
    <n v="30182814000155"/>
    <n v="337"/>
    <n v="177688714484401"/>
    <s v="(21) 97256-670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5:45"/>
    <s v="3003 - FirjanAtivo"/>
    <s v="---"/>
    <n v="338"/>
    <n v="30220686000197"/>
    <n v="338"/>
    <n v="177688714584411"/>
    <s v="(22) 98831-34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5:45"/>
    <s v="3003 - FirjanAtivo"/>
    <s v="---"/>
    <n v="340"/>
    <n v="30301105000141"/>
    <n v="340"/>
    <n v="177688714584421"/>
    <s v="(21) 96805-4651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45:58"/>
    <s v="3003 - FirjanAtivo"/>
    <s v="---"/>
    <n v="342"/>
    <n v="30540991000166"/>
    <n v="342"/>
    <n v="177688715884491"/>
    <s v="(22) 99277-290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5:58"/>
    <s v="3003 - FirjanAtivo"/>
    <s v="---"/>
    <n v="343"/>
    <n v="30546429000140"/>
    <n v="343"/>
    <n v="177688715884501"/>
    <s v="(21) 98109-83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6:01"/>
    <s v="3003 - FirjanAtivo"/>
    <s v="---"/>
    <n v="344"/>
    <n v="30548467000131"/>
    <n v="344"/>
    <n v="177688716184521"/>
    <s v="(55) 21982-826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46:08"/>
    <s v="3003 - FirjanAtivo"/>
    <s v="---"/>
    <n v="345"/>
    <n v="30603615000173"/>
    <n v="345"/>
    <n v="177688716884541"/>
    <s v="(21) 96635-6236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6:09"/>
    <s v="3003 - FirjanAtivo"/>
    <s v="---"/>
    <n v="346"/>
    <n v="30704910000116"/>
    <n v="346"/>
    <n v="177688716984561"/>
    <s v="(21) 98331-7903"/>
    <n v="3003"/>
    <s v="Discador"/>
    <s v="Atendido"/>
    <s v="Fora de Area / Cx de Mensagens"/>
    <s v="BPATIVO22042026"/>
    <s v="Cliente"/>
    <n v="131"/>
    <m/>
    <m/>
    <d v="1899-12-30T00:00:03"/>
    <s v="---"/>
    <s v=""/>
    <x v="1"/>
  </r>
  <r>
    <d v="2026-04-22T16:46:10"/>
    <s v="3003 - FirjanAtivo"/>
    <s v="---"/>
    <n v="347"/>
    <n v="30780625000184"/>
    <n v="347"/>
    <n v="177688717084581"/>
    <s v="(21) 99245-6513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46:16"/>
    <s v="3003 - FirjanAtivo"/>
    <s v="---"/>
    <n v="348"/>
    <n v="30828743000115"/>
    <n v="348"/>
    <n v="177688717684601"/>
    <s v="(21) 99880-596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6:21"/>
    <s v="3003 - FirjanAtivo"/>
    <s v="---"/>
    <n v="349"/>
    <n v="30905379000140"/>
    <n v="349"/>
    <n v="177688718184631"/>
    <s v="(24) 98881-171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6:27"/>
    <s v="3003 - FirjanAtivo"/>
    <s v="---"/>
    <n v="350"/>
    <n v="31084270000151"/>
    <n v="350"/>
    <n v="177688718784651"/>
    <s v="(21) 97046-396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6:27"/>
    <s v="3003 - FirjanAtivo"/>
    <s v="---"/>
    <n v="351"/>
    <n v="31086168000195"/>
    <n v="351"/>
    <n v="177688718784661"/>
    <s v="(22) 99493-516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46:28"/>
    <s v="3003 - FirjanAtivo"/>
    <s v="---"/>
    <n v="352"/>
    <n v="31131246000126"/>
    <n v="352"/>
    <n v="177688718884671"/>
    <s v="(24) 98846-451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6:30"/>
    <s v="3003 - FirjanAtivo"/>
    <s v="---"/>
    <n v="353"/>
    <n v="31131998000197"/>
    <n v="353"/>
    <n v="177688719084691"/>
    <s v="(21) 99911-891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6:31"/>
    <s v="3003 - FirjanAtivo"/>
    <s v="---"/>
    <n v="354"/>
    <n v="31142292000120"/>
    <n v="354"/>
    <n v="177688719184701"/>
    <s v="(21) 99678-28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6:33"/>
    <s v="3003 - FirjanAtivo"/>
    <s v="---"/>
    <n v="355"/>
    <n v="31142572000139"/>
    <n v="355"/>
    <n v="177688719384721"/>
    <s v="(21) 99851-0825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46:36"/>
    <s v="3003 - FirjanAtivo"/>
    <s v="6052-Marcia Lima Peixoto"/>
    <n v="356"/>
    <n v="31301737000178"/>
    <n v="356"/>
    <n v="177688719684741"/>
    <s v="(21) 98133-4719"/>
    <n v="3003"/>
    <s v="Discador"/>
    <s v="Atendido"/>
    <s v="Ligação Muda"/>
    <s v="BPATIVO22042026"/>
    <s v="Agente"/>
    <n v="16"/>
    <m/>
    <m/>
    <d v="1899-12-30T00:00:30"/>
    <d v="1899-12-30T00:00:27"/>
    <s v=""/>
    <x v="1"/>
  </r>
  <r>
    <d v="2026-04-22T16:46:42"/>
    <s v="3003 - FirjanAtivo"/>
    <s v="---"/>
    <n v="357"/>
    <n v="31307787000162"/>
    <n v="357"/>
    <n v="177688720284761"/>
    <s v="(22) 99981-3134"/>
    <n v="3003"/>
    <s v="Discador"/>
    <s v="Atendido"/>
    <s v="Fora de Area / Cx de Mensagens"/>
    <s v="BPATIVO22042026"/>
    <s v="Cliente"/>
    <n v="131"/>
    <m/>
    <m/>
    <d v="1899-12-30T00:00:06"/>
    <s v="---"/>
    <s v=""/>
    <x v="1"/>
  </r>
  <r>
    <d v="2026-04-22T16:46:47"/>
    <s v="3003 - FirjanAtivo"/>
    <s v="---"/>
    <n v="358"/>
    <n v="31396511000106"/>
    <n v="358"/>
    <n v="177688720784781"/>
    <s v="(21) 98149-9835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6:48"/>
    <s v="3003 - FirjanAtivo"/>
    <s v="---"/>
    <n v="359"/>
    <n v="31441165000122"/>
    <n v="359"/>
    <n v="177688720884801"/>
    <s v="(22) 99231-836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6:55"/>
    <s v="3003 - FirjanAtivo"/>
    <s v="---"/>
    <n v="361"/>
    <n v="31591969000108"/>
    <n v="361"/>
    <n v="177688721584891"/>
    <s v="(21) 97597-816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6:57"/>
    <s v="3003 - FirjanAtivo"/>
    <s v="---"/>
    <n v="362"/>
    <n v="31627306000104"/>
    <n v="362"/>
    <n v="177688721784931"/>
    <s v="(22) 99758-98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6:58"/>
    <s v="3003 - FirjanAtivo"/>
    <s v="---"/>
    <n v="364"/>
    <n v="31669377000161"/>
    <n v="364"/>
    <n v="177688721884941"/>
    <s v="(55) 21268-769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46:58"/>
    <s v="3003 - FirjanAtivo"/>
    <s v="---"/>
    <n v="365"/>
    <n v="31865488000143"/>
    <n v="365"/>
    <n v="177688721884951"/>
    <s v="(21) 99959-656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6:59"/>
    <s v="3003 - FirjanAtivo"/>
    <s v="---"/>
    <n v="366"/>
    <n v="31967201000196"/>
    <n v="366"/>
    <n v="177688721984961"/>
    <s v="(24) 98142-530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7:03"/>
    <s v="3003 - FirjanAtivo"/>
    <s v="---"/>
    <n v="369"/>
    <n v="32121837000185"/>
    <n v="369"/>
    <n v="177688722385001"/>
    <s v="(21) 97972-134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7:07"/>
    <s v="3003 - FirjanAtivo"/>
    <s v="---"/>
    <n v="370"/>
    <n v="32256448000167"/>
    <n v="370"/>
    <n v="177688722785021"/>
    <s v="(21) 96756-026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7:09"/>
    <s v="3003 - FirjanAtivo"/>
    <s v="---"/>
    <n v="371"/>
    <n v="32258196000105"/>
    <n v="371"/>
    <n v="177688722985041"/>
    <s v="(21) 99443-717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7:13"/>
    <s v="3003 - FirjanAtivo"/>
    <s v="---"/>
    <n v="372"/>
    <n v="32303404000140"/>
    <n v="372"/>
    <n v="177688723385061"/>
    <s v="(21) 99685-4448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47:17"/>
    <s v="3003 - FirjanAtivo"/>
    <s v="---"/>
    <n v="373"/>
    <n v="32333337000107"/>
    <n v="373"/>
    <n v="177688723785081"/>
    <s v="(22) 99983-1403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7:18"/>
    <s v="3003 - FirjanAtivo"/>
    <s v="---"/>
    <n v="374"/>
    <n v="32514234000143"/>
    <n v="374"/>
    <n v="177688723885101"/>
    <s v="(24) 98806-6006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47:26"/>
    <s v="3003 - FirjanAtivo"/>
    <s v="---"/>
    <n v="375"/>
    <n v="32579807000117"/>
    <n v="375"/>
    <n v="177688724685131"/>
    <s v="(22) 99978-138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7:27"/>
    <s v="3003 - FirjanAtivo"/>
    <s v="---"/>
    <n v="376"/>
    <n v="32599342000166"/>
    <n v="376"/>
    <n v="177688724785141"/>
    <s v="(22) 99989-2597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7:30"/>
    <s v="3003 - FirjanAtivo"/>
    <s v="---"/>
    <n v="377"/>
    <n v="32956821000192"/>
    <n v="377"/>
    <n v="177688725085161"/>
    <s v="(24) 99216-77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7:33"/>
    <s v="3003 - FirjanAtivo"/>
    <s v="---"/>
    <n v="378"/>
    <n v="32968396000151"/>
    <n v="378"/>
    <n v="177688725385191"/>
    <s v="(21) 98323-903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7:40"/>
    <s v="3003 - FirjanAtivo"/>
    <s v="---"/>
    <n v="367"/>
    <n v="31969017000185"/>
    <n v="367"/>
    <n v="177688722184981"/>
    <s v="(24) 99983-2975"/>
    <n v="3003"/>
    <s v="Discador"/>
    <s v="Atendido"/>
    <s v="Fora de Area / Cx de Mensagens"/>
    <s v="BPATIVO22042026"/>
    <s v="Cliente"/>
    <n v="131"/>
    <m/>
    <m/>
    <d v="1899-12-30T00:00:15"/>
    <s v="---"/>
    <s v=""/>
    <x v="1"/>
  </r>
  <r>
    <d v="2026-04-22T16:47:46"/>
    <s v="3003 - FirjanAtivo"/>
    <s v="---"/>
    <n v="380"/>
    <n v="33117243000163"/>
    <n v="380"/>
    <n v="177688726685281"/>
    <s v="(21) 99220-828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7:47"/>
    <s v="3003 - FirjanAtivo"/>
    <s v="---"/>
    <n v="381"/>
    <n v="33208034000125"/>
    <n v="381"/>
    <n v="177688726785291"/>
    <s v="(21) 98834-26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7:47"/>
    <s v="3003 - FirjanAtivo"/>
    <s v="---"/>
    <n v="382"/>
    <n v="33208174000101"/>
    <n v="382"/>
    <n v="177688726785301"/>
    <s v="(21) 98584-82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7:47"/>
    <s v="3003 - FirjanAtivo"/>
    <s v="---"/>
    <n v="383"/>
    <n v="33242199000113"/>
    <n v="383"/>
    <n v="177688726785311"/>
    <s v="(21) 98757-2010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6:47:48"/>
    <s v="3003 - FirjanAtivo"/>
    <s v="---"/>
    <n v="385"/>
    <n v="33472846000183"/>
    <n v="385"/>
    <n v="177688726885331"/>
    <s v="(21) 96547-3391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48:00"/>
    <s v="3003 - FirjanAtivo"/>
    <s v="---"/>
    <n v="386"/>
    <n v="33524117000123"/>
    <n v="386"/>
    <n v="177688728085351"/>
    <s v="(21) 99769-9629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8:15"/>
    <s v="3003 - FirjanAtivo"/>
    <s v="---"/>
    <n v="387"/>
    <n v="33524950000174"/>
    <n v="387"/>
    <n v="177688729585441"/>
    <s v="(21) 99311-420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8:17"/>
    <s v="3003 - FirjanAtivo"/>
    <s v="---"/>
    <n v="388"/>
    <n v="33833660000102"/>
    <n v="388"/>
    <n v="177688729785461"/>
    <s v="(22) 99760-70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8:19"/>
    <s v="3003 - FirjanAtivo"/>
    <s v="---"/>
    <n v="389"/>
    <n v="33863778000183"/>
    <n v="389"/>
    <n v="177688729985481"/>
    <s v="(21) 99182-4924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48:35"/>
    <s v="3003 - FirjanAtivo"/>
    <s v="---"/>
    <n v="391"/>
    <n v="33889341000119"/>
    <n v="391"/>
    <n v="177688731585591"/>
    <s v="(21) 99493-843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8:52"/>
    <s v="3003 - FirjanAtivo"/>
    <s v="---"/>
    <n v="392"/>
    <n v="33979964000182"/>
    <n v="392"/>
    <n v="177688733285681"/>
    <s v="(21) 99944-8304"/>
    <n v="3003"/>
    <s v="Discador"/>
    <s v="Atendido"/>
    <s v="Fora de Area / Cx de Mensagens"/>
    <s v="BPATIVO22042026"/>
    <s v="Cliente"/>
    <n v="131"/>
    <m/>
    <m/>
    <d v="1899-12-30T00:00:26"/>
    <s v="---"/>
    <s v=""/>
    <x v="1"/>
  </r>
  <r>
    <d v="2026-04-22T16:49:21"/>
    <s v="3003 - FirjanAtivo"/>
    <s v="---"/>
    <n v="393"/>
    <n v="34005108000199"/>
    <n v="393"/>
    <n v="177688736185741"/>
    <s v="(21) 99948-2682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49:23"/>
    <s v="3003 - FirjanAtivo"/>
    <s v="---"/>
    <n v="394"/>
    <n v="34050567000194"/>
    <n v="394"/>
    <n v="177688736385751"/>
    <s v="(21) 99977-18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9:28"/>
    <s v="3003 - FirjanAtivo"/>
    <s v="---"/>
    <n v="395"/>
    <n v="34058701000101"/>
    <n v="395"/>
    <n v="177688736885791"/>
    <s v="(21) 99338-911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9:33"/>
    <s v="3003 - FirjanAtivo"/>
    <s v="---"/>
    <n v="396"/>
    <n v="34413663000150"/>
    <n v="396"/>
    <n v="177688737385811"/>
    <s v="(22) 99741-120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9:44"/>
    <s v="3003 - FirjanAtivo"/>
    <s v="---"/>
    <n v="397"/>
    <n v="34484975000154"/>
    <n v="397"/>
    <n v="177688738485851"/>
    <s v="(21) 99816-040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9:47"/>
    <s v="3003 - FirjanAtivo"/>
    <s v="---"/>
    <n v="398"/>
    <n v="34851161000100"/>
    <n v="398"/>
    <n v="177688738785871"/>
    <s v="(24) 99997-504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49:59"/>
    <s v="3003 - FirjanAtivo"/>
    <s v="---"/>
    <n v="399"/>
    <n v="34978275000116"/>
    <n v="399"/>
    <n v="177688739985991"/>
    <s v="(21) 99557-621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0:02"/>
    <s v="3003 - FirjanAtivo"/>
    <s v="---"/>
    <n v="400"/>
    <n v="35055430000195"/>
    <n v="400"/>
    <n v="177688740286041"/>
    <s v="(24) 99833-1820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50:06"/>
    <s v="3003 - FirjanAtivo"/>
    <s v="---"/>
    <n v="402"/>
    <n v="35700816000102"/>
    <n v="402"/>
    <n v="177688740686101"/>
    <s v="(22) 99257-0909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50:15"/>
    <s v="3003 - FirjanAtivo"/>
    <s v="---"/>
    <n v="403"/>
    <n v="35765734000146"/>
    <n v="403"/>
    <n v="177688741586251"/>
    <s v="(21) 98897-015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50:51"/>
    <s v="3003 - FirjanAtivo"/>
    <s v="---"/>
    <n v="404"/>
    <n v="35872118000194"/>
    <n v="404"/>
    <n v="177688745186351"/>
    <s v="(24) 97404-145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0:55"/>
    <s v="3003 - FirjanAtivo"/>
    <s v="---"/>
    <n v="405"/>
    <n v="35981385000108"/>
    <n v="405"/>
    <n v="177688745586371"/>
    <s v="(22) 99946-826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1:04"/>
    <s v="3003 - FirjanAtivo"/>
    <s v="---"/>
    <n v="406"/>
    <n v="35982209000182"/>
    <n v="406"/>
    <n v="177688746486431"/>
    <s v="(21) 97014-642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1:12"/>
    <s v="3003 - FirjanAtivo"/>
    <s v="---"/>
    <n v="408"/>
    <n v="36085439000101"/>
    <n v="408"/>
    <n v="177688747286451"/>
    <s v="(21) 96900-7409"/>
    <n v="3003"/>
    <s v="Discador"/>
    <s v="Atendido"/>
    <s v="Fora de Area / Cx de Mensagens"/>
    <s v="BPATIVO22042026"/>
    <s v="--"/>
    <n v="128"/>
    <m/>
    <m/>
    <d v="1899-12-30T00:00:02"/>
    <s v="---"/>
    <s v=""/>
    <x v="1"/>
  </r>
  <r>
    <d v="2026-04-22T16:51:14"/>
    <s v="3003 - FirjanAtivo"/>
    <s v="---"/>
    <n v="384"/>
    <n v="33262916000179"/>
    <n v="384"/>
    <n v="177688726885321"/>
    <s v="(21) 96477-2797"/>
    <n v="3003"/>
    <s v="Discador"/>
    <s v="Atendido"/>
    <s v="Fora de Area / Cx de Mensagens"/>
    <s v="BPATIVO22042026"/>
    <s v="Cliente"/>
    <n v="131"/>
    <m/>
    <m/>
    <d v="1899-12-30T00:03:04"/>
    <s v="---"/>
    <s v=""/>
    <x v="1"/>
  </r>
  <r>
    <d v="2026-04-22T16:51:17"/>
    <s v="3003 - FirjanAtivo"/>
    <s v="---"/>
    <n v="409"/>
    <n v="36158632000125"/>
    <n v="409"/>
    <n v="177688747786661"/>
    <s v="(21) 99461-8114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51:21"/>
    <s v="3003 - FirjanAtivo"/>
    <s v="---"/>
    <n v="410"/>
    <n v="36204923000102"/>
    <n v="410"/>
    <n v="177688748186671"/>
    <s v="(22) 99833-3285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51:21"/>
    <s v="3003 - FirjanAtivo"/>
    <s v="---"/>
    <n v="411"/>
    <n v="36264719000187"/>
    <n v="411"/>
    <n v="177688748186681"/>
    <s v="(24) 98103-475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1:22"/>
    <s v="3003 - FirjanAtivo"/>
    <s v="---"/>
    <n v="414"/>
    <n v="36481984000117"/>
    <n v="414"/>
    <n v="177688748286691"/>
    <s v="(22) 98120-219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1:22"/>
    <s v="3003 - FirjanAtivo"/>
    <s v="---"/>
    <n v="415"/>
    <n v="36509446000193"/>
    <n v="415"/>
    <n v="177688748286701"/>
    <s v="(24) 99239-599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1:27"/>
    <s v="3003 - FirjanAtivo"/>
    <s v="---"/>
    <n v="416"/>
    <n v="36541506000155"/>
    <n v="416"/>
    <n v="177688748786721"/>
    <s v="(67) 09157-8769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51:27"/>
    <s v="3003 - FirjanAtivo"/>
    <s v="---"/>
    <n v="417"/>
    <n v="36565794000188"/>
    <n v="417"/>
    <n v="177688748786731"/>
    <s v="(22) 99955-773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1:37"/>
    <s v="3003 - FirjanAtivo"/>
    <s v="---"/>
    <n v="420"/>
    <n v="36936004000123"/>
    <n v="420"/>
    <n v="177688749786791"/>
    <s v="(21) 96409-893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1:42"/>
    <s v="3003 - FirjanAtivo"/>
    <s v="---"/>
    <n v="421"/>
    <n v="37285492000119"/>
    <n v="421"/>
    <n v="177688750286811"/>
    <s v="(24) 98114-1571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51:50"/>
    <s v="3003 - FirjanAtivo"/>
    <s v="---"/>
    <n v="422"/>
    <n v="37407191000110"/>
    <n v="422"/>
    <n v="177688751086881"/>
    <s v="(24) 98126-2199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51:51"/>
    <s v="3003 - FirjanAtivo"/>
    <s v="---"/>
    <n v="424"/>
    <n v="37676685000109"/>
    <n v="424"/>
    <n v="177688751186921"/>
    <s v="(21) 96433-646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2:01"/>
    <s v="3003 - FirjanAtivo"/>
    <s v="---"/>
    <n v="425"/>
    <n v="37785014000178"/>
    <n v="425"/>
    <n v="177688752186991"/>
    <s v="(21) 96945-2479"/>
    <n v="3003"/>
    <s v="Discador"/>
    <s v="Atendido"/>
    <s v="Fora de Area / Cx de Mensagens"/>
    <s v="BPATIVO22042026"/>
    <s v="Cliente"/>
    <n v="131"/>
    <m/>
    <m/>
    <d v="1899-12-30T00:00:04"/>
    <s v="---"/>
    <s v=""/>
    <x v="1"/>
  </r>
  <r>
    <d v="2026-04-22T16:52:09"/>
    <s v="3003 - FirjanAtivo"/>
    <s v="---"/>
    <n v="426"/>
    <n v="37961934000108"/>
    <n v="426"/>
    <n v="177688752987021"/>
    <s v="(21) 99985-2105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52:10"/>
    <s v="3003 - FirjanAtivo"/>
    <s v="---"/>
    <n v="427"/>
    <n v="38253250000106"/>
    <n v="427"/>
    <n v="177688753087041"/>
    <s v="(21) 96433-009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2:10"/>
    <s v="3003 - FirjanAtivo"/>
    <s v="---"/>
    <n v="428"/>
    <n v="38327906000198"/>
    <n v="428"/>
    <n v="177688753087051"/>
    <s v="(22) 99999-703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2:10"/>
    <s v="3003 - FirjanAtivo"/>
    <s v="---"/>
    <n v="429"/>
    <n v="38456890000113"/>
    <n v="429"/>
    <n v="177688753087071"/>
    <s v="(21) 97013-116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2:15"/>
    <s v="3003 - FirjanAtivo"/>
    <s v="---"/>
    <n v="430"/>
    <n v="39210513000162"/>
    <n v="430"/>
    <n v="177688753587091"/>
    <s v="(24) 99309-794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2:23"/>
    <s v="3003 - FirjanAtivo"/>
    <s v="---"/>
    <n v="431"/>
    <n v="39214150000133"/>
    <n v="431"/>
    <n v="177688754387111"/>
    <s v="(22) 99930-7567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6:52:28"/>
    <s v="3003 - FirjanAtivo"/>
    <s v="---"/>
    <n v="432"/>
    <n v="39216809000190"/>
    <n v="432"/>
    <n v="177688754887131"/>
    <s v="(21) 97730-266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2:31"/>
    <s v="3003 - FirjanAtivo"/>
    <s v="---"/>
    <n v="433"/>
    <n v="39220751000159"/>
    <n v="433"/>
    <n v="177688755187151"/>
    <s v="(22) 98132-465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2:40"/>
    <s v="3003 - FirjanAtivo"/>
    <s v="---"/>
    <n v="434"/>
    <n v="39227830000191"/>
    <n v="434"/>
    <n v="177688756087221"/>
    <s v="(22) 99704-98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2:43"/>
    <s v="3003 - FirjanAtivo"/>
    <s v="---"/>
    <n v="435"/>
    <n v="39468257000108"/>
    <n v="435"/>
    <n v="177688756387241"/>
    <s v="(71) 98143-5224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52:45"/>
    <s v="3003 - FirjanAtivo"/>
    <s v="---"/>
    <n v="436"/>
    <n v="39556402000102"/>
    <n v="436"/>
    <n v="177688756587261"/>
    <s v="(24) 97401-715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2:56"/>
    <s v="3003 - FirjanAtivo"/>
    <s v="---"/>
    <n v="437"/>
    <n v="39596079000109"/>
    <n v="437"/>
    <n v="177688757687271"/>
    <s v="(24) 98855-736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2:57"/>
    <s v="3003 - FirjanAtivo"/>
    <s v="---"/>
    <n v="438"/>
    <n v="39929832000122"/>
    <n v="438"/>
    <n v="177688757787281"/>
    <s v="(24) 99825-19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3:01"/>
    <s v="3003 - FirjanAtivo"/>
    <s v="---"/>
    <n v="439"/>
    <n v="39935945000130"/>
    <n v="439"/>
    <n v="177688758187301"/>
    <s v="(21) 99856-3613"/>
    <n v="3003"/>
    <s v="Discador"/>
    <s v="Atendido"/>
    <s v="Fora de Area / Cx de Mensagens"/>
    <s v="BPATIVO22042026"/>
    <s v="Cliente"/>
    <n v="131"/>
    <m/>
    <m/>
    <d v="1899-12-30T00:00:19"/>
    <s v="---"/>
    <s v=""/>
    <x v="1"/>
  </r>
  <r>
    <d v="2026-04-22T16:53:08"/>
    <s v="3003 - FirjanAtivo"/>
    <s v="---"/>
    <n v="440"/>
    <n v="40019453000184"/>
    <n v="440"/>
    <n v="177688758887321"/>
    <s v="(22) 98171-0088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53:12"/>
    <s v="3003 - FirjanAtivo"/>
    <s v="---"/>
    <n v="441"/>
    <n v="40127921000134"/>
    <n v="441"/>
    <n v="177688759287341"/>
    <s v="(22) 98802-720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3:22"/>
    <s v="3003 - FirjanAtivo"/>
    <s v="---"/>
    <n v="443"/>
    <n v="40159980000194"/>
    <n v="443"/>
    <n v="177688760287401"/>
    <s v="(21) 98181-263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3:23"/>
    <s v="3003 - FirjanAtivo"/>
    <s v="---"/>
    <n v="445"/>
    <n v="40205791000100"/>
    <n v="445"/>
    <n v="177688760387431"/>
    <s v="(21) 96438-45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3:24"/>
    <s v="3003 - FirjanAtivo"/>
    <s v="---"/>
    <n v="446"/>
    <n v="40217278000130"/>
    <n v="446"/>
    <n v="177688760487451"/>
    <s v="(22) 99893-3832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53:33"/>
    <s v="3003 - FirjanAtivo"/>
    <s v="---"/>
    <n v="447"/>
    <n v="40290991000109"/>
    <n v="447"/>
    <n v="177688761387531"/>
    <s v="(22) 99525-5637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53:35"/>
    <s v="3003 - FirjanAtivo"/>
    <s v="---"/>
    <n v="448"/>
    <n v="40503929000158"/>
    <n v="448"/>
    <n v="177688761587541"/>
    <s v="(21) 98396-424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3:43"/>
    <s v="3003 - FirjanAtivo"/>
    <s v="---"/>
    <n v="450"/>
    <n v="40696152000195"/>
    <n v="450"/>
    <n v="177688762387591"/>
    <s v="(22) 99787-8564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53:46"/>
    <s v="3003 - FirjanAtivo"/>
    <s v="---"/>
    <n v="452"/>
    <n v="40904952000154"/>
    <n v="452"/>
    <n v="177688762687611"/>
    <s v="(21) 99987-235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3:50"/>
    <s v="3003 - FirjanAtivo"/>
    <s v="---"/>
    <n v="453"/>
    <n v="41284144000102"/>
    <n v="453"/>
    <n v="177688763087631"/>
    <s v="(21) 96556-21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3:52"/>
    <s v="3003 - FirjanAtivo"/>
    <s v="---"/>
    <n v="454"/>
    <n v="41433088000112"/>
    <n v="454"/>
    <n v="177688763287651"/>
    <s v="(22) 99243-97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3:53"/>
    <s v="3003 - FirjanAtivo"/>
    <s v="---"/>
    <n v="455"/>
    <n v="41601367000148"/>
    <n v="455"/>
    <n v="177688763387671"/>
    <s v="(22) 99841-478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3:53"/>
    <s v="3003 - FirjanAtivo"/>
    <s v="---"/>
    <n v="456"/>
    <n v="41907234000102"/>
    <n v="456"/>
    <n v="177688763387691"/>
    <s v="(22) 99225-940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3:59"/>
    <s v="3003 - FirjanAtivo"/>
    <s v="---"/>
    <n v="457"/>
    <n v="42081946000170"/>
    <n v="457"/>
    <n v="177688763987711"/>
    <s v="(21) 96410-868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4:09"/>
    <s v="3003 - FirjanAtivo"/>
    <s v="---"/>
    <n v="458"/>
    <n v="42427558000106"/>
    <n v="458"/>
    <n v="177688764987731"/>
    <s v="(21) 99598-64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4:19"/>
    <s v="3003 - FirjanAtivo"/>
    <s v="---"/>
    <n v="460"/>
    <n v="42497263000106"/>
    <n v="460"/>
    <n v="177688765987771"/>
    <s v="(21) 96448-0102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54:21"/>
    <s v="3003 - FirjanAtivo"/>
    <s v="---"/>
    <n v="463"/>
    <n v="42764642000107"/>
    <n v="463"/>
    <n v="177688766187831"/>
    <s v="(21) 97295-3079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54:23"/>
    <s v="3003 - FirjanAtivo"/>
    <s v="---"/>
    <n v="465"/>
    <n v="42895602000102"/>
    <n v="465"/>
    <n v="177688766387861"/>
    <s v="(22) 99831-539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4:24"/>
    <s v="3003 - FirjanAtivo"/>
    <s v="---"/>
    <n v="467"/>
    <n v="43189309000184"/>
    <n v="467"/>
    <n v="177688766487871"/>
    <s v="(22) 99826-2171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54:25"/>
    <s v="3003 - FirjanAtivo"/>
    <s v="---"/>
    <n v="468"/>
    <n v="43291803000155"/>
    <n v="468"/>
    <n v="177688766587891"/>
    <s v="(21) 99390-3373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54:31"/>
    <s v="3003 - FirjanAtivo"/>
    <s v="---"/>
    <n v="469"/>
    <n v="43600132000167"/>
    <n v="469"/>
    <n v="177688767187911"/>
    <s v="(24) 98188-313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4:34"/>
    <s v="3003 - FirjanAtivo"/>
    <s v="---"/>
    <n v="470"/>
    <n v="43608407000109"/>
    <n v="470"/>
    <n v="177688767487931"/>
    <s v="(21) 99043-710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4:35"/>
    <s v="3003 - FirjanAtivo"/>
    <s v="---"/>
    <n v="471"/>
    <n v="43647834000104"/>
    <n v="471"/>
    <n v="177688767587951"/>
    <s v="(22) 98130-674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4:41"/>
    <s v="3003 - FirjanAtivo"/>
    <s v="---"/>
    <n v="472"/>
    <n v="43753738000132"/>
    <n v="472"/>
    <n v="177688768187971"/>
    <s v="(22) 98811-4649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54:44"/>
    <s v="3003 - FirjanAtivo"/>
    <s v="---"/>
    <n v="473"/>
    <n v="43907332000167"/>
    <n v="473"/>
    <n v="177688768487991"/>
    <s v="(21) 98790-365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4:46"/>
    <s v="3003 - FirjanAtivo"/>
    <s v="---"/>
    <n v="474"/>
    <n v="44141387000171"/>
    <n v="474"/>
    <n v="177688768688011"/>
    <s v="(21) 99799-342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4:49"/>
    <s v="3003 - FirjanAtivo"/>
    <s v="---"/>
    <n v="475"/>
    <n v="44172855000175"/>
    <n v="475"/>
    <n v="177688768988031"/>
    <s v="(21) 96441-64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4:50"/>
    <s v="3003 - FirjanAtivo"/>
    <s v="---"/>
    <n v="477"/>
    <n v="45271123000103"/>
    <n v="477"/>
    <n v="177688769088051"/>
    <s v="(24) 98848-207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4:56"/>
    <s v="3003 - FirjanAtivo"/>
    <s v="---"/>
    <n v="478"/>
    <n v="45504294000127"/>
    <n v="478"/>
    <n v="177688769688071"/>
    <s v="(22) 99930-205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54:59"/>
    <s v="3003 - FirjanAtivo"/>
    <s v="---"/>
    <n v="479"/>
    <n v="45618003000121"/>
    <n v="479"/>
    <n v="177688769988091"/>
    <s v="(22) 99266-189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05"/>
    <s v="3003 - FirjanAtivo"/>
    <s v="---"/>
    <n v="481"/>
    <n v="45654432000154"/>
    <n v="481"/>
    <n v="177688770588131"/>
    <s v="(22) 99793-594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06"/>
    <s v="3003 - FirjanAtivo"/>
    <s v="---"/>
    <n v="483"/>
    <n v="46660690000106"/>
    <n v="483"/>
    <n v="177688770688161"/>
    <s v="(21) 98883-32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09"/>
    <s v="3003 - FirjanAtivo"/>
    <s v="---"/>
    <n v="484"/>
    <n v="46884983000177"/>
    <n v="484"/>
    <n v="177688770988171"/>
    <s v="(21) 96411-48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10"/>
    <s v="3003 - FirjanAtivo"/>
    <s v="---"/>
    <n v="486"/>
    <n v="47197932000130"/>
    <n v="486"/>
    <n v="177688771088201"/>
    <s v="(21) 98565-13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18"/>
    <s v="3003 - FirjanAtivo"/>
    <s v="---"/>
    <n v="488"/>
    <n v="48319171000104"/>
    <n v="488"/>
    <n v="177688771888221"/>
    <s v="(22) 97405-553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19"/>
    <s v="3003 - FirjanAtivo"/>
    <s v="---"/>
    <n v="489"/>
    <n v="48361628000149"/>
    <n v="489"/>
    <n v="177688771988241"/>
    <s v="(24) 98823-83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21"/>
    <s v="3003 - FirjanAtivo"/>
    <s v="---"/>
    <n v="490"/>
    <n v="48762740000191"/>
    <n v="490"/>
    <n v="177688772188261"/>
    <s v="(22) 98801-495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22"/>
    <s v="3003 - FirjanAtivo"/>
    <s v="---"/>
    <n v="491"/>
    <n v="48793273000167"/>
    <n v="491"/>
    <n v="177688772288281"/>
    <s v="(21) 99221-3122"/>
    <n v="3003"/>
    <s v="Discador"/>
    <s v="Atendido"/>
    <s v="Fora de Area / Cx de Mensagens"/>
    <s v="BPATIVO22042026"/>
    <s v="--"/>
    <n v="128"/>
    <m/>
    <m/>
    <d v="1899-12-30T00:00:05"/>
    <s v="---"/>
    <s v=""/>
    <x v="1"/>
  </r>
  <r>
    <d v="2026-04-22T16:55:22"/>
    <s v="3003 - FirjanAtivo"/>
    <s v="---"/>
    <n v="492"/>
    <n v="48968786000161"/>
    <n v="492"/>
    <n v="177688772288301"/>
    <s v="(21) 96412-771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23"/>
    <s v="3003 - FirjanAtivo"/>
    <s v="---"/>
    <n v="493"/>
    <n v="49039587000131"/>
    <n v="493"/>
    <n v="177688772388311"/>
    <s v="(21) 96462-0376"/>
    <n v="3003"/>
    <s v="Discador"/>
    <s v="Atendido"/>
    <s v="Fora de Area / Cx de Mensagens"/>
    <s v="BPATIVO22042026"/>
    <s v="--"/>
    <n v="131"/>
    <m/>
    <m/>
    <d v="1899-12-30T00:00:01"/>
    <s v="---"/>
    <s v=""/>
    <x v="1"/>
  </r>
  <r>
    <d v="2026-04-22T16:55:30"/>
    <s v="3003 - FirjanAtivo"/>
    <s v="---"/>
    <n v="494"/>
    <n v="49310128000140"/>
    <n v="494"/>
    <n v="177688773088331"/>
    <s v="(21) 96462-03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34"/>
    <s v="3003 - FirjanAtivo"/>
    <s v="---"/>
    <n v="495"/>
    <n v="49419902000156"/>
    <n v="495"/>
    <n v="177688773488351"/>
    <s v="(21) 97281-997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35"/>
    <s v="3003 - FirjanAtivo"/>
    <s v="---"/>
    <n v="497"/>
    <n v="49606616000108"/>
    <n v="497"/>
    <n v="177688773588371"/>
    <s v="(24) 99930-8767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55:40"/>
    <s v="3003 - FirjanAtivo"/>
    <s v="6052-Marcia Lima Peixoto"/>
    <n v="498"/>
    <n v="49876067000183"/>
    <n v="498"/>
    <n v="177688774088391"/>
    <s v="(22) 99872-7233"/>
    <n v="3003"/>
    <s v="Discador"/>
    <s v="Atendido"/>
    <s v="Tel Não Atende / Ocupado"/>
    <s v="BPATIVO22042026"/>
    <s v="Cliente"/>
    <n v="16"/>
    <m/>
    <m/>
    <d v="1899-12-30T00:00:04"/>
    <s v="---"/>
    <s v=""/>
    <x v="1"/>
  </r>
  <r>
    <d v="2026-04-22T16:55:40"/>
    <s v="3003 - FirjanAtivo"/>
    <s v="---"/>
    <n v="499"/>
    <n v="49895195000174"/>
    <n v="499"/>
    <n v="177688774088411"/>
    <s v="(22) 98144-533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45"/>
    <s v="3003 - FirjanAtivo"/>
    <s v="---"/>
    <n v="500"/>
    <n v="50253555000113"/>
    <n v="500"/>
    <n v="177688774588431"/>
    <s v="(24) 99292-721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45"/>
    <s v="3003 - FirjanAtivo"/>
    <s v="---"/>
    <n v="501"/>
    <n v="50300325000168"/>
    <n v="501"/>
    <n v="177688774588451"/>
    <s v="(22) 99805-794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47"/>
    <s v="3003 - FirjanAtivo"/>
    <s v="---"/>
    <n v="502"/>
    <n v="50884703000106"/>
    <n v="502"/>
    <n v="177688774788471"/>
    <s v="(22) 99895-201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49"/>
    <s v="3003 - FirjanAtivo"/>
    <s v="---"/>
    <n v="504"/>
    <n v="51318932000118"/>
    <n v="504"/>
    <n v="177688774988491"/>
    <s v="(22) 99956-672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50"/>
    <s v="3003 - FirjanAtivo"/>
    <s v="---"/>
    <n v="505"/>
    <n v="51780829000195"/>
    <n v="505"/>
    <n v="177688775088511"/>
    <s v="(24) 99215-404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52"/>
    <s v="3003 - FirjanAtivo"/>
    <s v="6044-Roseli Honorato Dos Santos"/>
    <n v="506"/>
    <n v="52007964000165"/>
    <n v="506"/>
    <n v="177688775288541"/>
    <s v="(22) 99951-5253"/>
    <n v="3003"/>
    <s v="Discador"/>
    <s v="Atendido"/>
    <s v="Ligação Muda"/>
    <s v="BPATIVO22042026"/>
    <s v="Cliente"/>
    <n v="16"/>
    <m/>
    <m/>
    <d v="1899-12-30T00:00:04"/>
    <d v="1899-12-30T00:00:01"/>
    <s v=""/>
    <x v="1"/>
  </r>
  <r>
    <d v="2026-04-22T16:55:54"/>
    <s v="3003 - FirjanAtivo"/>
    <s v="---"/>
    <n v="507"/>
    <n v="53060069000177"/>
    <n v="507"/>
    <n v="177688775488561"/>
    <s v="(22) 99276-985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57"/>
    <s v="3003 - FirjanAtivo"/>
    <s v="---"/>
    <n v="509"/>
    <n v="53116705000135"/>
    <n v="509"/>
    <n v="177688775788581"/>
    <s v="(21) 97300-818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5:59"/>
    <s v="3003 - FirjanAtivo"/>
    <s v="---"/>
    <n v="510"/>
    <n v="53135563000153"/>
    <n v="510"/>
    <n v="177688775988601"/>
    <s v="(21) 97361-1414"/>
    <n v="3003"/>
    <s v="Discador"/>
    <s v="Atendido"/>
    <s v="Fora de Area / Cx de Mensagens"/>
    <s v="BPATIVO22042026"/>
    <s v="--"/>
    <n v="131"/>
    <m/>
    <m/>
    <d v="1899-12-30T00:00:02"/>
    <s v="---"/>
    <s v=""/>
    <x v="1"/>
  </r>
  <r>
    <d v="2026-04-22T16:56:00"/>
    <s v="3003 - FirjanAtivo"/>
    <s v="---"/>
    <n v="511"/>
    <n v="53159230000164"/>
    <n v="511"/>
    <n v="177688776088621"/>
    <s v="(22) 98169-2907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56:08"/>
    <s v="3003 - FirjanAtivo"/>
    <s v="---"/>
    <n v="512"/>
    <n v="53380505000195"/>
    <n v="512"/>
    <n v="177688776888691"/>
    <s v="(24) 99880-118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6:09"/>
    <s v="3003 - FirjanAtivo"/>
    <s v="---"/>
    <n v="513"/>
    <n v="53472383000167"/>
    <n v="513"/>
    <n v="177688776988721"/>
    <s v="(22) 99949-097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6:11"/>
    <s v="3003 - FirjanAtivo"/>
    <s v="---"/>
    <n v="515"/>
    <n v="54478765000160"/>
    <n v="515"/>
    <n v="177688777188771"/>
    <s v="(24) 99821-845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6:12"/>
    <s v="3003 - FirjanAtivo"/>
    <s v="---"/>
    <n v="516"/>
    <n v="55143066000122"/>
    <n v="516"/>
    <n v="177688777288791"/>
    <s v="(24) 99269-7184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6:18"/>
    <s v="3003 - FirjanAtivo"/>
    <s v="---"/>
    <n v="517"/>
    <n v="55385904000174"/>
    <n v="517"/>
    <n v="177688777888821"/>
    <s v="(24) 98848-2076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56:18"/>
    <s v="3003 - FirjanAtivo"/>
    <s v="---"/>
    <n v="518"/>
    <n v="55573642000171"/>
    <n v="518"/>
    <n v="177688777888831"/>
    <s v="(24) 97404-3002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56:22"/>
    <s v="3003 - FirjanAtivo"/>
    <s v="---"/>
    <n v="519"/>
    <n v="55789121000156"/>
    <n v="519"/>
    <n v="177688778288851"/>
    <s v="(21) 99966-622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6:27"/>
    <s v="3003 - FirjanAtivo"/>
    <s v="---"/>
    <n v="520"/>
    <n v="56062863000148"/>
    <n v="520"/>
    <n v="177688778788871"/>
    <s v="(24) 99292-476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56:27"/>
    <s v="3003 - FirjanAtivo"/>
    <s v="6052-Marcia Lima Peixoto"/>
    <n v="521"/>
    <n v="56199093000180"/>
    <n v="521"/>
    <n v="177688778788891"/>
    <s v="(21) 99959-4772"/>
    <n v="3003"/>
    <s v="Discador"/>
    <s v="Atendido"/>
    <s v="Tel Não Atende / Ocupado"/>
    <s v="BPATIVO22042026"/>
    <s v="Cliente"/>
    <n v="16"/>
    <m/>
    <m/>
    <d v="1899-12-30T00:00:09"/>
    <d v="1899-12-30T00:00:05"/>
    <s v=""/>
    <x v="1"/>
  </r>
  <r>
    <d v="2026-04-22T16:56:32"/>
    <s v="3003 - FirjanAtivo"/>
    <s v="---"/>
    <n v="522"/>
    <n v="56227513000194"/>
    <n v="522"/>
    <n v="177688779288911"/>
    <s v="(22) 99892-6880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56:33"/>
    <s v="3003 - FirjanAtivo"/>
    <s v="---"/>
    <n v="523"/>
    <n v="56932666000132"/>
    <n v="523"/>
    <n v="177688779388931"/>
    <s v="(22) 99988-1020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56:38"/>
    <s v="3003 - FirjanAtivo"/>
    <s v="---"/>
    <n v="524"/>
    <n v="57170375000460"/>
    <n v="524"/>
    <n v="177688779888951"/>
    <s v="(22) 98148-822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6:39"/>
    <s v="3003 - FirjanAtivo"/>
    <s v="---"/>
    <n v="525"/>
    <n v="57188457000199"/>
    <n v="525"/>
    <n v="177688779988971"/>
    <s v="(24) 98802-0549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6:47"/>
    <s v="3003 - FirjanAtivo"/>
    <s v="---"/>
    <n v="526"/>
    <n v="57213863000164"/>
    <n v="526"/>
    <n v="177688780788991"/>
    <s v="(22) 99916-6709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56:53"/>
    <s v="3003 - FirjanAtivo"/>
    <s v="---"/>
    <n v="527"/>
    <n v="57348787000102"/>
    <n v="527"/>
    <n v="177688781389011"/>
    <s v="(21) 99296-8211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6:55"/>
    <s v="3003 - FirjanAtivo"/>
    <s v="---"/>
    <n v="528"/>
    <n v="57769577000180"/>
    <n v="528"/>
    <n v="177688781589041"/>
    <s v="(21) 96418-6340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6:55"/>
    <s v="3003 - FirjanAtivo"/>
    <s v="---"/>
    <n v="529"/>
    <n v="58196686000118"/>
    <n v="529"/>
    <n v="177688781589051"/>
    <s v="(24) 99292-4768"/>
    <n v="3003"/>
    <s v="Discador"/>
    <s v="Atendido"/>
    <s v="Fora de Area / Cx de Mensagens"/>
    <s v="BPATIVO22042026"/>
    <s v="--"/>
    <n v="128"/>
    <m/>
    <m/>
    <d v="1899-12-30T00:00:06"/>
    <s v="---"/>
    <s v=""/>
    <x v="1"/>
  </r>
  <r>
    <d v="2026-04-22T16:56:58"/>
    <s v="3003 - FirjanAtivo"/>
    <s v="---"/>
    <n v="530"/>
    <n v="58476582000167"/>
    <n v="530"/>
    <n v="177688781889071"/>
    <s v="(21) 99059-1533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57:00"/>
    <s v="3003 - FirjanAtivo"/>
    <s v="---"/>
    <n v="531"/>
    <n v="59138749000142"/>
    <n v="531"/>
    <n v="177688782089091"/>
    <s v="(21) 96649-85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7:04"/>
    <s v="3003 - FirjanAtivo"/>
    <s v="---"/>
    <n v="533"/>
    <n v="59597687000137"/>
    <n v="533"/>
    <n v="177688782489111"/>
    <s v="(22) 99978-67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7:08"/>
    <s v="3003 - FirjanAtivo"/>
    <s v="---"/>
    <n v="534"/>
    <n v="59958760000159"/>
    <n v="534"/>
    <n v="177688782889131"/>
    <s v="(24) 98129-217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7:10"/>
    <s v="3003 - FirjanAtivo"/>
    <s v="---"/>
    <n v="535"/>
    <n v="60710938000127"/>
    <n v="535"/>
    <n v="177688783089151"/>
    <s v="(21) 99955-410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7:12"/>
    <s v="3003 - FirjanAtivo"/>
    <s v="---"/>
    <n v="536"/>
    <n v="61917457000150"/>
    <n v="536"/>
    <n v="177688783289171"/>
    <s v="(24) 99251-7878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7:19"/>
    <s v="3003 - FirjanAtivo"/>
    <s v="---"/>
    <n v="537"/>
    <n v="63110255000127"/>
    <n v="537"/>
    <n v="177688783989191"/>
    <s v="(24) 99968-171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7:22"/>
    <s v="3003 - FirjanAtivo"/>
    <s v="6044-Roseli Honorato Dos Santos"/>
    <n v="538"/>
    <n v="68615988000137"/>
    <n v="538"/>
    <n v="177688784289221"/>
    <s v="(24) 99228-2119"/>
    <n v="3003"/>
    <s v="Discador"/>
    <s v="Atendido"/>
    <s v="Ligação Muda"/>
    <s v="BPATIVO22042026"/>
    <s v="Cliente"/>
    <n v="16"/>
    <m/>
    <m/>
    <d v="1899-12-30T00:00:24"/>
    <d v="1899-12-30T00:00:19"/>
    <s v=""/>
    <x v="1"/>
  </r>
  <r>
    <d v="2026-04-22T16:57:25"/>
    <s v="3003 - FirjanAtivo"/>
    <s v="---"/>
    <n v="539"/>
    <n v="68654938000169"/>
    <n v="539"/>
    <n v="177688784589291"/>
    <s v="(22) 98831-844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7:27"/>
    <s v="3003 - FirjanAtivo"/>
    <s v="---"/>
    <n v="540"/>
    <n v="68842905000142"/>
    <n v="540"/>
    <n v="177688784789311"/>
    <s v="(21) 98165-7825"/>
    <n v="3003"/>
    <s v="Discador"/>
    <s v="Atendido"/>
    <s v="Fora de Area / Cx de Mensagens"/>
    <s v="BPATIVO22042026"/>
    <s v="--"/>
    <n v="147"/>
    <m/>
    <m/>
    <d v="1899-12-30T00:00:07"/>
    <s v="---"/>
    <s v=""/>
    <x v="1"/>
  </r>
  <r>
    <d v="2026-04-22T16:57:29"/>
    <s v="3003 - FirjanAtivo"/>
    <s v="---"/>
    <n v="541"/>
    <n v="72357726000197"/>
    <n v="541"/>
    <n v="177688784989331"/>
    <s v="(21) 99988-291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7:30"/>
    <s v="3003 - FirjanAtivo"/>
    <s v="---"/>
    <n v="542"/>
    <n v="72493794000183"/>
    <n v="542"/>
    <n v="177688785089351"/>
    <s v="(24) 98814-3956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7:37"/>
    <s v="3003 - FirjanAtivo"/>
    <s v="---"/>
    <n v="543"/>
    <n v="73275570000168"/>
    <n v="543"/>
    <n v="177688785789381"/>
    <s v="(22) 98832-515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7:44"/>
    <s v="3003 - FirjanAtivo"/>
    <s v="---"/>
    <n v="545"/>
    <n v="73630725000137"/>
    <n v="545"/>
    <n v="177688786489471"/>
    <s v="(21) 96444-644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7:50"/>
    <s v="3003 - FirjanAtivo"/>
    <s v="---"/>
    <n v="546"/>
    <n v="73852469000122"/>
    <n v="546"/>
    <n v="177688787089491"/>
    <s v="(24) 99228-850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7:53"/>
    <s v="3003 - FirjanAtivo"/>
    <s v="---"/>
    <n v="547"/>
    <n v="82449760000145"/>
    <n v="547"/>
    <n v="177688787389511"/>
    <s v="(21) 96958-5535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7:57"/>
    <s v="3003 - FirjanAtivo"/>
    <s v="---"/>
    <n v="548"/>
    <n v="86932266000198"/>
    <n v="548"/>
    <n v="177688787789531"/>
    <s v="(24) 98815-1973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7:57"/>
    <s v="3003 - FirjanAtivo"/>
    <s v="---"/>
    <n v="549"/>
    <n v="86936481000167"/>
    <n v="549"/>
    <n v="177688787789551"/>
    <s v="(21) 99618-6412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58:02"/>
    <s v="3003 - FirjanAtivo"/>
    <s v="---"/>
    <n v="550"/>
    <n v="97537119000130"/>
    <n v="550"/>
    <n v="177688788289571"/>
    <s v="(22) 99852-1597"/>
    <n v="3003"/>
    <s v="Discador"/>
    <s v="Atendido"/>
    <s v="Fora de Area / Cx de Mensagens"/>
    <s v="BPATIVO22042026"/>
    <s v="--"/>
    <n v="128"/>
    <m/>
    <m/>
    <d v="1899-12-30T00:00:07"/>
    <s v="---"/>
    <s v=""/>
    <x v="1"/>
  </r>
  <r>
    <d v="2026-04-22T16:00:28"/>
    <s v="3003 - FirjanAtivo"/>
    <s v="---"/>
    <n v="416"/>
    <n v="36541506000155"/>
    <n v="416"/>
    <n v="177688442873371"/>
    <s v="(67) 09157-8769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01:11"/>
    <s v="3003 - FirjanAtivo"/>
    <s v="---"/>
    <n v="422"/>
    <n v="37407191000110"/>
    <n v="422"/>
    <n v="177688447173571"/>
    <s v="(24) 98126-2199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01:46"/>
    <s v="3003 - FirjanAtivo"/>
    <s v="---"/>
    <n v="430"/>
    <n v="39210513000162"/>
    <n v="430"/>
    <n v="177688450673791"/>
    <s v="(24) 99309-794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02:00"/>
    <s v="3003 - FirjanAtivo"/>
    <s v="---"/>
    <n v="431"/>
    <n v="39214150000133"/>
    <n v="431"/>
    <n v="177688452073811"/>
    <s v="(22) 99930-756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03:52"/>
    <s v="3003 - FirjanAtivo"/>
    <s v="---"/>
    <n v="447"/>
    <n v="40290991000109"/>
    <n v="447"/>
    <n v="177688463274411"/>
    <s v="(22) 99525-5637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05:50"/>
    <s v="3003 - FirjanAtivo"/>
    <s v="---"/>
    <n v="459"/>
    <n v="42430090000109"/>
    <n v="459"/>
    <n v="177688475074771"/>
    <s v="(21) 19982-2154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05:53"/>
    <s v="3003 - FirjanAtivo"/>
    <s v="---"/>
    <n v="461"/>
    <n v="42558791000110"/>
    <n v="461"/>
    <n v="177688475374801"/>
    <s v="(21) 97637-8052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05:59"/>
    <s v="3003 - FirjanAtivo"/>
    <s v="---"/>
    <n v="462"/>
    <n v="42564351000175"/>
    <n v="462"/>
    <n v="177688475974821"/>
    <s v="(21) 98840-487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06:14"/>
    <s v="3003 - FirjanAtivo"/>
    <s v="---"/>
    <n v="464"/>
    <n v="42834744000151"/>
    <n v="464"/>
    <n v="177688477474851"/>
    <s v="(21) 99654-9088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06:14"/>
    <s v="3003 - FirjanAtivo"/>
    <s v="---"/>
    <n v="465"/>
    <n v="42895602000102"/>
    <n v="465"/>
    <n v="177688477474861"/>
    <s v="(22) 99831-5390"/>
    <s v="Falha"/>
    <s v="Discador"/>
    <s v="Não Atendeu"/>
    <s v="Não Atendeu"/>
    <s v="BPATIVO22042026"/>
    <s v="--"/>
    <n v="38"/>
    <m/>
    <m/>
    <d v="1899-12-30T00:00:00"/>
    <s v="---"/>
    <s v=""/>
    <x v="1"/>
  </r>
  <r>
    <d v="2026-04-22T16:06:14"/>
    <s v="3003 - FirjanAtivo"/>
    <s v="---"/>
    <n v="467"/>
    <n v="43189309000184"/>
    <n v="467"/>
    <n v="177688477474871"/>
    <s v="(22) 99826-2171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06:28"/>
    <s v="3003 - FirjanAtivo"/>
    <s v="---"/>
    <n v="474"/>
    <n v="44141387000171"/>
    <n v="474"/>
    <n v="177688478874971"/>
    <s v="(21) 99799-3422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06:58"/>
    <s v="3003 - FirjanAtivo"/>
    <s v="---"/>
    <n v="482"/>
    <n v="46265059000102"/>
    <n v="482"/>
    <n v="177688481875161"/>
    <s v="(21) 02199-8325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07:07"/>
    <s v="3003 - FirjanAtivo"/>
    <s v="---"/>
    <n v="485"/>
    <n v="46905043000117"/>
    <n v="485"/>
    <n v="177688482775211"/>
    <s v="(21) 98820-6645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07:14"/>
    <s v="3003 - FirjanAtivo"/>
    <s v="---"/>
    <n v="487"/>
    <n v="48145681000102"/>
    <n v="487"/>
    <n v="177688483475251"/>
    <s v="(24) 98856-3953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08:23"/>
    <s v="3003 - FirjanAtivo"/>
    <s v="---"/>
    <n v="514"/>
    <n v="53691935000128"/>
    <n v="514"/>
    <n v="177688490375771"/>
    <s v="(21) 97155-6522"/>
    <s v="Falha"/>
    <s v="Discador"/>
    <s v="Não Atendeu"/>
    <s v="Não Atendeu"/>
    <s v="BPATIVO22042026"/>
    <s v="--"/>
    <n v="21"/>
    <m/>
    <m/>
    <d v="1899-12-30T00:00:00"/>
    <s v="---"/>
    <s v=""/>
    <x v="1"/>
  </r>
  <r>
    <d v="2026-04-22T16:08:52"/>
    <s v="3003 - FirjanAtivo"/>
    <s v="---"/>
    <n v="523"/>
    <n v="56932666000132"/>
    <n v="523"/>
    <n v="177688493275961"/>
    <s v="(22) 99988-1020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6:10:03"/>
    <s v="3003 - FirjanAtivo"/>
    <s v="---"/>
    <n v="544"/>
    <n v="73353534000175"/>
    <n v="544"/>
    <n v="177688500376351"/>
    <s v="(32) 99994-185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0:40"/>
    <s v="3003 - FirjanAtivo"/>
    <s v="---"/>
    <n v="17"/>
    <n v="1340549000198"/>
    <n v="17"/>
    <n v="177688624078241"/>
    <s v="(22) 99944-4350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0:40"/>
    <s v="3003 - FirjanAtivo"/>
    <s v="---"/>
    <n v="19"/>
    <n v="1399122000165"/>
    <n v="19"/>
    <n v="177688624078261"/>
    <s v="(22) 99941-8171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6:30:40"/>
    <s v="3003 - FirjanAtivo"/>
    <s v="---"/>
    <n v="22"/>
    <n v="1632895000140"/>
    <n v="22"/>
    <n v="177688624078271"/>
    <s v="(21) 99983-2180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30:40"/>
    <s v="3003 - FirjanAtivo"/>
    <s v="---"/>
    <n v="23"/>
    <n v="1721269000120"/>
    <n v="23"/>
    <n v="177688624078281"/>
    <s v="(21) 99890-8170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30:40"/>
    <s v="3003 - FirjanAtivo"/>
    <s v="---"/>
    <n v="28"/>
    <n v="1978794000125"/>
    <n v="28"/>
    <n v="177688624078291"/>
    <s v="(21) 97998-5990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30:40"/>
    <s v="3003 - FirjanAtivo"/>
    <s v="---"/>
    <n v="35"/>
    <n v="2326459000105"/>
    <n v="35"/>
    <n v="177688624078321"/>
    <s v="(21) 98741-118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0:56"/>
    <s v="3003 - FirjanAtivo"/>
    <s v="---"/>
    <n v="39"/>
    <n v="2510074000101"/>
    <n v="39"/>
    <n v="177688625678341"/>
    <s v="(22) 97401-1109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0:59"/>
    <s v="3003 - FirjanAtivo"/>
    <s v="---"/>
    <n v="40"/>
    <n v="2604580000151"/>
    <n v="40"/>
    <n v="177688625978361"/>
    <s v="(24) 99913-406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1:23"/>
    <s v="3003 - FirjanAtivo"/>
    <s v="---"/>
    <n v="46"/>
    <n v="2961614000165"/>
    <n v="46"/>
    <n v="177688628378421"/>
    <s v="(22) 99861-2688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33:07"/>
    <s v="3003 - FirjanAtivo"/>
    <s v="---"/>
    <n v="83"/>
    <n v="5485452000124"/>
    <n v="83"/>
    <n v="177688638779021"/>
    <s v="(81) 99651-3130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3:33"/>
    <s v="3003 - FirjanAtivo"/>
    <s v="---"/>
    <n v="91"/>
    <n v="6058857000149"/>
    <n v="91"/>
    <n v="177688641379161"/>
    <s v="(22) 99832-543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3:37"/>
    <s v="3003 - FirjanAtivo"/>
    <s v="---"/>
    <n v="93"/>
    <n v="6100968000176"/>
    <n v="93"/>
    <n v="177688641779201"/>
    <s v="(55) 21998-910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34:08"/>
    <s v="3003 - FirjanAtivo"/>
    <s v="---"/>
    <n v="98"/>
    <n v="6652280000107"/>
    <n v="98"/>
    <n v="177688644879281"/>
    <s v="(55) 21969-7751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34:13"/>
    <s v="3003 - FirjanAtivo"/>
    <s v="---"/>
    <n v="100"/>
    <n v="7042642000364"/>
    <n v="100"/>
    <n v="177688645379311"/>
    <s v="(22) 99883-6782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5:47"/>
    <s v="3003 - FirjanAtivo"/>
    <s v="---"/>
    <n v="127"/>
    <n v="8879331000155"/>
    <n v="127"/>
    <n v="177688654780021"/>
    <s v="(21) 99951-7659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36:56"/>
    <s v="3003 - FirjanAtivo"/>
    <s v="---"/>
    <n v="148"/>
    <n v="10379649000119"/>
    <n v="148"/>
    <n v="177688661680561"/>
    <s v="(24) 99275-6001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7:00"/>
    <s v="3003 - FirjanAtivo"/>
    <s v="---"/>
    <n v="150"/>
    <n v="10443491000107"/>
    <n v="150"/>
    <n v="177688662080611"/>
    <s v="(22) 98169-663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38:08"/>
    <s v="3003 - FirjanAtivo"/>
    <s v="---"/>
    <n v="171"/>
    <n v="12072761000138"/>
    <n v="171"/>
    <n v="177688668881121"/>
    <s v="(24) 97102-4094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38:45"/>
    <s v="3003 - FirjanAtivo"/>
    <s v="---"/>
    <n v="184"/>
    <n v="13410313000160"/>
    <n v="184"/>
    <n v="177688672581321"/>
    <s v="(21) 99259-5895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38:52"/>
    <s v="3003 - FirjanAtivo"/>
    <s v="---"/>
    <n v="193"/>
    <n v="14370573000111"/>
    <n v="193"/>
    <n v="177688673281391"/>
    <s v="(55) 22998-5655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40:36"/>
    <s v="3003 - FirjanAtivo"/>
    <s v="---"/>
    <n v="236"/>
    <n v="20843735000194"/>
    <n v="236"/>
    <n v="177688683682391"/>
    <s v="(55) 11973-5599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40:36"/>
    <s v="3003 - FirjanAtivo"/>
    <s v="---"/>
    <n v="240"/>
    <n v="21108715000132"/>
    <n v="240"/>
    <n v="177688683682401"/>
    <s v="(21) 2038-4382"/>
    <n v="3003"/>
    <s v="Discador"/>
    <s v="Atendido"/>
    <s v="Fora de Area / Cx de Mensagens"/>
    <s v="BPATIVO22042026"/>
    <s v="--"/>
    <n v="131"/>
    <m/>
    <m/>
    <d v="1899-12-30T00:00:00"/>
    <s v="---"/>
    <s v=""/>
    <x v="1"/>
  </r>
  <r>
    <d v="2026-04-22T16:42:08"/>
    <s v="3003 - FirjanAtivo"/>
    <s v="---"/>
    <n v="268"/>
    <n v="24583913000146"/>
    <n v="268"/>
    <n v="177688692883171"/>
    <s v="(21) 96461-8814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6:42:30"/>
    <s v="3003 - FirjanAtivo"/>
    <s v="---"/>
    <n v="277"/>
    <n v="26344541000120"/>
    <n v="277"/>
    <n v="177688695083381"/>
    <s v="(21) 99523-106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42:47"/>
    <s v="3003 - FirjanAtivo"/>
    <s v="---"/>
    <n v="282"/>
    <n v="26753972000140"/>
    <n v="282"/>
    <n v="177688696783481"/>
    <s v="(21) 19829-6975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43:23"/>
    <s v="3003 - FirjanAtivo"/>
    <s v="---"/>
    <n v="291"/>
    <n v="27379033000140"/>
    <n v="291"/>
    <n v="177688700383621"/>
    <s v="(21) 98241-6981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6:43:45"/>
    <s v="3003 - FirjanAtivo"/>
    <s v="---"/>
    <n v="300"/>
    <n v="28483585000167"/>
    <n v="300"/>
    <n v="177688702583751"/>
    <s v="(21) 97021-2590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44:30"/>
    <s v="3003 - FirjanAtivo"/>
    <s v="---"/>
    <n v="318"/>
    <n v="29313890000173"/>
    <n v="318"/>
    <n v="177688707084111"/>
    <s v="(55) 21989-9831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44:56"/>
    <s v="3003 - FirjanAtivo"/>
    <s v="---"/>
    <n v="327"/>
    <n v="29732268000108"/>
    <n v="327"/>
    <n v="177688709684211"/>
    <s v="(22) 98141-8451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44:58"/>
    <s v="3003 - FirjanAtivo"/>
    <s v="---"/>
    <n v="328"/>
    <n v="29762098000104"/>
    <n v="328"/>
    <n v="177688709884241"/>
    <s v="(24) 99284-4720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45:25"/>
    <s v="3003 - FirjanAtivo"/>
    <s v="---"/>
    <n v="333"/>
    <n v="30116263000121"/>
    <n v="333"/>
    <n v="177688712584331"/>
    <s v="(21) 99191-084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45:43"/>
    <s v="3003 - FirjanAtivo"/>
    <s v="---"/>
    <n v="336"/>
    <n v="30168759000149"/>
    <n v="336"/>
    <n v="177688714384381"/>
    <s v="(24) 99713-0782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46:01"/>
    <s v="3003 - FirjanAtivo"/>
    <s v="---"/>
    <n v="344"/>
    <n v="30548467000131"/>
    <n v="344"/>
    <n v="177688716184521"/>
    <s v="(55) 21982-826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46:27"/>
    <s v="3003 - FirjanAtivo"/>
    <s v="---"/>
    <n v="351"/>
    <n v="31086168000195"/>
    <n v="351"/>
    <n v="177688718784661"/>
    <s v="(22) 99493-516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46:58"/>
    <s v="3003 - FirjanAtivo"/>
    <s v="---"/>
    <n v="364"/>
    <n v="31669377000161"/>
    <n v="364"/>
    <n v="177688721884941"/>
    <s v="(55) 21268-7696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47:47"/>
    <s v="3003 - FirjanAtivo"/>
    <s v="---"/>
    <n v="383"/>
    <n v="33242199000113"/>
    <n v="383"/>
    <n v="177688726785311"/>
    <s v="(21) 98757-2010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6:47:48"/>
    <s v="3003 - FirjanAtivo"/>
    <s v="---"/>
    <n v="385"/>
    <n v="33472846000183"/>
    <n v="385"/>
    <n v="177688726885331"/>
    <s v="(21) 96547-3391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50:06"/>
    <s v="3003 - FirjanAtivo"/>
    <s v="---"/>
    <n v="402"/>
    <n v="35700816000102"/>
    <n v="402"/>
    <n v="177688740686101"/>
    <s v="(22) 99257-0909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50:15"/>
    <s v="3003 - FirjanAtivo"/>
    <s v="---"/>
    <n v="403"/>
    <n v="35765734000146"/>
    <n v="403"/>
    <n v="177688741586251"/>
    <s v="(21) 98897-0157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51:27"/>
    <s v="3003 - FirjanAtivo"/>
    <s v="---"/>
    <n v="416"/>
    <n v="36541506000155"/>
    <n v="416"/>
    <n v="177688748786721"/>
    <s v="(67) 09157-8769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51:50"/>
    <s v="3003 - FirjanAtivo"/>
    <s v="---"/>
    <n v="422"/>
    <n v="37407191000110"/>
    <n v="422"/>
    <n v="177688751086881"/>
    <s v="(24) 98126-2199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52:09"/>
    <s v="3003 - FirjanAtivo"/>
    <s v="---"/>
    <n v="426"/>
    <n v="37961934000108"/>
    <n v="426"/>
    <n v="177688752987021"/>
    <s v="(21) 99985-2105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52:23"/>
    <s v="3003 - FirjanAtivo"/>
    <s v="---"/>
    <n v="431"/>
    <n v="39214150000133"/>
    <n v="431"/>
    <n v="177688754387111"/>
    <s v="(22) 99930-7567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6:53:33"/>
    <s v="3003 - FirjanAtivo"/>
    <s v="---"/>
    <n v="447"/>
    <n v="40290991000109"/>
    <n v="447"/>
    <n v="177688761387531"/>
    <s v="(22) 99525-5637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54:19"/>
    <s v="3003 - FirjanAtivo"/>
    <s v="---"/>
    <n v="459"/>
    <n v="42430090000109"/>
    <n v="459"/>
    <n v="177688765987761"/>
    <s v="(21) 19982-2154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54:20"/>
    <s v="3003 - FirjanAtivo"/>
    <s v="---"/>
    <n v="461"/>
    <n v="42558791000110"/>
    <n v="461"/>
    <n v="177688766087791"/>
    <s v="(21) 97637-8052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54:20"/>
    <s v="3003 - FirjanAtivo"/>
    <s v="---"/>
    <n v="462"/>
    <n v="42564351000175"/>
    <n v="462"/>
    <n v="177688766087801"/>
    <s v="(21) 98840-487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2T16:54:21"/>
    <s v="3003 - FirjanAtivo"/>
    <s v="---"/>
    <n v="464"/>
    <n v="42834744000151"/>
    <n v="464"/>
    <n v="177688766187841"/>
    <s v="(21) 99654-9088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55:03"/>
    <s v="3003 - FirjanAtivo"/>
    <s v="---"/>
    <n v="480"/>
    <n v="45642764000119"/>
    <n v="480"/>
    <n v="177688770388111"/>
    <s v="(21) 99293-3277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6:55:06"/>
    <s v="3003 - FirjanAtivo"/>
    <s v="---"/>
    <n v="482"/>
    <n v="46265059000102"/>
    <n v="482"/>
    <n v="177688770688151"/>
    <s v="(21) 02199-8325"/>
    <s v="Falha"/>
    <s v="Discador"/>
    <s v="Não Atendeu"/>
    <s v="Não Atendeu"/>
    <s v="BPATIVO22042026"/>
    <s v="--"/>
    <n v="1"/>
    <m/>
    <m/>
    <d v="1899-12-30T00:00:00"/>
    <s v="---"/>
    <s v=""/>
    <x v="1"/>
  </r>
  <r>
    <d v="2026-04-22T16:55:10"/>
    <s v="3003 - FirjanAtivo"/>
    <s v="---"/>
    <n v="485"/>
    <n v="46905043000117"/>
    <n v="485"/>
    <n v="177688771088191"/>
    <s v="(21) 98820-6645"/>
    <s v="Falha"/>
    <s v="Discador"/>
    <s v="Ocupado"/>
    <s v="Ocupado"/>
    <s v="BPATIVO22042026"/>
    <s v="--"/>
    <n v="17"/>
    <m/>
    <m/>
    <d v="1899-12-30T00:00:00"/>
    <s v="---"/>
    <s v=""/>
    <x v="1"/>
  </r>
  <r>
    <d v="2026-04-22T16:55:17"/>
    <s v="3003 - FirjanAtivo"/>
    <s v="---"/>
    <n v="487"/>
    <n v="48145681000102"/>
    <n v="487"/>
    <n v="177688771788211"/>
    <s v="(24) 98856-3953"/>
    <s v="Falha"/>
    <s v="Discador"/>
    <s v="Não Atendeu"/>
    <s v="Não Atendeu"/>
    <s v="BPATIVO22042026"/>
    <s v="--"/>
    <n v="34"/>
    <m/>
    <m/>
    <d v="1899-12-30T00:00:00"/>
    <s v="---"/>
    <s v=""/>
    <x v="1"/>
  </r>
  <r>
    <d v="2026-04-22T16:56:11"/>
    <s v="3003 - FirjanAtivo"/>
    <s v="---"/>
    <n v="514"/>
    <n v="53691935000128"/>
    <n v="514"/>
    <n v="177688777188761"/>
    <s v="(21) 97155-6522"/>
    <s v="Falha"/>
    <s v="Discador"/>
    <s v="Não Atendeu"/>
    <s v="Não Atendeu"/>
    <s v="BPATIVO22042026"/>
    <s v="--"/>
    <n v="21"/>
    <m/>
    <m/>
    <d v="1899-12-30T00:00:00"/>
    <s v="---"/>
    <s v=""/>
    <x v="1"/>
  </r>
  <r>
    <d v="2026-04-22T16:57:40"/>
    <s v="3003 - FirjanAtivo"/>
    <s v="---"/>
    <n v="544"/>
    <n v="73353534000175"/>
    <n v="544"/>
    <n v="177688786089401"/>
    <s v="(32) 99994-1854"/>
    <s v="Falha"/>
    <s v="Discador"/>
    <s v="Não Atendeu"/>
    <s v="Não Atendeu"/>
    <s v="BPATIVO22042026"/>
    <s v="--"/>
    <n v="19"/>
    <m/>
    <m/>
    <d v="1899-12-30T00:00:00"/>
    <s v="---"/>
    <s v=""/>
    <x v="1"/>
  </r>
  <r>
    <d v="2026-04-24T12:22:39"/>
    <s v="3003 - FirjanAtivo"/>
    <s v="---"/>
    <n v="1"/>
    <n v="64078000170"/>
    <n v="1"/>
    <n v="177704415924301"/>
    <s v="(22) 99877-5886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2:39"/>
    <s v="3003 - FirjanAtivo"/>
    <s v="---"/>
    <n v="2"/>
    <n v="94869000142"/>
    <n v="2"/>
    <n v="177704415924311"/>
    <s v="(24) 97402-9988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2:39"/>
    <s v="3003 - FirjanAtivo"/>
    <s v="---"/>
    <n v="3"/>
    <n v="117961000180"/>
    <n v="3"/>
    <n v="177704415924321"/>
    <s v="(21) 99965-1697"/>
    <n v="3003"/>
    <s v="Discador"/>
    <s v="Atendido"/>
    <s v="Fora de Area / Cx de Mensagens"/>
    <s v="ACAOBP24042026"/>
    <s v="--"/>
    <n v="128"/>
    <m/>
    <m/>
    <d v="1899-12-30T00:00:06"/>
    <s v="---"/>
    <s v=""/>
    <x v="2"/>
  </r>
  <r>
    <d v="2026-04-24T12:22:39"/>
    <s v="3003 - FirjanAtivo"/>
    <s v="---"/>
    <n v="4"/>
    <n v="175438000100"/>
    <n v="4"/>
    <n v="177704415924331"/>
    <s v="(21) 96418-1480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2:51"/>
    <s v="3003 - FirjanAtivo"/>
    <s v="---"/>
    <n v="5"/>
    <n v="255310000157"/>
    <n v="5"/>
    <n v="177704417124371"/>
    <s v="(24) 99911-7945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2:54"/>
    <s v="3003 - FirjanAtivo"/>
    <s v="---"/>
    <n v="6"/>
    <n v="420622000179"/>
    <n v="6"/>
    <n v="177704417424441"/>
    <s v="(21) 99107-8734"/>
    <n v="3003"/>
    <s v="Discador"/>
    <s v="Atendido"/>
    <s v="Fora de Area / Cx de Mensagens"/>
    <s v="ACAOBP24042026"/>
    <s v="--"/>
    <n v="147"/>
    <m/>
    <m/>
    <d v="1899-12-30T00:00:07"/>
    <s v="---"/>
    <s v=""/>
    <x v="2"/>
  </r>
  <r>
    <d v="2026-04-24T12:22:55"/>
    <s v="3003 - FirjanAtivo"/>
    <s v="---"/>
    <n v="7"/>
    <n v="451332000192"/>
    <n v="7"/>
    <n v="177704417524471"/>
    <s v="(24) 98818-1800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3:01"/>
    <s v="3003 - FirjanAtivo"/>
    <s v="---"/>
    <n v="8"/>
    <n v="550875000167"/>
    <n v="8"/>
    <n v="177704418124531"/>
    <s v="(21) 98249-3809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3:09"/>
    <s v="3003 - FirjanAtivo"/>
    <s v="---"/>
    <n v="9"/>
    <n v="749145000190"/>
    <n v="9"/>
    <n v="177704418924551"/>
    <s v="(21) 98497-4387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3:15"/>
    <s v="3003 - FirjanAtivo"/>
    <s v="---"/>
    <n v="10"/>
    <n v="837531000133"/>
    <n v="10"/>
    <n v="177704419524591"/>
    <s v="(24) 98117-4443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3:15"/>
    <s v="3003 - FirjanAtivo"/>
    <s v="---"/>
    <n v="11"/>
    <n v="845384000143"/>
    <n v="11"/>
    <n v="177704419524611"/>
    <s v="(21) 96423-1738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3:26"/>
    <s v="3003 - FirjanAtivo"/>
    <s v="---"/>
    <n v="12"/>
    <n v="863808000100"/>
    <n v="12"/>
    <n v="177704420624631"/>
    <s v="(22) 98115-4179"/>
    <n v="3003"/>
    <s v="Discador"/>
    <s v="Atendido"/>
    <s v="Fora de Area / Cx de Mensagens"/>
    <s v="ACAOBP24042026"/>
    <s v="--"/>
    <n v="147"/>
    <m/>
    <m/>
    <d v="1899-12-30T00:00:07"/>
    <s v="---"/>
    <s v=""/>
    <x v="2"/>
  </r>
  <r>
    <d v="2026-04-24T12:23:32"/>
    <s v="3003 - FirjanAtivo"/>
    <s v="---"/>
    <n v="13"/>
    <n v="1056628000171"/>
    <n v="13"/>
    <n v="177704421224671"/>
    <s v="(21) 96458-5784"/>
    <n v="3003"/>
    <s v="Discador"/>
    <s v="Atendido"/>
    <s v="Fora de Area / Cx de Mensagens"/>
    <s v="ACAOBP24042026"/>
    <s v="Cliente"/>
    <n v="131"/>
    <m/>
    <m/>
    <d v="1899-12-30T00:00:08"/>
    <s v="---"/>
    <s v=""/>
    <x v="2"/>
  </r>
  <r>
    <d v="2026-04-24T12:23:33"/>
    <s v="3003 - FirjanAtivo"/>
    <s v="---"/>
    <n v="14"/>
    <n v="1062613000116"/>
    <n v="14"/>
    <n v="177704421324691"/>
    <s v="(22) 98170-0037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3:51"/>
    <s v="3003 - FirjanAtivo"/>
    <s v="---"/>
    <n v="15"/>
    <n v="1104119000177"/>
    <n v="15"/>
    <n v="177704423124811"/>
    <s v="(21) 97294-8230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3:56"/>
    <s v="3003 - FirjanAtivo"/>
    <s v="---"/>
    <n v="16"/>
    <n v="1209604000105"/>
    <n v="16"/>
    <n v="177704423624831"/>
    <s v="(21) 99713-8364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4:03"/>
    <s v="3003 - FirjanAtivo"/>
    <s v="---"/>
    <n v="17"/>
    <n v="1340549000198"/>
    <n v="17"/>
    <n v="177704424324851"/>
    <s v="(22) 99944-4350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4:05"/>
    <s v="3003 - FirjanAtivo"/>
    <s v="---"/>
    <n v="18"/>
    <n v="1387961000163"/>
    <n v="18"/>
    <n v="177704424524871"/>
    <s v="(21) 97033-9066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4:06"/>
    <s v="3003 - FirjanAtivo"/>
    <s v="---"/>
    <n v="19"/>
    <n v="1399122000165"/>
    <n v="19"/>
    <n v="177704424624891"/>
    <s v="(22) 99941-8171"/>
    <s v="Falha"/>
    <s v="Discador"/>
    <s v="Não Atendeu"/>
    <s v="Não Atendeu"/>
    <s v="ACAOBP24042026"/>
    <s v="--"/>
    <n v="19"/>
    <m/>
    <m/>
    <d v="1899-12-30T00:00:00"/>
    <s v="---"/>
    <s v=""/>
    <x v="2"/>
  </r>
  <r>
    <d v="2026-04-24T12:24:21"/>
    <s v="3003 - FirjanAtivo"/>
    <s v="---"/>
    <n v="21"/>
    <n v="1485063000148"/>
    <n v="20"/>
    <n v="177704426124931"/>
    <s v="(21) 99351-8317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4:22"/>
    <s v="3003 - FirjanAtivo"/>
    <s v="---"/>
    <n v="22"/>
    <n v="1632895000140"/>
    <n v="21"/>
    <n v="177704426224951"/>
    <s v="(21) 99983-2180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4:36"/>
    <s v="3003 - FirjanAtivo"/>
    <s v="---"/>
    <n v="23"/>
    <n v="1721269000120"/>
    <n v="22"/>
    <n v="177704427624971"/>
    <s v="(21) 99890-8170"/>
    <n v="3003"/>
    <s v="Discador"/>
    <s v="Atendido"/>
    <s v="Fora de Area / Cx de Mensagens"/>
    <s v="ACAOBP24042026"/>
    <s v="Cliente"/>
    <n v="131"/>
    <m/>
    <m/>
    <d v="1899-12-30T00:00:04"/>
    <s v="---"/>
    <s v=""/>
    <x v="2"/>
  </r>
  <r>
    <d v="2026-04-24T12:24:39"/>
    <s v="3003 - FirjanAtivo"/>
    <s v="---"/>
    <n v="26"/>
    <n v="1879056000120"/>
    <n v="23"/>
    <n v="177704427924991"/>
    <s v="(21) 99774-7381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4:46"/>
    <s v="3003 - FirjanAtivo"/>
    <s v="---"/>
    <n v="27"/>
    <n v="1959285000155"/>
    <n v="24"/>
    <n v="177704428625021"/>
    <s v="(21) 99118-6778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4:53"/>
    <s v="3003 - FirjanAtivo"/>
    <s v="---"/>
    <n v="28"/>
    <n v="1978794000125"/>
    <n v="25"/>
    <n v="177704429325041"/>
    <s v="(21) 97998-5990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4:55"/>
    <s v="3003 - FirjanAtivo"/>
    <s v="---"/>
    <n v="29"/>
    <n v="2047048000180"/>
    <n v="26"/>
    <n v="177704429525061"/>
    <s v="(22) 99908-3911"/>
    <s v="Falha"/>
    <s v="Discador"/>
    <s v="Não Atendeu"/>
    <s v="Não Atendeu"/>
    <s v="ACAOBP24042026"/>
    <s v="--"/>
    <n v="34"/>
    <m/>
    <m/>
    <d v="1899-12-30T00:00:00"/>
    <s v="---"/>
    <s v=""/>
    <x v="2"/>
  </r>
  <r>
    <d v="2026-04-24T12:24:58"/>
    <s v="3003 - FirjanAtivo"/>
    <s v="---"/>
    <n v="30"/>
    <n v="2055500000156"/>
    <n v="27"/>
    <n v="177704429825071"/>
    <s v="(24) 98114-1403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5:02"/>
    <s v="3003 - FirjanAtivo"/>
    <s v="---"/>
    <n v="31"/>
    <n v="2079896000171"/>
    <n v="28"/>
    <n v="177704430225081"/>
    <s v="(21) 99106-1939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5:15"/>
    <s v="3003 - FirjanAtivo"/>
    <s v="---"/>
    <n v="32"/>
    <n v="2113776000143"/>
    <n v="29"/>
    <n v="177704431525101"/>
    <s v="(21) 97033-4306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5:20"/>
    <s v="3003 - FirjanAtivo"/>
    <s v="---"/>
    <n v="33"/>
    <n v="2148473000166"/>
    <n v="30"/>
    <n v="177704432025121"/>
    <s v="(21) 98461-8480"/>
    <n v="3003"/>
    <s v="Discador"/>
    <s v="Atendido"/>
    <s v="Fora de Area / Cx de Mensagens"/>
    <s v="ACAOBP24042026"/>
    <s v="--"/>
    <n v="131"/>
    <m/>
    <m/>
    <d v="1899-12-30T00:00:03"/>
    <s v="---"/>
    <s v=""/>
    <x v="2"/>
  </r>
  <r>
    <d v="2026-04-24T12:25:30"/>
    <s v="3003 - FirjanAtivo"/>
    <s v="---"/>
    <n v="35"/>
    <n v="2326459000105"/>
    <n v="32"/>
    <n v="177704433025161"/>
    <s v="(21) 98741-1184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5:37"/>
    <s v="3003 - FirjanAtivo"/>
    <s v="---"/>
    <n v="36"/>
    <n v="2427859000107"/>
    <n v="33"/>
    <n v="177704433725241"/>
    <s v="(21) 97655-1215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5:40"/>
    <s v="3003 - FirjanAtivo"/>
    <s v="---"/>
    <n v="37"/>
    <n v="2464189000107"/>
    <n v="34"/>
    <n v="177704434025261"/>
    <s v="(22) 98123-3894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6:02"/>
    <s v="3003 - FirjanAtivo"/>
    <s v="---"/>
    <n v="39"/>
    <n v="2510074000101"/>
    <n v="35"/>
    <n v="177704436225291"/>
    <s v="(22) 97401-1109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26:07"/>
    <s v="3003 - FirjanAtivo"/>
    <s v="---"/>
    <n v="40"/>
    <n v="2604580000151"/>
    <n v="36"/>
    <n v="177704436725311"/>
    <s v="(24) 99913-4064"/>
    <s v="Falha"/>
    <s v="Discador"/>
    <s v="Não Atendeu"/>
    <s v="Não Atendeu"/>
    <s v="ACAOBP24042026"/>
    <s v="--"/>
    <n v="19"/>
    <m/>
    <m/>
    <d v="1899-12-30T00:00:00"/>
    <s v="---"/>
    <s v=""/>
    <x v="2"/>
  </r>
  <r>
    <d v="2026-04-24T12:31:00"/>
    <s v="3003 - FirjanAtivo"/>
    <s v="---"/>
    <n v="34"/>
    <n v="2199015000156"/>
    <n v="31"/>
    <n v="177704432925141"/>
    <s v="(24) 99936-2315"/>
    <n v="3003"/>
    <s v="Discador"/>
    <s v="Atendido"/>
    <s v="Fora de Area / Cx de Mensagens"/>
    <s v="ACAOBP24042026"/>
    <s v="Cliente"/>
    <n v="131"/>
    <m/>
    <m/>
    <d v="1899-12-30T00:05:11"/>
    <s v="---"/>
    <s v=""/>
    <x v="2"/>
  </r>
  <r>
    <d v="2026-04-24T12:31:17"/>
    <s v="3003 - FirjanAtivo"/>
    <s v="---"/>
    <n v="41"/>
    <n v="2605792000153"/>
    <n v="37"/>
    <n v="177704467726461"/>
    <s v="(22) 99278-8136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1:17"/>
    <s v="3003 - FirjanAtivo"/>
    <s v="---"/>
    <n v="42"/>
    <n v="2746258000167"/>
    <n v="38"/>
    <n v="177704467726471"/>
    <s v="(24) 98119-5740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1:17"/>
    <s v="3003 - FirjanAtivo"/>
    <s v="---"/>
    <n v="43"/>
    <n v="2755969000106"/>
    <n v="39"/>
    <n v="177704467726481"/>
    <s v="(21) 98485-8817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1:17"/>
    <s v="3003 - FirjanAtivo"/>
    <s v="---"/>
    <n v="44"/>
    <n v="2823246000199"/>
    <n v="40"/>
    <n v="177704467726491"/>
    <s v="(21) 98142-5542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1:29"/>
    <s v="3003 - FirjanAtivo"/>
    <s v="---"/>
    <n v="45"/>
    <n v="2918682000141"/>
    <n v="41"/>
    <n v="177704468926551"/>
    <s v="(91) 99210-2542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1:38"/>
    <s v="3003 - FirjanAtivo"/>
    <s v="---"/>
    <n v="46"/>
    <n v="2961614000165"/>
    <n v="42"/>
    <n v="177704469826571"/>
    <s v="(22) 99861-2688"/>
    <s v="Falha"/>
    <s v="Discador"/>
    <s v="Não Atendeu"/>
    <s v="Não Atendeu"/>
    <s v="ACAOBP24042026"/>
    <s v="--"/>
    <n v="19"/>
    <m/>
    <m/>
    <d v="1899-12-30T00:00:00"/>
    <s v="---"/>
    <s v=""/>
    <x v="2"/>
  </r>
  <r>
    <d v="2026-04-24T12:31:41"/>
    <s v="3003 - FirjanAtivo"/>
    <s v="---"/>
    <n v="47"/>
    <n v="3063053000140"/>
    <n v="43"/>
    <n v="177704470126591"/>
    <s v="(22) 99969-6384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1:43"/>
    <s v="3003 - FirjanAtivo"/>
    <s v="---"/>
    <n v="48"/>
    <n v="3081396000137"/>
    <n v="44"/>
    <n v="177704470326611"/>
    <s v="(24) 99999-6320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1:52"/>
    <s v="3003 - FirjanAtivo"/>
    <s v="---"/>
    <n v="49"/>
    <n v="3130917000107"/>
    <n v="45"/>
    <n v="177704471226631"/>
    <s v="(24) 98131-6800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1:59"/>
    <s v="3003 - FirjanAtivo"/>
    <s v="---"/>
    <n v="50"/>
    <n v="3135802000105"/>
    <n v="46"/>
    <n v="177704471926651"/>
    <s v="(22) 98177-7615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2:15"/>
    <s v="3003 - FirjanAtivo"/>
    <s v="---"/>
    <n v="51"/>
    <n v="3276131000194"/>
    <n v="47"/>
    <n v="177704473526671"/>
    <s v="(21) 96484-9137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2:26"/>
    <s v="3003 - FirjanAtivo"/>
    <s v="---"/>
    <n v="52"/>
    <n v="3311811000100"/>
    <n v="48"/>
    <n v="177704474626741"/>
    <s v="(22) 99954-8034"/>
    <n v="3003"/>
    <s v="Discador"/>
    <s v="Atendido"/>
    <s v="Fora de Area / Cx de Mensagens"/>
    <s v="ACAOBP24042026"/>
    <s v="--"/>
    <n v="147"/>
    <m/>
    <m/>
    <d v="1899-12-30T00:00:07"/>
    <s v="---"/>
    <s v=""/>
    <x v="2"/>
  </r>
  <r>
    <d v="2026-04-24T12:32:26"/>
    <s v="3003 - FirjanAtivo"/>
    <s v="---"/>
    <n v="53"/>
    <n v="3463826000185"/>
    <n v="49"/>
    <n v="177704474626761"/>
    <s v="(21) 96526-2338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2:31"/>
    <s v="3003 - FirjanAtivo"/>
    <s v="6052-Marcia Lima Peixoto"/>
    <n v="54"/>
    <n v="3478949000190"/>
    <n v="50"/>
    <n v="177704475126781"/>
    <s v="(22) 99899-1590"/>
    <n v="3003"/>
    <s v="Discador"/>
    <s v="Atendido"/>
    <s v="Engano"/>
    <s v="ACAOBP24042026"/>
    <s v="Agente"/>
    <n v="16"/>
    <m/>
    <m/>
    <d v="1899-12-30T00:00:40"/>
    <d v="1899-12-30T00:00:34"/>
    <s v=""/>
    <x v="2"/>
  </r>
  <r>
    <d v="2026-04-24T12:32:33"/>
    <s v="3003 - FirjanAtivo"/>
    <s v="---"/>
    <n v="55"/>
    <n v="3488597000153"/>
    <n v="51"/>
    <n v="177704475326801"/>
    <s v="(21) 98187-7389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2:40"/>
    <s v="3003 - FirjanAtivo"/>
    <s v="6052-Marcia Lima Peixoto"/>
    <n v="58"/>
    <n v="3850983000143"/>
    <n v="52"/>
    <n v="177704476026831"/>
    <s v="(21) 96736-1113"/>
    <n v="3003"/>
    <s v="Discador"/>
    <s v="Atendido"/>
    <s v="Enviar E-mail"/>
    <s v="ACAOBP24042026"/>
    <s v="Cliente"/>
    <n v="16"/>
    <m/>
    <m/>
    <d v="1899-12-30T00:03:04"/>
    <d v="1899-12-30T00:02:31"/>
    <n v="1"/>
    <x v="2"/>
  </r>
  <r>
    <d v="2026-04-24T12:33:09"/>
    <s v="3003 - FirjanAtivo"/>
    <s v="---"/>
    <n v="59"/>
    <n v="3904574000182"/>
    <n v="53"/>
    <n v="177704478926861"/>
    <s v="(22) 99708-9429"/>
    <n v="3003"/>
    <s v="Discador"/>
    <s v="Atendido"/>
    <s v="Fora de Area / Cx de Mensagens"/>
    <s v="ACAOBP24042026"/>
    <s v="--"/>
    <n v="128"/>
    <m/>
    <m/>
    <d v="1899-12-30T00:00:06"/>
    <s v="---"/>
    <s v=""/>
    <x v="2"/>
  </r>
  <r>
    <d v="2026-04-24T12:33:18"/>
    <s v="3003 - FirjanAtivo"/>
    <s v="---"/>
    <n v="60"/>
    <n v="3954733000153"/>
    <n v="54"/>
    <n v="177704479826881"/>
    <s v="(21) 96857-9179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3:21"/>
    <s v="3003 - FirjanAtivo"/>
    <s v="---"/>
    <n v="61"/>
    <n v="3995747000115"/>
    <n v="55"/>
    <n v="177704480126901"/>
    <s v="(21) 98835-0209"/>
    <n v="3003"/>
    <s v="Discador"/>
    <s v="Atendido"/>
    <s v="Fora de Area / Cx de Mensagens"/>
    <s v="ACAOBP24042026"/>
    <s v="Cliente"/>
    <n v="131"/>
    <m/>
    <m/>
    <d v="1899-12-30T00:00:26"/>
    <s v="---"/>
    <s v=""/>
    <x v="2"/>
  </r>
  <r>
    <d v="2026-04-24T12:33:26"/>
    <s v="3003 - FirjanAtivo"/>
    <s v="---"/>
    <n v="62"/>
    <n v="4028062000162"/>
    <n v="56"/>
    <n v="177704480626931"/>
    <s v="(22) 98819-8325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3:43"/>
    <s v="3003 - FirjanAtivo"/>
    <s v="---"/>
    <n v="63"/>
    <n v="4044746000158"/>
    <n v="57"/>
    <n v="177704482326951"/>
    <s v="(22) 98802-7200"/>
    <n v="3003"/>
    <s v="Discador"/>
    <s v="Atendido"/>
    <s v="Fora de Area / Cx de Mensagens"/>
    <s v="ACAOBP24042026"/>
    <s v="--"/>
    <n v="128"/>
    <m/>
    <m/>
    <d v="1899-12-30T00:00:06"/>
    <s v="---"/>
    <s v=""/>
    <x v="2"/>
  </r>
  <r>
    <d v="2026-04-24T12:33:53"/>
    <s v="3003 - FirjanAtivo"/>
    <s v="---"/>
    <n v="64"/>
    <n v="4048649000133"/>
    <n v="58"/>
    <n v="177704483326971"/>
    <s v="(21) 99805-2224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3:55"/>
    <s v="3003 - FirjanAtivo"/>
    <s v="---"/>
    <n v="66"/>
    <n v="4137354000133"/>
    <n v="59"/>
    <n v="177704483527001"/>
    <s v="(21) 99422-6728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3:55"/>
    <s v="3003 - FirjanAtivo"/>
    <s v="---"/>
    <n v="67"/>
    <n v="4160599000181"/>
    <n v="60"/>
    <n v="177704483527011"/>
    <s v="(24) 98107-8254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4:05"/>
    <s v="3003 - FirjanAtivo"/>
    <s v="---"/>
    <n v="68"/>
    <n v="4356149000169"/>
    <n v="61"/>
    <n v="177704484527031"/>
    <s v="(21) 97123-0789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4:12"/>
    <s v="3003 - FirjanAtivo"/>
    <s v="---"/>
    <n v="69"/>
    <n v="4371864000170"/>
    <n v="62"/>
    <n v="177704485227051"/>
    <s v="(22) 99965-1018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4:25"/>
    <s v="3003 - FirjanAtivo"/>
    <s v="---"/>
    <n v="71"/>
    <n v="4433625000106"/>
    <n v="63"/>
    <n v="177704486527071"/>
    <s v="(21) 98225-7925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4:36"/>
    <s v="3003 - FirjanAtivo"/>
    <s v="---"/>
    <n v="72"/>
    <n v="4652839000165"/>
    <n v="64"/>
    <n v="177704487627091"/>
    <s v="(21) 99953-1528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4:49"/>
    <s v="3003 - FirjanAtivo"/>
    <s v="---"/>
    <n v="73"/>
    <n v="4728735000197"/>
    <n v="65"/>
    <n v="177704488927111"/>
    <s v="(22) 99835-0275"/>
    <n v="3003"/>
    <s v="Discador"/>
    <s v="Atendido"/>
    <s v="Fora de Area / Cx de Mensagens"/>
    <s v="ACAOBP24042026"/>
    <s v="--"/>
    <n v="128"/>
    <m/>
    <m/>
    <d v="1899-12-30T00:00:06"/>
    <s v="---"/>
    <s v=""/>
    <x v="2"/>
  </r>
  <r>
    <d v="2026-04-24T12:34:54"/>
    <s v="3003 - FirjanAtivo"/>
    <s v="---"/>
    <n v="74"/>
    <n v="4900076000124"/>
    <n v="66"/>
    <n v="177704489427181"/>
    <s v="(21) 98882-5678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4:58"/>
    <s v="3003 - FirjanAtivo"/>
    <s v="---"/>
    <n v="75"/>
    <n v="4987252000107"/>
    <n v="67"/>
    <n v="177704489827211"/>
    <s v="(21) 99335-6612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5:06"/>
    <s v="3003 - FirjanAtivo"/>
    <s v="---"/>
    <n v="76"/>
    <n v="5068583000106"/>
    <n v="68"/>
    <n v="177704490627231"/>
    <s v="(21) 99701-8990"/>
    <n v="3003"/>
    <s v="Discador"/>
    <s v="Atendido"/>
    <s v="Fora de Area / Cx de Mensagens"/>
    <s v="ACAOBP24042026"/>
    <s v="--"/>
    <n v="128"/>
    <m/>
    <m/>
    <d v="1899-12-30T00:00:03"/>
    <s v="---"/>
    <s v=""/>
    <x v="2"/>
  </r>
  <r>
    <d v="2026-04-24T12:35:19"/>
    <s v="3003 - FirjanAtivo"/>
    <s v="---"/>
    <n v="77"/>
    <n v="5105470000133"/>
    <n v="69"/>
    <n v="177704491927251"/>
    <s v="(21) 99254-1190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5:20"/>
    <s v="3003 - FirjanAtivo"/>
    <s v="---"/>
    <n v="78"/>
    <n v="5124020000198"/>
    <n v="70"/>
    <n v="177704492027271"/>
    <s v="(21) 96416-6361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5:32"/>
    <s v="3003 - FirjanAtivo"/>
    <s v="---"/>
    <n v="79"/>
    <n v="5133369000196"/>
    <n v="71"/>
    <n v="177704493227291"/>
    <s v="(21) 98160-0166"/>
    <n v="3003"/>
    <s v="Discador"/>
    <s v="Atendido"/>
    <s v="Fora de Area / Cx de Mensagens"/>
    <s v="ACAOBP24042026"/>
    <s v="--"/>
    <n v="128"/>
    <m/>
    <m/>
    <d v="1899-12-30T00:00:06"/>
    <s v="---"/>
    <s v=""/>
    <x v="2"/>
  </r>
  <r>
    <d v="2026-04-24T12:35:34"/>
    <s v="3003 - FirjanAtivo"/>
    <s v="---"/>
    <n v="80"/>
    <n v="5207886000162"/>
    <n v="72"/>
    <n v="177704493427311"/>
    <s v="(21) 98208-3907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5:46"/>
    <s v="3003 - FirjanAtivo"/>
    <s v="---"/>
    <n v="81"/>
    <n v="5476516000120"/>
    <n v="73"/>
    <n v="177704494627331"/>
    <s v="(21) 99999-7075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2:35:56"/>
    <s v="3003 - FirjanAtivo"/>
    <s v="---"/>
    <n v="82"/>
    <n v="5483497000160"/>
    <n v="74"/>
    <n v="177704495627351"/>
    <s v="(24) 99999-7466"/>
    <n v="3003"/>
    <s v="Discador"/>
    <s v="Atendido"/>
    <s v="Fora de Area / Cx de Mensagens"/>
    <s v="ACAOBP24042026"/>
    <s v="--"/>
    <n v="147"/>
    <m/>
    <m/>
    <d v="1899-12-30T00:00:07"/>
    <s v="---"/>
    <s v=""/>
    <x v="2"/>
  </r>
  <r>
    <d v="2026-04-24T12:35:57"/>
    <s v="3003 - FirjanAtivo"/>
    <s v="---"/>
    <n v="83"/>
    <n v="5485452000124"/>
    <n v="75"/>
    <n v="177704495727371"/>
    <s v="(81) 99651-3130"/>
    <s v="Falha"/>
    <s v="Discador"/>
    <s v="Ocupado"/>
    <s v="Ocupado"/>
    <s v="ACAOBP24042026"/>
    <s v="--"/>
    <n v="17"/>
    <m/>
    <m/>
    <d v="1899-12-30T00:00:00"/>
    <s v="---"/>
    <s v=""/>
    <x v="2"/>
  </r>
  <r>
    <d v="2026-04-24T12:36:07"/>
    <s v="3003 - FirjanAtivo"/>
    <s v="---"/>
    <n v="84"/>
    <n v="5487548000121"/>
    <n v="76"/>
    <n v="177704496727391"/>
    <s v="(21) 98478-1854"/>
    <n v="3003"/>
    <s v="Discador"/>
    <s v="Atendido"/>
    <s v="Fora de Area / Cx de Mensagens"/>
    <s v="ACAOBP24042026"/>
    <s v="--"/>
    <n v="128"/>
    <m/>
    <m/>
    <d v="1899-12-30T00:00:07"/>
    <s v="---"/>
    <s v=""/>
    <x v="2"/>
  </r>
  <r>
    <d v="2026-04-24T14:09:11"/>
    <s v="3003 - FirjanAtivo"/>
    <s v="---"/>
    <n v="1"/>
    <n v="64078000170"/>
    <n v="506"/>
    <n v="177705055135111"/>
    <s v="(22) 99877-588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09:11"/>
    <s v="3003 - FirjanAtivo"/>
    <s v="---"/>
    <n v="2"/>
    <n v="94869000142"/>
    <n v="507"/>
    <n v="177705055135121"/>
    <s v="(24) 97402-9988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4:09:11"/>
    <s v="3003 - FirjanAtivo"/>
    <s v="---"/>
    <n v="3"/>
    <n v="117961000180"/>
    <n v="508"/>
    <n v="177705055135131"/>
    <s v="(21) 99965-169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09:11"/>
    <s v="3003 - FirjanAtivo"/>
    <s v="---"/>
    <n v="4"/>
    <n v="175438000100"/>
    <n v="509"/>
    <n v="177705055135141"/>
    <s v="(21) 96418-148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09:22"/>
    <s v="3003 - FirjanAtivo"/>
    <s v="---"/>
    <n v="5"/>
    <n v="255310000157"/>
    <n v="510"/>
    <n v="177705056235161"/>
    <s v="(24) 99911-794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09:25"/>
    <s v="3003 - FirjanAtivo"/>
    <s v="---"/>
    <n v="6"/>
    <n v="420622000179"/>
    <n v="511"/>
    <n v="177705056535181"/>
    <s v="(21) 99107-873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09:25"/>
    <s v="3003 - FirjanAtivo"/>
    <s v="---"/>
    <n v="7"/>
    <n v="451332000192"/>
    <n v="512"/>
    <n v="177705056535231"/>
    <s v="(24) 98818-180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09:32"/>
    <s v="3003 - FirjanAtivo"/>
    <s v="---"/>
    <n v="8"/>
    <n v="550875000167"/>
    <n v="513"/>
    <n v="177705057235281"/>
    <s v="(21) 98249-380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09:38"/>
    <s v="3003 - FirjanAtivo"/>
    <s v="---"/>
    <n v="9"/>
    <n v="749145000190"/>
    <n v="514"/>
    <n v="177705057835341"/>
    <s v="(21) 98497-438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09:41"/>
    <s v="3003 - FirjanAtivo"/>
    <s v="---"/>
    <n v="10"/>
    <n v="837531000133"/>
    <n v="515"/>
    <n v="177705058135361"/>
    <s v="(24) 98117-4443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4:09:46"/>
    <s v="3003 - FirjanAtivo"/>
    <s v="---"/>
    <n v="11"/>
    <n v="845384000143"/>
    <n v="516"/>
    <n v="177705058635381"/>
    <s v="(21) 96423-173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09:56"/>
    <s v="3003 - FirjanAtivo"/>
    <s v="---"/>
    <n v="12"/>
    <n v="863808000100"/>
    <n v="517"/>
    <n v="177705059635401"/>
    <s v="(22) 98115-417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0:00"/>
    <s v="3003 - FirjanAtivo"/>
    <s v="---"/>
    <n v="13"/>
    <n v="1056628000171"/>
    <n v="518"/>
    <n v="177705060035461"/>
    <s v="(21) 96458-5784"/>
    <n v="3003"/>
    <s v="Discador"/>
    <s v="Atendido"/>
    <s v="Fora de Area / Cx de Mensagens"/>
    <s v="ACAOBP24042026v2"/>
    <s v="--"/>
    <n v="128"/>
    <m/>
    <m/>
    <d v="1899-12-30T00:00:05"/>
    <s v="---"/>
    <s v=""/>
    <x v="2"/>
  </r>
  <r>
    <d v="2026-04-24T14:10:03"/>
    <s v="3003 - FirjanAtivo"/>
    <s v="---"/>
    <n v="14"/>
    <n v="1062613000116"/>
    <n v="519"/>
    <n v="177705060335481"/>
    <s v="(22) 98170-0037"/>
    <n v="3003"/>
    <s v="Discador"/>
    <s v="Atendido"/>
    <s v="Fora de Area / Cx de Mensagens"/>
    <s v="ACAOBP24042026v2"/>
    <s v="--"/>
    <n v="131"/>
    <m/>
    <m/>
    <d v="1899-12-30T00:00:01"/>
    <s v="---"/>
    <s v=""/>
    <x v="2"/>
  </r>
  <r>
    <d v="2026-04-24T14:10:08"/>
    <s v="3003 - FirjanAtivo"/>
    <s v="---"/>
    <n v="15"/>
    <n v="1104119000177"/>
    <n v="520"/>
    <n v="177705060835501"/>
    <s v="(21) 97294-8230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10:12"/>
    <s v="3003 - FirjanAtivo"/>
    <s v="---"/>
    <n v="16"/>
    <n v="1209604000105"/>
    <n v="521"/>
    <n v="177705061235571"/>
    <s v="(21) 99713-8364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10:23"/>
    <s v="3003 - FirjanAtivo"/>
    <s v="---"/>
    <n v="17"/>
    <n v="1340549000198"/>
    <n v="522"/>
    <n v="177705062335641"/>
    <s v="(22) 99944-435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0:27"/>
    <s v="3003 - FirjanAtivo"/>
    <s v="---"/>
    <n v="18"/>
    <n v="1387961000163"/>
    <n v="523"/>
    <n v="177705062735661"/>
    <s v="(21) 97033-906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0:40"/>
    <s v="3003 - FirjanAtivo"/>
    <s v="---"/>
    <n v="19"/>
    <n v="1399122000165"/>
    <n v="524"/>
    <n v="177705064035681"/>
    <s v="(22) 99941-817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0:42"/>
    <s v="3003 - FirjanAtivo"/>
    <s v="---"/>
    <n v="21"/>
    <n v="1485063000148"/>
    <n v="525"/>
    <n v="177705064235701"/>
    <s v="(21) 99351-8317"/>
    <n v="3003"/>
    <s v="Discador"/>
    <s v="Atendido"/>
    <s v="Fora de Area / Cx de Mensagens"/>
    <s v="ACAOBP24042026v2"/>
    <s v="--"/>
    <n v="131"/>
    <m/>
    <m/>
    <d v="1899-12-30T00:00:03"/>
    <s v="---"/>
    <s v=""/>
    <x v="2"/>
  </r>
  <r>
    <d v="2026-04-24T14:10:51"/>
    <s v="3003 - FirjanAtivo"/>
    <s v="---"/>
    <n v="22"/>
    <n v="1632895000140"/>
    <n v="526"/>
    <n v="177705065135721"/>
    <s v="(21) 99983-218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0:53"/>
    <s v="3003 - FirjanAtivo"/>
    <s v="---"/>
    <n v="23"/>
    <n v="1721269000120"/>
    <n v="527"/>
    <n v="177705065335741"/>
    <s v="(21) 99890-817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0:53"/>
    <s v="3003 - FirjanAtivo"/>
    <s v="---"/>
    <n v="26"/>
    <n v="1879056000120"/>
    <n v="528"/>
    <n v="177705065335761"/>
    <s v="(21) 99774-738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1:09"/>
    <s v="3003 - FirjanAtivo"/>
    <s v="---"/>
    <n v="27"/>
    <n v="1959285000155"/>
    <n v="529"/>
    <n v="177705066935821"/>
    <s v="(21) 99118-677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1:19"/>
    <s v="3003 - FirjanAtivo"/>
    <s v="---"/>
    <n v="28"/>
    <n v="1978794000125"/>
    <n v="530"/>
    <n v="177705067935841"/>
    <s v="(21) 97998-599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1:31"/>
    <s v="3003 - FirjanAtivo"/>
    <s v="---"/>
    <n v="29"/>
    <n v="2047048000180"/>
    <n v="531"/>
    <n v="177705069135861"/>
    <s v="(22) 99908-3911"/>
    <s v="Falha"/>
    <s v="Discador"/>
    <s v="Não Atendeu"/>
    <s v="Não Atendeu"/>
    <s v="ACAOBP24042026v2"/>
    <s v="--"/>
    <n v="34"/>
    <m/>
    <m/>
    <d v="1899-12-30T00:00:00"/>
    <s v="---"/>
    <s v=""/>
    <x v="2"/>
  </r>
  <r>
    <d v="2026-04-24T14:11:35"/>
    <s v="3003 - FirjanAtivo"/>
    <s v="---"/>
    <n v="30"/>
    <n v="2055500000156"/>
    <n v="532"/>
    <n v="177705069535881"/>
    <s v="(24) 98114-140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1:38"/>
    <s v="3003 - FirjanAtivo"/>
    <s v="---"/>
    <n v="31"/>
    <n v="2079896000171"/>
    <n v="533"/>
    <n v="177705069835891"/>
    <s v="(21) 99106-193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1:52"/>
    <s v="3003 - FirjanAtivo"/>
    <s v="---"/>
    <n v="32"/>
    <n v="2113776000143"/>
    <n v="534"/>
    <n v="177705071235911"/>
    <s v="(21) 97033-430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2:03"/>
    <s v="3003 - FirjanAtivo"/>
    <s v="---"/>
    <n v="33"/>
    <n v="2148473000166"/>
    <n v="535"/>
    <n v="177705072335991"/>
    <s v="(21) 98461-8480"/>
    <n v="3003"/>
    <s v="Discador"/>
    <s v="Atendido"/>
    <s v="Fora de Area / Cx de Mensagens"/>
    <s v="ACAOBP24042026v2"/>
    <s v="--"/>
    <n v="131"/>
    <m/>
    <m/>
    <d v="1899-12-30T00:00:03"/>
    <s v="---"/>
    <s v=""/>
    <x v="2"/>
  </r>
  <r>
    <d v="2026-04-24T14:12:05"/>
    <s v="3003 - FirjanAtivo"/>
    <s v="---"/>
    <n v="34"/>
    <n v="2199015000156"/>
    <n v="536"/>
    <n v="177705072536021"/>
    <s v="(24) 99936-2315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4:12:06"/>
    <s v="3003 - FirjanAtivo"/>
    <s v="---"/>
    <n v="35"/>
    <n v="2326459000105"/>
    <n v="537"/>
    <n v="177705072636031"/>
    <s v="(21) 98741-1184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4:12:08"/>
    <s v="3003 - FirjanAtivo"/>
    <s v="---"/>
    <n v="36"/>
    <n v="2427859000107"/>
    <n v="538"/>
    <n v="177705072836051"/>
    <s v="(21) 97655-121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2:23"/>
    <s v="3003 - FirjanAtivo"/>
    <s v="---"/>
    <n v="37"/>
    <n v="2464189000107"/>
    <n v="539"/>
    <n v="177705074336071"/>
    <s v="(22) 98123-389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2:32"/>
    <s v="3003 - FirjanAtivo"/>
    <s v="---"/>
    <n v="39"/>
    <n v="2510074000101"/>
    <n v="540"/>
    <n v="177705075236091"/>
    <s v="(22) 97401-110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2:54"/>
    <s v="3003 - FirjanAtivo"/>
    <s v="---"/>
    <n v="40"/>
    <n v="2604580000151"/>
    <n v="541"/>
    <n v="177705077436161"/>
    <s v="(24) 99913-4064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4:13:06"/>
    <s v="3003 - FirjanAtivo"/>
    <s v="---"/>
    <n v="41"/>
    <n v="2605792000153"/>
    <n v="542"/>
    <n v="177705078636171"/>
    <s v="(22) 99278-8136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13:08"/>
    <s v="3003 - FirjanAtivo"/>
    <s v="---"/>
    <n v="42"/>
    <n v="2746258000167"/>
    <n v="543"/>
    <n v="177705078836191"/>
    <s v="(24) 98119-5740"/>
    <n v="3003"/>
    <s v="Discador"/>
    <s v="Atendido"/>
    <s v="Fora de Area / Cx de Mensagens"/>
    <s v="ACAOBP24042026v2"/>
    <s v="--"/>
    <n v="131"/>
    <m/>
    <m/>
    <d v="1899-12-30T00:00:00"/>
    <s v="---"/>
    <s v=""/>
    <x v="2"/>
  </r>
  <r>
    <d v="2026-04-24T14:13:12"/>
    <s v="3003 - FirjanAtivo"/>
    <s v="---"/>
    <n v="43"/>
    <n v="2755969000106"/>
    <n v="544"/>
    <n v="177705079236211"/>
    <s v="(21) 98485-881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3:22"/>
    <s v="3003 - FirjanAtivo"/>
    <s v="---"/>
    <n v="44"/>
    <n v="2823246000199"/>
    <n v="545"/>
    <n v="177705080236231"/>
    <s v="(21) 98142-554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3:28"/>
    <s v="3003 - FirjanAtivo"/>
    <s v="---"/>
    <n v="45"/>
    <n v="2918682000141"/>
    <n v="546"/>
    <n v="177705080836251"/>
    <s v="(91) 99210-254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3:34"/>
    <s v="3003 - FirjanAtivo"/>
    <s v="---"/>
    <n v="46"/>
    <n v="2961614000165"/>
    <n v="547"/>
    <n v="177705081436311"/>
    <s v="(22) 99861-2688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4:13:42"/>
    <s v="3003 - FirjanAtivo"/>
    <s v="---"/>
    <n v="47"/>
    <n v="3063053000140"/>
    <n v="548"/>
    <n v="177705082236331"/>
    <s v="(22) 99969-6384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13:44"/>
    <s v="3003 - FirjanAtivo"/>
    <s v="---"/>
    <n v="48"/>
    <n v="3081396000137"/>
    <n v="549"/>
    <n v="177705082436341"/>
    <s v="(24) 99999-632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4:05"/>
    <s v="3003 - FirjanAtivo"/>
    <s v="---"/>
    <n v="49"/>
    <n v="3130917000107"/>
    <n v="550"/>
    <n v="177705084536361"/>
    <s v="(24) 98131-680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4:08"/>
    <s v="3003 - FirjanAtivo"/>
    <s v="---"/>
    <n v="50"/>
    <n v="3135802000105"/>
    <n v="551"/>
    <n v="177705084836381"/>
    <s v="(22) 98177-7615"/>
    <n v="3003"/>
    <s v="Discador"/>
    <s v="Atendido"/>
    <s v="Fora de Area / Cx de Mensagens"/>
    <s v="ACAOBP24042026v2"/>
    <s v="--"/>
    <n v="131"/>
    <m/>
    <m/>
    <d v="1899-12-30T00:00:03"/>
    <s v="---"/>
    <s v=""/>
    <x v="2"/>
  </r>
  <r>
    <d v="2026-04-24T14:14:21"/>
    <s v="3003 - FirjanAtivo"/>
    <s v="---"/>
    <n v="51"/>
    <n v="3276131000194"/>
    <n v="552"/>
    <n v="177705086136401"/>
    <s v="(21) 96484-913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4:22"/>
    <s v="3003 - FirjanAtivo"/>
    <s v="---"/>
    <n v="52"/>
    <n v="3311811000100"/>
    <n v="553"/>
    <n v="177705086236411"/>
    <s v="(22) 99954-8034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14:28"/>
    <s v="3003 - FirjanAtivo"/>
    <s v="---"/>
    <n v="53"/>
    <n v="3463826000185"/>
    <n v="554"/>
    <n v="177705086836431"/>
    <s v="(21) 96526-233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4:30"/>
    <s v="3003 - FirjanAtivo"/>
    <s v="---"/>
    <n v="54"/>
    <n v="3478949000190"/>
    <n v="555"/>
    <n v="177705087036451"/>
    <s v="(22) 99899-159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4:32"/>
    <s v="3003 - FirjanAtivo"/>
    <s v="---"/>
    <n v="55"/>
    <n v="3488597000153"/>
    <n v="556"/>
    <n v="177705087236471"/>
    <s v="(21) 98187-738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4:42"/>
    <s v="3003 - FirjanAtivo"/>
    <s v="---"/>
    <n v="59"/>
    <n v="3904574000182"/>
    <n v="557"/>
    <n v="177705088236531"/>
    <s v="(22) 99708-942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4:59"/>
    <s v="3003 - FirjanAtivo"/>
    <s v="---"/>
    <n v="60"/>
    <n v="3954733000153"/>
    <n v="558"/>
    <n v="177705089936551"/>
    <s v="(21) 96857-917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5:05"/>
    <s v="3003 - FirjanAtivo"/>
    <s v="---"/>
    <n v="61"/>
    <n v="3995747000115"/>
    <n v="559"/>
    <n v="177705090536571"/>
    <s v="(21) 98835-020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5:17"/>
    <s v="3003 - FirjanAtivo"/>
    <s v="---"/>
    <n v="62"/>
    <n v="4028062000162"/>
    <n v="560"/>
    <n v="177705091736591"/>
    <s v="(22) 98819-832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5:20"/>
    <s v="3003 - FirjanAtivo"/>
    <s v="---"/>
    <n v="63"/>
    <n v="4044746000158"/>
    <n v="561"/>
    <n v="177705092036611"/>
    <s v="(22) 98802-7200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15:23"/>
    <s v="3003 - FirjanAtivo"/>
    <s v="---"/>
    <n v="64"/>
    <n v="4048649000133"/>
    <n v="562"/>
    <n v="177705092336631"/>
    <s v="(21) 99805-222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5:28"/>
    <s v="3003 - FirjanAtivo"/>
    <s v="---"/>
    <n v="66"/>
    <n v="4137354000133"/>
    <n v="563"/>
    <n v="177705092836651"/>
    <s v="(21) 99422-672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5:33"/>
    <s v="3003 - FirjanAtivo"/>
    <s v="---"/>
    <n v="67"/>
    <n v="4160599000181"/>
    <n v="564"/>
    <n v="177705093336671"/>
    <s v="(24) 98107-825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5:35"/>
    <s v="3003 - FirjanAtivo"/>
    <s v="---"/>
    <n v="68"/>
    <n v="4356149000169"/>
    <n v="565"/>
    <n v="177705093536691"/>
    <s v="(21) 97123-078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5:37"/>
    <s v="3003 - FirjanAtivo"/>
    <s v="---"/>
    <n v="69"/>
    <n v="4371864000170"/>
    <n v="566"/>
    <n v="177705093736711"/>
    <s v="(22) 99965-101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5:48"/>
    <s v="3003 - FirjanAtivo"/>
    <s v="---"/>
    <n v="71"/>
    <n v="4433625000106"/>
    <n v="567"/>
    <n v="177705094836731"/>
    <s v="(21) 98225-792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6:01"/>
    <s v="3003 - FirjanAtivo"/>
    <s v="---"/>
    <n v="73"/>
    <n v="4728735000197"/>
    <n v="568"/>
    <n v="177705096136751"/>
    <s v="(22) 99835-0275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16:10"/>
    <s v="3003 - FirjanAtivo"/>
    <s v="---"/>
    <n v="74"/>
    <n v="4900076000124"/>
    <n v="569"/>
    <n v="177705097036771"/>
    <s v="(21) 98882-567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6:20"/>
    <s v="3003 - FirjanAtivo"/>
    <s v="---"/>
    <n v="75"/>
    <n v="4987252000107"/>
    <n v="570"/>
    <n v="177705098036801"/>
    <s v="(21) 99335-661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6:20"/>
    <s v="3003 - FirjanAtivo"/>
    <s v="---"/>
    <n v="76"/>
    <n v="5068583000106"/>
    <n v="571"/>
    <n v="177705098036811"/>
    <s v="(21) 99701-8990"/>
    <n v="3003"/>
    <s v="Discador"/>
    <s v="Atendido"/>
    <s v="Fora de Area / Cx de Mensagens"/>
    <s v="ACAOBP24042026v2"/>
    <s v="--"/>
    <n v="128"/>
    <m/>
    <m/>
    <d v="1899-12-30T00:00:03"/>
    <s v="---"/>
    <s v=""/>
    <x v="2"/>
  </r>
  <r>
    <d v="2026-04-24T14:16:22"/>
    <s v="3003 - FirjanAtivo"/>
    <s v="---"/>
    <n v="77"/>
    <n v="5105470000133"/>
    <n v="572"/>
    <n v="177705098236831"/>
    <s v="(21) 99254-119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6:35"/>
    <s v="3003 - FirjanAtivo"/>
    <s v="---"/>
    <n v="78"/>
    <n v="5124020000198"/>
    <n v="573"/>
    <n v="177705099536911"/>
    <s v="(21) 96416-636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6:37"/>
    <s v="3003 - FirjanAtivo"/>
    <s v="---"/>
    <n v="79"/>
    <n v="5133369000196"/>
    <n v="574"/>
    <n v="177705099736931"/>
    <s v="(21) 98160-016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6:44"/>
    <s v="3003 - FirjanAtivo"/>
    <s v="---"/>
    <n v="80"/>
    <n v="5207886000162"/>
    <n v="575"/>
    <n v="177705100436951"/>
    <s v="(21) 98208-3907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4:16:49"/>
    <s v="3003 - FirjanAtivo"/>
    <s v="---"/>
    <n v="81"/>
    <n v="5476516000120"/>
    <n v="576"/>
    <n v="177705100936961"/>
    <s v="(21) 99999-707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6:49"/>
    <s v="3003 - FirjanAtivo"/>
    <s v="---"/>
    <n v="82"/>
    <n v="5483497000160"/>
    <n v="577"/>
    <n v="177705100936971"/>
    <s v="(24) 99999-746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6:49"/>
    <s v="3003 - FirjanAtivo"/>
    <s v="---"/>
    <n v="83"/>
    <n v="5485452000124"/>
    <n v="578"/>
    <n v="177705100936981"/>
    <s v="(81) 99651-3130"/>
    <s v="Falha"/>
    <s v="Discador"/>
    <s v="Ocupado"/>
    <s v="Ocupado"/>
    <s v="ACAOBP24042026v2"/>
    <s v="--"/>
    <n v="17"/>
    <m/>
    <m/>
    <d v="1899-12-30T00:00:00"/>
    <s v="---"/>
    <s v=""/>
    <x v="2"/>
  </r>
  <r>
    <d v="2026-04-24T14:16:49"/>
    <s v="3003 - FirjanAtivo"/>
    <s v="---"/>
    <n v="84"/>
    <n v="5487548000121"/>
    <n v="579"/>
    <n v="177705100936991"/>
    <s v="(21) 98478-185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6:49"/>
    <s v="3003 - FirjanAtivo"/>
    <s v="---"/>
    <n v="85"/>
    <n v="5587109000190"/>
    <n v="580"/>
    <n v="177705100937001"/>
    <s v="(21) 96500-650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6:49"/>
    <s v="3003 - FirjanAtivo"/>
    <s v="---"/>
    <n v="86"/>
    <n v="5600088000104"/>
    <n v="581"/>
    <n v="177705100937011"/>
    <s v="(21) 96769-1155"/>
    <s v="Falha"/>
    <s v="Discador"/>
    <s v="Não Atendeu"/>
    <s v="Não Atendeu"/>
    <s v="ACAOBP24042026v2"/>
    <s v="--"/>
    <n v="34"/>
    <m/>
    <m/>
    <d v="1899-12-30T00:00:00"/>
    <s v="---"/>
    <s v=""/>
    <x v="2"/>
  </r>
  <r>
    <d v="2026-04-24T14:16:49"/>
    <s v="3003 - FirjanAtivo"/>
    <s v="---"/>
    <n v="88"/>
    <n v="5870198000188"/>
    <n v="582"/>
    <n v="177705100937021"/>
    <s v="(22) 99999-7377"/>
    <s v="Falha"/>
    <s v="Discador"/>
    <s v="Não Atendeu"/>
    <s v="Não Atendeu"/>
    <s v="ACAOBP24042026v2"/>
    <s v="--"/>
    <n v="34"/>
    <m/>
    <m/>
    <d v="1899-12-30T00:00:00"/>
    <s v="---"/>
    <s v=""/>
    <x v="2"/>
  </r>
  <r>
    <d v="2026-04-24T14:16:49"/>
    <s v="3003 - FirjanAtivo"/>
    <s v="---"/>
    <n v="89"/>
    <n v="5887391000121"/>
    <n v="583"/>
    <n v="177705100937041"/>
    <s v="(22) 99780-6677"/>
    <s v="Falha"/>
    <s v="Discador"/>
    <s v="Não Atendeu"/>
    <s v="Não Atendeu"/>
    <s v="ACAOBP24042026v2"/>
    <s v="--"/>
    <n v="34"/>
    <m/>
    <m/>
    <d v="1899-12-30T00:00:00"/>
    <s v="---"/>
    <s v=""/>
    <x v="2"/>
  </r>
  <r>
    <d v="2026-04-24T14:16:49"/>
    <s v="3003 - FirjanAtivo"/>
    <s v="---"/>
    <n v="90"/>
    <n v="5951912000162"/>
    <n v="584"/>
    <n v="177705100937051"/>
    <s v="(22) 99278-4839"/>
    <s v="Falha"/>
    <s v="Discador"/>
    <s v="Não Atendeu"/>
    <s v="Não Atendeu"/>
    <s v="ACAOBP24042026v2"/>
    <s v="--"/>
    <n v="34"/>
    <m/>
    <m/>
    <d v="1899-12-30T00:00:00"/>
    <s v="---"/>
    <s v=""/>
    <x v="2"/>
  </r>
  <r>
    <d v="2026-04-24T14:16:50"/>
    <s v="3003 - FirjanAtivo"/>
    <s v="---"/>
    <n v="91"/>
    <n v="6058857000149"/>
    <n v="585"/>
    <n v="177705101037061"/>
    <s v="(22) 99832-5437"/>
    <s v="Falha"/>
    <s v="Discador"/>
    <s v="Não Atendeu"/>
    <s v="Não Atendeu"/>
    <s v="ACAOBP24042026v2"/>
    <s v="--"/>
    <n v="34"/>
    <m/>
    <m/>
    <d v="1899-12-30T00:00:00"/>
    <s v="---"/>
    <s v=""/>
    <x v="2"/>
  </r>
  <r>
    <d v="2026-04-24T14:16:50"/>
    <s v="3003 - FirjanAtivo"/>
    <s v="---"/>
    <n v="92"/>
    <n v="6093542000132"/>
    <n v="586"/>
    <n v="177705101037071"/>
    <s v="(22) 98115-032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6:50"/>
    <s v="3003 - FirjanAtivo"/>
    <s v="---"/>
    <n v="93"/>
    <n v="6100968000176"/>
    <n v="587"/>
    <n v="177705101037081"/>
    <s v="(55) 21998-9106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4:16:55"/>
    <s v="3003 - FirjanAtivo"/>
    <s v="---"/>
    <n v="94"/>
    <n v="6215708000146"/>
    <n v="588"/>
    <n v="177705101537101"/>
    <s v="(21) 99859-445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6:58"/>
    <s v="3003 - FirjanAtivo"/>
    <s v="---"/>
    <n v="95"/>
    <n v="6236859000180"/>
    <n v="589"/>
    <n v="177705101837121"/>
    <s v="(24) 99277-769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6:59"/>
    <s v="3003 - FirjanAtivo"/>
    <s v="---"/>
    <n v="96"/>
    <n v="6276371000187"/>
    <n v="590"/>
    <n v="177705101937141"/>
    <s v="(21) 96459-205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6:59"/>
    <s v="3003 - FirjanAtivo"/>
    <s v="---"/>
    <n v="97"/>
    <n v="6326043000148"/>
    <n v="591"/>
    <n v="177705101937161"/>
    <s v="(24) 99983-297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02"/>
    <s v="3003 - FirjanAtivo"/>
    <s v="---"/>
    <n v="98"/>
    <n v="6652280000107"/>
    <n v="592"/>
    <n v="177705102237181"/>
    <s v="(55) 21969-7751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4:17:02"/>
    <s v="3003 - FirjanAtivo"/>
    <s v="---"/>
    <n v="99"/>
    <n v="6983876000181"/>
    <n v="593"/>
    <n v="177705102237191"/>
    <s v="(24) 99926-552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03"/>
    <s v="3003 - FirjanAtivo"/>
    <s v="---"/>
    <n v="100"/>
    <n v="7042642000364"/>
    <n v="594"/>
    <n v="177705102337211"/>
    <s v="(22) 99883-6782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4:17:11"/>
    <s v="3003 - FirjanAtivo"/>
    <s v="---"/>
    <n v="102"/>
    <n v="7211888000150"/>
    <n v="595"/>
    <n v="177705103137241"/>
    <s v="(21) 97041-619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12"/>
    <s v="3003 - FirjanAtivo"/>
    <s v="---"/>
    <n v="103"/>
    <n v="7355123000194"/>
    <n v="596"/>
    <n v="177705103237251"/>
    <s v="(24) 3326-4426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4:17:15"/>
    <s v="3003 - FirjanAtivo"/>
    <s v="---"/>
    <n v="104"/>
    <n v="7368744000102"/>
    <n v="597"/>
    <n v="177705103537271"/>
    <s v="(21) 98309-169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16"/>
    <s v="3003 - FirjanAtivo"/>
    <s v="---"/>
    <n v="105"/>
    <n v="7477770000179"/>
    <n v="598"/>
    <n v="177705103637291"/>
    <s v="(21) 96011-458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20"/>
    <s v="3003 - FirjanAtivo"/>
    <s v="---"/>
    <n v="106"/>
    <n v="7485047000131"/>
    <n v="599"/>
    <n v="177705104037311"/>
    <s v="(22) 99218-145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20"/>
    <s v="3003 - FirjanAtivo"/>
    <s v="---"/>
    <n v="107"/>
    <n v="7525932000105"/>
    <n v="600"/>
    <n v="177705104037321"/>
    <s v="(21) 97390-504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30"/>
    <s v="3003 - FirjanAtivo"/>
    <s v="---"/>
    <n v="108"/>
    <n v="7560240000190"/>
    <n v="601"/>
    <n v="177705105037341"/>
    <s v="(21) 99252-014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32"/>
    <s v="3003 - FirjanAtivo"/>
    <s v="---"/>
    <n v="110"/>
    <n v="7585606000185"/>
    <n v="602"/>
    <n v="177705105237371"/>
    <s v="(24) 98181-052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32"/>
    <s v="3003 - FirjanAtivo"/>
    <s v="---"/>
    <n v="111"/>
    <n v="7638597000143"/>
    <n v="603"/>
    <n v="177705105237381"/>
    <s v="(22) 99969-638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35"/>
    <s v="3003 - FirjanAtivo"/>
    <s v="---"/>
    <n v="112"/>
    <n v="7762793000125"/>
    <n v="604"/>
    <n v="177705105537451"/>
    <s v="(24) 93500-079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41"/>
    <s v="3003 - FirjanAtivo"/>
    <s v="---"/>
    <n v="113"/>
    <n v="7783371000136"/>
    <n v="605"/>
    <n v="177705106137481"/>
    <s v="(24) 99969-699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46"/>
    <s v="3003 - FirjanAtivo"/>
    <s v="---"/>
    <n v="114"/>
    <n v="7876652000133"/>
    <n v="606"/>
    <n v="177705106637511"/>
    <s v="(22) 98819-2826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4:17:47"/>
    <s v="3003 - FirjanAtivo"/>
    <s v="---"/>
    <n v="115"/>
    <n v="7955927000124"/>
    <n v="607"/>
    <n v="177705106737531"/>
    <s v="(22) 98101-229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47"/>
    <s v="3003 - FirjanAtivo"/>
    <s v="---"/>
    <n v="116"/>
    <n v="8083779000168"/>
    <n v="608"/>
    <n v="177705106737541"/>
    <s v="(24) 98133-259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49"/>
    <s v="3003 - FirjanAtivo"/>
    <s v="---"/>
    <n v="117"/>
    <n v="8117661000103"/>
    <n v="609"/>
    <n v="177705106937561"/>
    <s v="(24) 99850-0155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17:51"/>
    <s v="3003 - FirjanAtivo"/>
    <s v="---"/>
    <n v="118"/>
    <n v="8144303000190"/>
    <n v="610"/>
    <n v="177705107137581"/>
    <s v="(21) 99989-160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52"/>
    <s v="3003 - FirjanAtivo"/>
    <s v="---"/>
    <n v="119"/>
    <n v="8174306000176"/>
    <n v="611"/>
    <n v="177705107237601"/>
    <s v="(21) 98636-641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54"/>
    <s v="3003 - FirjanAtivo"/>
    <s v="---"/>
    <n v="120"/>
    <n v="8226364000104"/>
    <n v="612"/>
    <n v="177705107437621"/>
    <s v="(24) 99855-131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56"/>
    <s v="3003 - FirjanAtivo"/>
    <s v="---"/>
    <n v="121"/>
    <n v="8311819000262"/>
    <n v="613"/>
    <n v="177705107637651"/>
    <s v="(24) 98122-949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56"/>
    <s v="3003 - FirjanAtivo"/>
    <s v="---"/>
    <n v="122"/>
    <n v="8518829000354"/>
    <n v="614"/>
    <n v="177705107637661"/>
    <s v="(21) 99188-746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7:57"/>
    <s v="3003 - FirjanAtivo"/>
    <s v="---"/>
    <n v="123"/>
    <n v="8537926000122"/>
    <n v="615"/>
    <n v="177705107737671"/>
    <s v="(21) 99635-8899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4:18:06"/>
    <s v="3003 - FirjanAtivo"/>
    <s v="---"/>
    <n v="124"/>
    <n v="8599024000110"/>
    <n v="616"/>
    <n v="177705108637691"/>
    <s v="(24) 98814-928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8:10"/>
    <s v="3003 - FirjanAtivo"/>
    <s v="6052-Marcia Lima Peixoto"/>
    <n v="125"/>
    <n v="8665134000133"/>
    <n v="617"/>
    <n v="177705109037711"/>
    <s v="(22) 99265-6123"/>
    <n v="3003"/>
    <s v="Discador"/>
    <s v="Atendido"/>
    <s v="Enviar E-mail"/>
    <s v="ACAOBP24042026v2"/>
    <s v="Agente"/>
    <n v="16"/>
    <m/>
    <m/>
    <d v="1899-12-30T00:02:49"/>
    <d v="1899-12-30T00:02:45"/>
    <n v="1"/>
    <x v="2"/>
  </r>
  <r>
    <d v="2026-04-24T14:18:11"/>
    <s v="3003 - FirjanAtivo"/>
    <s v="---"/>
    <n v="126"/>
    <n v="8764146000115"/>
    <n v="618"/>
    <n v="177705109137731"/>
    <s v="(21) 97113-1928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18:13"/>
    <s v="3003 - FirjanAtivo"/>
    <s v="---"/>
    <n v="127"/>
    <n v="8879331000155"/>
    <n v="619"/>
    <n v="177705109337751"/>
    <s v="(21) 99951-7659"/>
    <s v="Falha"/>
    <s v="Discador"/>
    <s v="Não Atendeu"/>
    <s v="Não Atendeu"/>
    <s v="ACAOBP24042026v2"/>
    <s v="--"/>
    <n v="34"/>
    <m/>
    <m/>
    <d v="1899-12-30T00:00:00"/>
    <s v="---"/>
    <s v=""/>
    <x v="2"/>
  </r>
  <r>
    <d v="2026-04-24T14:18:19"/>
    <s v="3003 - FirjanAtivo"/>
    <s v="---"/>
    <n v="128"/>
    <n v="8892204000196"/>
    <n v="620"/>
    <n v="177705109937771"/>
    <s v="(21) 99465-427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8:20"/>
    <s v="3003 - FirjanAtivo"/>
    <s v="---"/>
    <n v="129"/>
    <n v="8912389000153"/>
    <n v="621"/>
    <n v="177705110037781"/>
    <s v="(21) 99752-2322"/>
    <n v="3003"/>
    <s v="Discador"/>
    <s v="Atendido"/>
    <s v="Fora de Area / Cx de Mensagens"/>
    <s v="ACAOBP24042026v2"/>
    <s v="Cliente"/>
    <n v="131"/>
    <m/>
    <m/>
    <d v="1899-12-30T00:01:20"/>
    <s v="---"/>
    <s v=""/>
    <x v="2"/>
  </r>
  <r>
    <d v="2026-04-24T14:18:27"/>
    <s v="3003 - FirjanAtivo"/>
    <s v="---"/>
    <n v="130"/>
    <n v="8951936000100"/>
    <n v="622"/>
    <n v="177705110737811"/>
    <s v="(22) 99959-3764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4:18:32"/>
    <s v="3003 - FirjanAtivo"/>
    <s v="---"/>
    <n v="131"/>
    <n v="8973205000165"/>
    <n v="623"/>
    <n v="177705111237831"/>
    <s v="(24) 99860-523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8:37"/>
    <s v="3003 - FirjanAtivo"/>
    <s v="---"/>
    <n v="132"/>
    <n v="8996355000194"/>
    <n v="624"/>
    <n v="177705111737901"/>
    <s v="(21) 97990-031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8:39"/>
    <s v="3003 - FirjanAtivo"/>
    <s v="---"/>
    <n v="133"/>
    <n v="9082639000138"/>
    <n v="625"/>
    <n v="177705111937911"/>
    <s v="(22) 99824-939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8:43"/>
    <s v="3003 - FirjanAtivo"/>
    <s v="---"/>
    <n v="136"/>
    <n v="9232340000112"/>
    <n v="626"/>
    <n v="177705112337931"/>
    <s v="(24) 98881-0368"/>
    <n v="3003"/>
    <s v="Discador"/>
    <s v="Atendido"/>
    <s v="Fora de Area / Cx de Mensagens"/>
    <s v="ACAOBP24042026v2"/>
    <s v="--"/>
    <n v="128"/>
    <m/>
    <m/>
    <d v="1899-12-30T00:00:03"/>
    <s v="---"/>
    <s v=""/>
    <x v="2"/>
  </r>
  <r>
    <d v="2026-04-24T14:18:45"/>
    <s v="3003 - FirjanAtivo"/>
    <s v="---"/>
    <n v="137"/>
    <n v="9243828000145"/>
    <n v="627"/>
    <n v="177705112537941"/>
    <s v="(21) 98320-004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8:53"/>
    <s v="3003 - FirjanAtivo"/>
    <s v="---"/>
    <n v="139"/>
    <n v="9445964000118"/>
    <n v="628"/>
    <n v="177705113338021"/>
    <s v="(24) 99317-469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8:55"/>
    <s v="3003 - FirjanAtivo"/>
    <s v="---"/>
    <n v="140"/>
    <n v="9450692000144"/>
    <n v="629"/>
    <n v="177705113538061"/>
    <s v="(22) 99205-356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8:57"/>
    <s v="3003 - FirjanAtivo"/>
    <s v="---"/>
    <n v="141"/>
    <n v="9477090000180"/>
    <n v="630"/>
    <n v="177705113738071"/>
    <s v="(21) 98141-441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8:59"/>
    <s v="3003 - FirjanAtivo"/>
    <s v="---"/>
    <n v="142"/>
    <n v="9524235000157"/>
    <n v="631"/>
    <n v="177705113938111"/>
    <s v="(22) 98120-3199"/>
    <n v="3003"/>
    <s v="Discador"/>
    <s v="Atendido"/>
    <s v="Fora de Area / Cx de Mensagens"/>
    <s v="ACAOBP24042026v2"/>
    <s v="Cliente"/>
    <n v="131"/>
    <m/>
    <m/>
    <d v="1899-12-30T00:00:17"/>
    <s v="---"/>
    <s v=""/>
    <x v="2"/>
  </r>
  <r>
    <d v="2026-04-24T14:19:01"/>
    <s v="3003 - FirjanAtivo"/>
    <s v="---"/>
    <n v="143"/>
    <n v="10199619000120"/>
    <n v="632"/>
    <n v="177705114138121"/>
    <s v="(32) 98406-8132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19:09"/>
    <s v="3003 - FirjanAtivo"/>
    <s v="---"/>
    <n v="145"/>
    <n v="10320742000158"/>
    <n v="634"/>
    <n v="177705114938191"/>
    <s v="(21) 99819-6787"/>
    <n v="3003"/>
    <s v="Discador"/>
    <s v="Atendido"/>
    <s v="Fora de Area / Cx de Mensagens"/>
    <s v="ACAOBP24042026v2"/>
    <s v="--"/>
    <n v="131"/>
    <m/>
    <m/>
    <d v="1899-12-30T00:00:03"/>
    <s v="---"/>
    <s v=""/>
    <x v="2"/>
  </r>
  <r>
    <d v="2026-04-24T14:19:11"/>
    <s v="3003 - FirjanAtivo"/>
    <s v="---"/>
    <n v="146"/>
    <n v="10335794000106"/>
    <n v="635"/>
    <n v="177705115138211"/>
    <s v="(22) 99871-564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9:13"/>
    <s v="3003 - FirjanAtivo"/>
    <s v="---"/>
    <n v="147"/>
    <n v="10364002000113"/>
    <n v="636"/>
    <n v="177705115338231"/>
    <s v="(21) 99567-200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9:15"/>
    <s v="3003 - FirjanAtivo"/>
    <s v="---"/>
    <n v="148"/>
    <n v="10379649000119"/>
    <n v="637"/>
    <n v="177705115538241"/>
    <s v="(24) 99275-600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9:17"/>
    <s v="3003 - FirjanAtivo"/>
    <s v="---"/>
    <n v="149"/>
    <n v="10433504000159"/>
    <n v="638"/>
    <n v="177705115738251"/>
    <s v="(22) 98177-043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9:19"/>
    <s v="3003 - FirjanAtivo"/>
    <s v="---"/>
    <n v="150"/>
    <n v="10443491000107"/>
    <n v="639"/>
    <n v="177705115938261"/>
    <s v="(22) 98169-663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9:21"/>
    <s v="3003 - FirjanAtivo"/>
    <s v="---"/>
    <n v="151"/>
    <n v="10479198000191"/>
    <n v="640"/>
    <n v="177705116138271"/>
    <s v="(22) 98832-515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9:23"/>
    <s v="3003 - FirjanAtivo"/>
    <s v="---"/>
    <n v="152"/>
    <n v="10480153000137"/>
    <n v="641"/>
    <n v="177705116338291"/>
    <s v="(24) 99941-8760"/>
    <n v="3003"/>
    <s v="Discador"/>
    <s v="Atendido"/>
    <s v="Fora de Area / Cx de Mensagens"/>
    <s v="ACAOBP24042026v2"/>
    <s v="Cliente"/>
    <n v="131"/>
    <m/>
    <m/>
    <d v="1899-12-30T00:00:06"/>
    <s v="---"/>
    <s v=""/>
    <x v="2"/>
  </r>
  <r>
    <d v="2026-04-24T14:19:25"/>
    <s v="3003 - FirjanAtivo"/>
    <s v="---"/>
    <n v="153"/>
    <n v="10594727000106"/>
    <n v="642"/>
    <n v="177705116538301"/>
    <s v="(24) 98803-7230"/>
    <n v="3003"/>
    <s v="Discador"/>
    <s v="Atendido"/>
    <s v="Fora de Area / Cx de Mensagens"/>
    <s v="ACAOBP24042026v2"/>
    <s v="--"/>
    <n v="128"/>
    <m/>
    <m/>
    <d v="1899-12-30T00:00:04"/>
    <s v="---"/>
    <s v=""/>
    <x v="2"/>
  </r>
  <r>
    <d v="2026-04-24T14:19:27"/>
    <s v="3003 - FirjanAtivo"/>
    <s v="---"/>
    <n v="154"/>
    <n v="10737265000120"/>
    <n v="643"/>
    <n v="177705116738331"/>
    <s v="(22) 99212-8517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19:53"/>
    <s v="3003 - FirjanAtivo"/>
    <s v="---"/>
    <n v="155"/>
    <n v="10745721000184"/>
    <n v="644"/>
    <n v="177705119338461"/>
    <s v="(21) 98204-732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9:55"/>
    <s v="3003 - FirjanAtivo"/>
    <s v="---"/>
    <n v="156"/>
    <n v="10746169000149"/>
    <n v="645"/>
    <n v="177705119538471"/>
    <s v="(21) 98808-880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19:57"/>
    <s v="3003 - FirjanAtivo"/>
    <s v="---"/>
    <n v="157"/>
    <n v="10790942000174"/>
    <n v="646"/>
    <n v="177705119738481"/>
    <s v="(21) 96475-7007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4:19:59"/>
    <s v="3003 - FirjanAtivo"/>
    <s v="---"/>
    <n v="158"/>
    <n v="10888515000123"/>
    <n v="647"/>
    <n v="177705119938501"/>
    <s v="(21) 96496-726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0:01"/>
    <s v="3003 - FirjanAtivo"/>
    <s v="---"/>
    <n v="159"/>
    <n v="10984785000138"/>
    <n v="648"/>
    <n v="177705120138511"/>
    <s v="(21) 98474-319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0:03"/>
    <s v="3003 - FirjanAtivo"/>
    <s v="---"/>
    <n v="160"/>
    <n v="11013156000123"/>
    <n v="649"/>
    <n v="177705120338521"/>
    <s v="(22) 99261-976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0:05"/>
    <s v="3003 - FirjanAtivo"/>
    <s v="---"/>
    <n v="161"/>
    <n v="11117005000115"/>
    <n v="650"/>
    <n v="177705120538531"/>
    <s v="(24) 99303-915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0:07"/>
    <s v="3003 - FirjanAtivo"/>
    <s v="---"/>
    <n v="163"/>
    <n v="11360283000107"/>
    <n v="651"/>
    <n v="177705120738541"/>
    <s v="(21) 96448-2900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20:09"/>
    <s v="3003 - FirjanAtivo"/>
    <s v="---"/>
    <n v="164"/>
    <n v="11642542000184"/>
    <n v="652"/>
    <n v="177705120938551"/>
    <s v="(24) 99904-281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0:11"/>
    <s v="3003 - FirjanAtivo"/>
    <s v="---"/>
    <n v="165"/>
    <n v="11649203000120"/>
    <n v="653"/>
    <n v="177705121138571"/>
    <s v="(24) 99825-729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0:28"/>
    <s v="3003 - FirjanAtivo"/>
    <s v="---"/>
    <n v="166"/>
    <n v="11661920000177"/>
    <n v="654"/>
    <n v="177705122838711"/>
    <s v="(24) 99227-171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0:32"/>
    <s v="3003 - FirjanAtivo"/>
    <s v="---"/>
    <n v="167"/>
    <n v="11701732000125"/>
    <n v="655"/>
    <n v="177705123238731"/>
    <s v="(22) 99737-282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0:35"/>
    <s v="3003 - FirjanAtivo"/>
    <s v="---"/>
    <n v="168"/>
    <n v="11720659000139"/>
    <n v="656"/>
    <n v="177705123538751"/>
    <s v="(24) 98158-8077"/>
    <n v="3003"/>
    <s v="Discador"/>
    <s v="Atendido"/>
    <s v="Fora de Area / Cx de Mensagens"/>
    <s v="ACAOBP24042026v2"/>
    <s v="Cliente"/>
    <n v="131"/>
    <m/>
    <m/>
    <d v="1899-12-30T00:00:15"/>
    <s v="---"/>
    <s v=""/>
    <x v="2"/>
  </r>
  <r>
    <d v="2026-04-24T14:20:41"/>
    <s v="3003 - FirjanAtivo"/>
    <s v="---"/>
    <n v="169"/>
    <n v="11750615000151"/>
    <n v="657"/>
    <n v="177705124138771"/>
    <s v="(22) 98864-231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0:46"/>
    <s v="3003 - FirjanAtivo"/>
    <s v="---"/>
    <n v="170"/>
    <n v="12022419000123"/>
    <n v="658"/>
    <n v="177705124638791"/>
    <s v="(21) 99623-4556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21:01"/>
    <s v="3003 - FirjanAtivo"/>
    <s v="---"/>
    <n v="171"/>
    <n v="12072761000138"/>
    <n v="659"/>
    <n v="177705126138881"/>
    <s v="(24) 97102-4094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4:21:03"/>
    <s v="3003 - FirjanAtivo"/>
    <s v="---"/>
    <n v="173"/>
    <n v="12266091000190"/>
    <n v="660"/>
    <n v="177705126338891"/>
    <s v="(21) 98782-4932"/>
    <n v="3003"/>
    <s v="Discador"/>
    <s v="Atendido"/>
    <s v="Fora de Area / Cx de Mensagens"/>
    <s v="ACAOBP24042026v2"/>
    <s v="Cliente"/>
    <n v="131"/>
    <m/>
    <m/>
    <d v="1899-12-30T00:00:14"/>
    <s v="---"/>
    <s v=""/>
    <x v="2"/>
  </r>
  <r>
    <d v="2026-04-24T14:21:05"/>
    <s v="3003 - FirjanAtivo"/>
    <s v="---"/>
    <n v="174"/>
    <n v="12284895000112"/>
    <n v="661"/>
    <n v="177705126538911"/>
    <s v="(21) 99849-4691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21:07"/>
    <s v="3003 - FirjanAtivo"/>
    <s v="---"/>
    <n v="175"/>
    <n v="12573708000110"/>
    <n v="662"/>
    <n v="177705126738931"/>
    <s v="(21) 99642-704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1:09"/>
    <s v="3003 - FirjanAtivo"/>
    <s v="---"/>
    <n v="176"/>
    <n v="12584713000129"/>
    <n v="663"/>
    <n v="177705126938941"/>
    <s v="(21) 98168-002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2:20"/>
    <s v="3003 - FirjanAtivo"/>
    <s v="---"/>
    <n v="144"/>
    <n v="10312430000100"/>
    <n v="633"/>
    <n v="177705114338131"/>
    <s v="(24) 99839-8875"/>
    <n v="3003"/>
    <s v="Discador"/>
    <s v="Atendido"/>
    <s v="Fora de Area / Cx de Mensagens"/>
    <s v="ACAOBP24042026v2"/>
    <s v="Cliente"/>
    <n v="131"/>
    <m/>
    <m/>
    <d v="1899-12-30T00:03:04"/>
    <s v="---"/>
    <s v=""/>
    <x v="2"/>
  </r>
  <r>
    <d v="2026-04-24T14:22:37"/>
    <s v="3003 - FirjanAtivo"/>
    <s v="---"/>
    <n v="177"/>
    <n v="12710766000149"/>
    <n v="664"/>
    <n v="177705135739251"/>
    <s v="(22) 99253-850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2:37"/>
    <s v="3003 - FirjanAtivo"/>
    <s v="---"/>
    <n v="178"/>
    <n v="12959066000192"/>
    <n v="665"/>
    <n v="177705135739261"/>
    <s v="(21) 99513-2211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22:49"/>
    <s v="3003 - FirjanAtivo"/>
    <s v="---"/>
    <n v="179"/>
    <n v="12995318000139"/>
    <n v="666"/>
    <n v="177705136939281"/>
    <s v="(24) 98838-5385"/>
    <s v="Falha"/>
    <s v="Discador"/>
    <s v="Não Atendeu"/>
    <s v="Não Atendeu"/>
    <s v="ACAOBP24042026v2"/>
    <s v="--"/>
    <n v="21"/>
    <m/>
    <m/>
    <d v="1899-12-30T00:00:00"/>
    <s v="---"/>
    <s v=""/>
    <x v="2"/>
  </r>
  <r>
    <d v="2026-04-24T14:23:00"/>
    <s v="3003 - FirjanAtivo"/>
    <s v="---"/>
    <n v="180"/>
    <n v="13065020000192"/>
    <n v="667"/>
    <n v="177705138039361"/>
    <s v="(24) 99231-618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3:17"/>
    <s v="3003 - FirjanAtivo"/>
    <s v="---"/>
    <n v="181"/>
    <n v="13262186000107"/>
    <n v="668"/>
    <n v="177705139739381"/>
    <s v="(21) 99611-816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3:21"/>
    <s v="3003 - FirjanAtivo"/>
    <s v="---"/>
    <n v="183"/>
    <n v="13385694000174"/>
    <n v="669"/>
    <n v="177705140139391"/>
    <s v="(32) 99940-5619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23:29"/>
    <s v="3003 - FirjanAtivo"/>
    <s v="---"/>
    <n v="184"/>
    <n v="13410313000160"/>
    <n v="670"/>
    <n v="177705140939411"/>
    <s v="(21) 99259-5895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4:23:33"/>
    <s v="3003 - FirjanAtivo"/>
    <s v="---"/>
    <n v="187"/>
    <n v="13464960000154"/>
    <n v="671"/>
    <n v="177705141339431"/>
    <s v="(21) 98392-8488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23:54"/>
    <s v="3003 - FirjanAtivo"/>
    <s v="6052-Marcia Lima Peixoto"/>
    <n v="189"/>
    <n v="13721695000142"/>
    <n v="672"/>
    <n v="177705143439511"/>
    <s v="(21) 99243-2774"/>
    <n v="3003"/>
    <s v="Discador"/>
    <s v="Atendido"/>
    <s v="Enviar E-mail"/>
    <s v="ACAOBP24042026v2"/>
    <s v="Agente"/>
    <n v="16"/>
    <m/>
    <m/>
    <d v="1899-12-30T00:03:02"/>
    <d v="1899-12-30T00:02:58"/>
    <n v="1"/>
    <x v="2"/>
  </r>
  <r>
    <d v="2026-04-24T14:24:16"/>
    <s v="3003 - FirjanAtivo"/>
    <s v="---"/>
    <n v="190"/>
    <n v="13744177000144"/>
    <n v="673"/>
    <n v="177705145639541"/>
    <s v="(24) 98838-129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4:38"/>
    <s v="3003 - FirjanAtivo"/>
    <s v="---"/>
    <n v="192"/>
    <n v="14059527000104"/>
    <n v="674"/>
    <n v="177705147839561"/>
    <s v="(21) 96430-263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5:09"/>
    <s v="3003 - FirjanAtivo"/>
    <s v="---"/>
    <n v="193"/>
    <n v="14370573000111"/>
    <n v="675"/>
    <n v="177705150939631"/>
    <s v="(55) 22998-5655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4:25:09"/>
    <s v="3003 - FirjanAtivo"/>
    <s v="---"/>
    <n v="194"/>
    <n v="14440968000143"/>
    <n v="676"/>
    <n v="177705150939641"/>
    <s v="(22) 99881-291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5:26"/>
    <s v="3003 - FirjanAtivo"/>
    <s v="---"/>
    <n v="195"/>
    <n v="14450781000120"/>
    <n v="677"/>
    <n v="177705152639661"/>
    <s v="(24) 99999-2670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4:26:15"/>
    <s v="3003 - FirjanAtivo"/>
    <s v="---"/>
    <n v="196"/>
    <n v="14565807000186"/>
    <n v="678"/>
    <n v="177705157539671"/>
    <s v="(22) 99999-941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6:28"/>
    <s v="3003 - FirjanAtivo"/>
    <s v="---"/>
    <n v="197"/>
    <n v="14766966000149"/>
    <n v="679"/>
    <n v="177705158839691"/>
    <s v="(24) 99832-6585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27:07"/>
    <s v="3003 - FirjanAtivo"/>
    <s v="---"/>
    <n v="198"/>
    <n v="14811950000100"/>
    <n v="680"/>
    <n v="177705162739711"/>
    <s v="(24) 99300-371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27:09"/>
    <s v="3003 - FirjanAtivo"/>
    <s v="---"/>
    <n v="199"/>
    <n v="14965593000135"/>
    <n v="681"/>
    <n v="177705162939731"/>
    <s v="(21) 2782-1128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4:35:09"/>
    <s v="3003 - FirjanAtivo"/>
    <s v="---"/>
    <n v="202"/>
    <n v="16385008000153"/>
    <n v="683"/>
    <n v="177705210940361"/>
    <s v="(22) 98809-012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35:24"/>
    <s v="3003 - FirjanAtivo"/>
    <s v="---"/>
    <n v="203"/>
    <n v="16720728000128"/>
    <n v="684"/>
    <n v="177705212440381"/>
    <s v="(22) 99836-443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36:03"/>
    <s v="3003 - FirjanAtivo"/>
    <s v="---"/>
    <n v="204"/>
    <n v="16918406000198"/>
    <n v="685"/>
    <n v="177705216340541"/>
    <s v="(21) 98216-560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36:03"/>
    <s v="3003 - FirjanAtivo"/>
    <s v="---"/>
    <n v="205"/>
    <n v="16918406000198"/>
    <n v="686"/>
    <n v="177705216340551"/>
    <s v="(21) 98216-560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36:17"/>
    <s v="3003 - FirjanAtivo"/>
    <s v="---"/>
    <n v="206"/>
    <n v="16927109000109"/>
    <n v="687"/>
    <n v="177705217740751"/>
    <s v="(21) 99756-947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36:18"/>
    <s v="3003 - FirjanAtivo"/>
    <s v="---"/>
    <n v="207"/>
    <n v="16959774000184"/>
    <n v="688"/>
    <n v="177705217840771"/>
    <s v="(24) 97404-247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36:31"/>
    <s v="3003 - FirjanAtivo"/>
    <s v="---"/>
    <n v="208"/>
    <n v="17043182000180"/>
    <n v="689"/>
    <n v="177705219140851"/>
    <s v="(24) 99824-172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36:35"/>
    <s v="3003 - FirjanAtivo"/>
    <s v="---"/>
    <n v="209"/>
    <n v="17230906000103"/>
    <n v="690"/>
    <n v="177705219540871"/>
    <s v="(21) 98085-227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37:01"/>
    <s v="3003 - FirjanAtivo"/>
    <s v="---"/>
    <n v="210"/>
    <n v="17232038000192"/>
    <n v="691"/>
    <n v="177705222140961"/>
    <s v="(22) 99701-6593"/>
    <n v="3003"/>
    <s v="Discador"/>
    <s v="Atendido"/>
    <s v="Fora de Area / Cx de Mensagens"/>
    <s v="ACAOBP24042026v2"/>
    <s v="--"/>
    <n v="128"/>
    <m/>
    <m/>
    <d v="1899-12-30T00:00:05"/>
    <s v="---"/>
    <s v=""/>
    <x v="2"/>
  </r>
  <r>
    <d v="2026-04-24T14:37:01"/>
    <s v="3003 - FirjanAtivo"/>
    <s v="---"/>
    <n v="211"/>
    <n v="17404008000116"/>
    <n v="692"/>
    <n v="177705222140991"/>
    <s v="(21) 99998-759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37:10"/>
    <s v="3003 - FirjanAtivo"/>
    <s v="---"/>
    <n v="212"/>
    <n v="17446625000184"/>
    <n v="693"/>
    <n v="177705223041041"/>
    <s v="(22) 99841-142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37:13"/>
    <s v="3003 - FirjanAtivo"/>
    <s v="---"/>
    <n v="213"/>
    <n v="17845803000140"/>
    <n v="694"/>
    <n v="177705223341061"/>
    <s v="(24) 97402-305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37:27"/>
    <s v="3003 - FirjanAtivo"/>
    <s v="---"/>
    <n v="214"/>
    <n v="18341732000100"/>
    <n v="695"/>
    <n v="177705224741081"/>
    <s v="(24) 99228-2708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4:37:38"/>
    <s v="3003 - FirjanAtivo"/>
    <s v="---"/>
    <n v="215"/>
    <n v="18414594000142"/>
    <n v="696"/>
    <n v="177705225841101"/>
    <s v="(21) 99856-361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38:06"/>
    <s v="3003 - FirjanAtivo"/>
    <s v="---"/>
    <n v="216"/>
    <n v="18705825000177"/>
    <n v="697"/>
    <n v="177705228641161"/>
    <s v="(21) 99581-391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38:24"/>
    <s v="3003 - FirjanAtivo"/>
    <s v="---"/>
    <n v="217"/>
    <n v="18863657000148"/>
    <n v="698"/>
    <n v="177705230441231"/>
    <s v="(24) 99999-050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38:24"/>
    <s v="3003 - FirjanAtivo"/>
    <s v="---"/>
    <n v="218"/>
    <n v="18889258000156"/>
    <n v="699"/>
    <n v="177705230441241"/>
    <s v="(21) 96711-7352"/>
    <n v="3003"/>
    <s v="Discador"/>
    <s v="Atendido"/>
    <s v="Fora de Area / Cx de Mensagens"/>
    <s v="ACAOBP24042026v2"/>
    <s v="--"/>
    <n v="128"/>
    <m/>
    <m/>
    <d v="1899-12-30T00:00:04"/>
    <s v="---"/>
    <s v=""/>
    <x v="2"/>
  </r>
  <r>
    <d v="2026-04-24T14:38:32"/>
    <s v="3003 - FirjanAtivo"/>
    <s v="6052-Marcia Lima Peixoto"/>
    <n v="219"/>
    <n v="18977285000180"/>
    <n v="700"/>
    <n v="177705231241261"/>
    <s v="(21) 98187-0621"/>
    <n v="3003"/>
    <s v="Discador"/>
    <s v="Atendido"/>
    <s v="Enviar E-mail"/>
    <s v="ACAOBP24042026v2"/>
    <s v="Agente"/>
    <n v="16"/>
    <m/>
    <m/>
    <d v="1899-12-30T00:03:08"/>
    <d v="1899-12-30T00:03:03"/>
    <n v="1"/>
    <x v="2"/>
  </r>
  <r>
    <d v="2026-04-24T14:38:38"/>
    <s v="3003 - FirjanAtivo"/>
    <s v="---"/>
    <n v="220"/>
    <n v="19028175000135"/>
    <n v="701"/>
    <n v="177705231841311"/>
    <s v="(22) 99925-4022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4:38:54"/>
    <s v="3003 - FirjanAtivo"/>
    <s v="---"/>
    <n v="221"/>
    <n v="19047535000146"/>
    <n v="702"/>
    <n v="177705233441371"/>
    <s v="(22) 99964-1421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39:17"/>
    <s v="3003 - FirjanAtivo"/>
    <s v="---"/>
    <n v="222"/>
    <n v="19290323000195"/>
    <n v="703"/>
    <n v="177705235741531"/>
    <s v="(21) 96459-7496"/>
    <n v="3003"/>
    <s v="Discador"/>
    <s v="Atendido"/>
    <s v="Fora de Area / Cx de Mensagens"/>
    <s v="ACAOBP24042026v2"/>
    <s v="Cliente"/>
    <n v="131"/>
    <m/>
    <m/>
    <d v="1899-12-30T00:01:15"/>
    <s v="---"/>
    <s v=""/>
    <x v="2"/>
  </r>
  <r>
    <d v="2026-04-24T14:40:43"/>
    <s v="3003 - FirjanAtivo"/>
    <s v="6052-Marcia Lima Peixoto"/>
    <n v="223"/>
    <n v="19410510000165"/>
    <n v="704"/>
    <n v="177705244341691"/>
    <s v="(21) 98848-1808"/>
    <n v="3003"/>
    <s v="Discador"/>
    <s v="Atendido"/>
    <s v="Ligação Muda"/>
    <s v="ACAOBP24042026v2"/>
    <s v="Agente"/>
    <n v="16"/>
    <m/>
    <m/>
    <d v="1899-12-30T00:01:14"/>
    <d v="1899-12-30T00:00:13"/>
    <s v=""/>
    <x v="2"/>
  </r>
  <r>
    <d v="2026-04-24T14:41:45"/>
    <s v="3003 - FirjanAtivo"/>
    <s v="---"/>
    <n v="224"/>
    <n v="19420382000211"/>
    <n v="705"/>
    <n v="177705250541711"/>
    <s v="(24) 99968-302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42:02"/>
    <s v="3003 - FirjanAtivo"/>
    <s v="---"/>
    <n v="225"/>
    <n v="19454803000144"/>
    <n v="706"/>
    <n v="177705252241811"/>
    <s v="(21) 99797-6969"/>
    <n v="3003"/>
    <s v="Discador"/>
    <s v="Atendido"/>
    <s v="Fora de Area / Cx de Mensagens"/>
    <s v="ACAOBP24042026v2"/>
    <s v="Agente"/>
    <n v="131"/>
    <m/>
    <m/>
    <d v="1899-12-30T00:00:02"/>
    <s v="---"/>
    <s v=""/>
    <x v="2"/>
  </r>
  <r>
    <d v="2026-04-24T14:42:05"/>
    <s v="3003 - FirjanAtivo"/>
    <s v="---"/>
    <n v="226"/>
    <n v="19753199000157"/>
    <n v="707"/>
    <n v="177705252541861"/>
    <s v="(21) 96752-4211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47:15"/>
    <s v="3003 - FirjanAtivo"/>
    <s v="6052-Marcia Lima Peixoto"/>
    <n v="229"/>
    <n v="20045556000101"/>
    <n v="709"/>
    <n v="177705283542511"/>
    <s v="(22) 99940-4118"/>
    <n v="3003"/>
    <s v="Discador"/>
    <s v="Atendido"/>
    <s v="Enviar E-mail"/>
    <s v="ACAOBP24042026v2"/>
    <s v="Agente"/>
    <n v="16"/>
    <m/>
    <m/>
    <d v="1899-12-30T00:04:43"/>
    <d v="1899-12-30T00:04:38"/>
    <n v="1"/>
    <x v="2"/>
  </r>
  <r>
    <d v="2026-04-24T14:47:45"/>
    <s v="3003 - FirjanAtivo"/>
    <s v="---"/>
    <n v="230"/>
    <n v="20331303000102"/>
    <n v="710"/>
    <n v="177705286542631"/>
    <s v="(21) 99727-339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48:08"/>
    <s v="3003 - FirjanAtivo"/>
    <s v="---"/>
    <n v="231"/>
    <n v="20415965000152"/>
    <n v="711"/>
    <n v="177705288842651"/>
    <s v="(21) 98565-137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48:20"/>
    <s v="3003 - FirjanAtivo"/>
    <s v="---"/>
    <n v="232"/>
    <n v="20458968000173"/>
    <n v="712"/>
    <n v="177705290042671"/>
    <s v="(22) 99243-7328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4:49:10"/>
    <s v="3003 - FirjanAtivo"/>
    <s v="---"/>
    <n v="233"/>
    <n v="20458968000254"/>
    <n v="713"/>
    <n v="177705295042791"/>
    <s v="(22) 99243-7328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4:50:00"/>
    <s v="3003 - FirjanAtivo"/>
    <s v="---"/>
    <n v="235"/>
    <n v="20816553000124"/>
    <n v="714"/>
    <n v="177705300042961"/>
    <s v="(21) 99684-145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0:41"/>
    <s v="3003 - FirjanAtivo"/>
    <s v="---"/>
    <n v="236"/>
    <n v="20843735000194"/>
    <n v="715"/>
    <n v="177705304143091"/>
    <s v="(55) 11973-5599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4:50:41"/>
    <s v="3003 - FirjanAtivo"/>
    <s v="---"/>
    <n v="239"/>
    <n v="21104340000132"/>
    <n v="716"/>
    <n v="177705304143101"/>
    <s v="(21) 93137-8713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4:50:41"/>
    <s v="3003 - FirjanAtivo"/>
    <s v="---"/>
    <n v="240"/>
    <n v="21108715000132"/>
    <n v="717"/>
    <n v="177705304143111"/>
    <s v="(22) 99214-580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1:00"/>
    <s v="3003 - FirjanAtivo"/>
    <s v="---"/>
    <n v="241"/>
    <n v="21147409000105"/>
    <n v="718"/>
    <n v="177705306043171"/>
    <s v="(21) 98047-668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1:47"/>
    <s v="3003 - FirjanAtivo"/>
    <s v="---"/>
    <n v="242"/>
    <n v="21466995000150"/>
    <n v="719"/>
    <n v="177705310743251"/>
    <s v="(24) 99961-312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2:07"/>
    <s v="3003 - FirjanAtivo"/>
    <s v="---"/>
    <n v="243"/>
    <n v="21511926000111"/>
    <n v="720"/>
    <n v="177705312743331"/>
    <s v="(21) 98790-365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2:13"/>
    <s v="3003 - FirjanAtivo"/>
    <s v="---"/>
    <n v="245"/>
    <n v="21793457000170"/>
    <n v="721"/>
    <n v="177705313343351"/>
    <s v="(22) 99805-794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2:25"/>
    <s v="3003 - FirjanAtivo"/>
    <s v="---"/>
    <n v="247"/>
    <n v="21934634000191"/>
    <n v="722"/>
    <n v="177705314543371"/>
    <s v="(21) 99585-8360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52:26"/>
    <s v="3003 - FirjanAtivo"/>
    <s v="---"/>
    <n v="248"/>
    <n v="22122960000167"/>
    <n v="723"/>
    <n v="177705314643391"/>
    <s v="(21) 97428-368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2:39"/>
    <s v="3003 - FirjanAtivo"/>
    <s v="---"/>
    <n v="249"/>
    <n v="22213087000118"/>
    <n v="724"/>
    <n v="177705315943411"/>
    <s v="(21) 96466-098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2:49"/>
    <s v="3003 - FirjanAtivo"/>
    <s v="---"/>
    <n v="250"/>
    <n v="22506417000163"/>
    <n v="725"/>
    <n v="177705316943431"/>
    <s v="(21) 97601-686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3:00"/>
    <s v="3003 - FirjanAtivo"/>
    <s v="---"/>
    <n v="251"/>
    <n v="22526042000101"/>
    <n v="726"/>
    <n v="177705318043451"/>
    <s v="(22) 99223-061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3:02"/>
    <s v="3003 - FirjanAtivo"/>
    <s v="---"/>
    <n v="252"/>
    <n v="22843195000174"/>
    <n v="727"/>
    <n v="177705318243471"/>
    <s v="(21) 99830-030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3:45"/>
    <s v="3003 - FirjanAtivo"/>
    <s v="---"/>
    <n v="253"/>
    <n v="22964768000118"/>
    <n v="728"/>
    <n v="177705322543531"/>
    <s v="(21) 96409-311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3:46"/>
    <s v="3003 - FirjanAtivo"/>
    <s v="---"/>
    <n v="254"/>
    <n v="23054134000190"/>
    <n v="729"/>
    <n v="177705322643551"/>
    <s v="(22) 99857-4420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4:54:09"/>
    <s v="3003 - FirjanAtivo"/>
    <s v="---"/>
    <n v="255"/>
    <n v="23108884000106"/>
    <n v="730"/>
    <n v="177705324943691"/>
    <s v="(21) 99967-786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4:20"/>
    <s v="3003 - FirjanAtivo"/>
    <s v="---"/>
    <n v="256"/>
    <n v="23277156000110"/>
    <n v="731"/>
    <n v="177705326043721"/>
    <s v="(24) 98831-833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4:26"/>
    <s v="3003 - FirjanAtivo"/>
    <s v="---"/>
    <n v="257"/>
    <n v="23369611000107"/>
    <n v="732"/>
    <n v="177705326643741"/>
    <s v="(21) 99741-852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4:51"/>
    <s v="3003 - FirjanAtivo"/>
    <s v="---"/>
    <n v="258"/>
    <n v="23391798000145"/>
    <n v="733"/>
    <n v="177705329143821"/>
    <s v="(24) 99241-4636"/>
    <n v="3003"/>
    <s v="Discador"/>
    <s v="Atendido"/>
    <s v="Fora de Area / Cx de Mensagens"/>
    <s v="ACAOBP24042026v2"/>
    <s v="Agente"/>
    <n v="131"/>
    <m/>
    <m/>
    <d v="1899-12-30T00:00:04"/>
    <s v="---"/>
    <s v=""/>
    <x v="2"/>
  </r>
  <r>
    <d v="2026-04-24T14:59:37"/>
    <s v="3003 - FirjanAtivo"/>
    <s v="---"/>
    <n v="259"/>
    <n v="23628802000146"/>
    <n v="734"/>
    <n v="177705357743961"/>
    <s v="(21) 98048-109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9:37"/>
    <s v="3003 - FirjanAtivo"/>
    <s v="---"/>
    <n v="260"/>
    <n v="23836838000115"/>
    <n v="735"/>
    <n v="177705357743971"/>
    <s v="(24) 99909-708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9:48"/>
    <s v="3003 - FirjanAtivo"/>
    <s v="---"/>
    <n v="261"/>
    <n v="23884500000139"/>
    <n v="736"/>
    <n v="177705358843991"/>
    <s v="(24) 98824-151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4:59:52"/>
    <s v="3003 - FirjanAtivo"/>
    <s v="---"/>
    <n v="262"/>
    <n v="24021427000134"/>
    <n v="737"/>
    <n v="177705359244061"/>
    <s v="(21) 97272-875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0:31"/>
    <s v="3003 - FirjanAtivo"/>
    <s v="---"/>
    <n v="263"/>
    <n v="24265410000122"/>
    <n v="738"/>
    <n v="177705363144091"/>
    <s v="(21) 99860-230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0:36"/>
    <s v="3003 - FirjanAtivo"/>
    <s v="---"/>
    <n v="264"/>
    <n v="24323383000105"/>
    <n v="739"/>
    <n v="177705363644111"/>
    <s v="(24) 99996-001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0:47"/>
    <s v="3003 - FirjanAtivo"/>
    <s v="---"/>
    <n v="265"/>
    <n v="24373917000108"/>
    <n v="740"/>
    <n v="177705364744191"/>
    <s v="(24) 98152-001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1:06"/>
    <s v="3003 - FirjanAtivo"/>
    <s v="---"/>
    <n v="266"/>
    <n v="24415773000105"/>
    <n v="741"/>
    <n v="177705366644221"/>
    <s v="(24) 99940-069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1:20"/>
    <s v="3003 - FirjanAtivo"/>
    <s v="---"/>
    <n v="267"/>
    <n v="24569455000190"/>
    <n v="742"/>
    <n v="177705368044251"/>
    <s v="(21) 98627-3567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5:01:26"/>
    <s v="3003 - FirjanAtivo"/>
    <s v="---"/>
    <n v="268"/>
    <n v="24583913000146"/>
    <n v="743"/>
    <n v="177705368644271"/>
    <s v="(21) 96461-8814"/>
    <s v="Falha"/>
    <s v="Discador"/>
    <s v="Ocupado"/>
    <s v="Ocupado"/>
    <s v="ACAOBP24042026v2"/>
    <s v="--"/>
    <n v="17"/>
    <m/>
    <m/>
    <d v="1899-12-30T00:00:00"/>
    <s v="---"/>
    <s v=""/>
    <x v="2"/>
  </r>
  <r>
    <d v="2026-04-24T15:01:37"/>
    <s v="3003 - FirjanAtivo"/>
    <s v="---"/>
    <n v="269"/>
    <n v="25344452000111"/>
    <n v="744"/>
    <n v="177705369744341"/>
    <s v="(21) 97996-931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1:46"/>
    <s v="3003 - FirjanAtivo"/>
    <s v="---"/>
    <n v="270"/>
    <n v="25404835000138"/>
    <n v="745"/>
    <n v="177705370644361"/>
    <s v="(22) 99821-945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2:08"/>
    <s v="3003 - FirjanAtivo"/>
    <s v="---"/>
    <n v="271"/>
    <n v="25405605000193"/>
    <n v="746"/>
    <n v="177705372844381"/>
    <s v="(22) 99848-231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2:31"/>
    <s v="3003 - FirjanAtivo"/>
    <s v="---"/>
    <n v="272"/>
    <n v="26054449000126"/>
    <n v="747"/>
    <n v="177705375144401"/>
    <s v="(24) 98831-686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2:53"/>
    <s v="3003 - FirjanAtivo"/>
    <s v="---"/>
    <n v="273"/>
    <n v="26181076000154"/>
    <n v="748"/>
    <n v="177705377344421"/>
    <s v="(24) 98105-150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3:05"/>
    <s v="3003 - FirjanAtivo"/>
    <s v="---"/>
    <n v="274"/>
    <n v="26185307000106"/>
    <n v="749"/>
    <n v="177705378544441"/>
    <s v="(24) 99217-7731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5:03:17"/>
    <s v="3003 - FirjanAtivo"/>
    <s v="---"/>
    <n v="275"/>
    <n v="26252435000117"/>
    <n v="750"/>
    <n v="177705379744461"/>
    <s v="(22) 98181-767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3:32"/>
    <s v="3003 - FirjanAtivo"/>
    <s v="---"/>
    <n v="276"/>
    <n v="26295622000188"/>
    <n v="751"/>
    <n v="177705381244481"/>
    <s v="(22) 99773-7282"/>
    <n v="3003"/>
    <s v="Discador"/>
    <s v="Atendido"/>
    <s v="Fora de Area / Cx de Mensagens"/>
    <s v="ACAOBP24042026v2"/>
    <s v="--"/>
    <n v="128"/>
    <m/>
    <m/>
    <d v="1899-12-30T00:00:04"/>
    <s v="---"/>
    <s v=""/>
    <x v="2"/>
  </r>
  <r>
    <d v="2026-04-24T15:03:40"/>
    <s v="3003 - FirjanAtivo"/>
    <s v="---"/>
    <n v="277"/>
    <n v="26344541000120"/>
    <n v="752"/>
    <n v="177705382044561"/>
    <s v="(21) 99523-1064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5:03:50"/>
    <s v="3003 - FirjanAtivo"/>
    <s v="---"/>
    <n v="278"/>
    <n v="26350061000172"/>
    <n v="753"/>
    <n v="177705383044581"/>
    <s v="(22) 99720-7021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04:12"/>
    <s v="3003 - FirjanAtivo"/>
    <s v="---"/>
    <n v="279"/>
    <n v="26401298000135"/>
    <n v="754"/>
    <n v="177705385244641"/>
    <s v="(21) 99649-785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4:29"/>
    <s v="3003 - FirjanAtivo"/>
    <s v="---"/>
    <n v="280"/>
    <n v="26419801000180"/>
    <n v="755"/>
    <n v="177705386944691"/>
    <s v="(24) 99832-658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4:59"/>
    <s v="3003 - FirjanAtivo"/>
    <s v="---"/>
    <n v="281"/>
    <n v="26596537000150"/>
    <n v="756"/>
    <n v="177705389944771"/>
    <s v="(22) 99727-642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5:13"/>
    <s v="3003 - FirjanAtivo"/>
    <s v="---"/>
    <n v="282"/>
    <n v="26753972000140"/>
    <n v="757"/>
    <n v="177705391344911"/>
    <s v="(21) 19829-6975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5:05:13"/>
    <s v="3003 - FirjanAtivo"/>
    <s v="---"/>
    <n v="283"/>
    <n v="26789035000145"/>
    <n v="758"/>
    <n v="177705391344921"/>
    <s v="(21) 99726-298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5:16"/>
    <s v="3003 - FirjanAtivo"/>
    <s v="---"/>
    <n v="285"/>
    <n v="26960926000112"/>
    <n v="759"/>
    <n v="177705391644941"/>
    <s v="(24) 99965-739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5:36"/>
    <s v="3003 - FirjanAtivo"/>
    <s v="---"/>
    <n v="286"/>
    <n v="26990729000146"/>
    <n v="760"/>
    <n v="177705393644971"/>
    <s v="(22) 99905-432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5:58"/>
    <s v="3003 - FirjanAtivo"/>
    <s v="---"/>
    <n v="287"/>
    <n v="27015155000158"/>
    <n v="761"/>
    <n v="177705395844991"/>
    <s v="(21) 99222-400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6:01"/>
    <s v="3003 - FirjanAtivo"/>
    <s v="---"/>
    <n v="288"/>
    <n v="27037167000183"/>
    <n v="762"/>
    <n v="177705396145011"/>
    <s v="(21) 96416-6361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5:06:14"/>
    <s v="3003 - FirjanAtivo"/>
    <s v="---"/>
    <n v="289"/>
    <n v="27179316000149"/>
    <n v="763"/>
    <n v="177705397445031"/>
    <s v="(24) 97402-5814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06:28"/>
    <s v="3003 - FirjanAtivo"/>
    <s v="---"/>
    <n v="290"/>
    <n v="27316226000152"/>
    <n v="764"/>
    <n v="177705398845131"/>
    <s v="(21) 99297-218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6:39"/>
    <s v="3003 - FirjanAtivo"/>
    <s v="---"/>
    <n v="291"/>
    <n v="27379033000140"/>
    <n v="765"/>
    <n v="177705399945151"/>
    <s v="(21) 98241-6981"/>
    <s v="Falha"/>
    <s v="Discador"/>
    <s v="Ocupado"/>
    <s v="Ocupado"/>
    <s v="ACAOBP24042026v2"/>
    <s v="--"/>
    <n v="17"/>
    <m/>
    <m/>
    <d v="1899-12-30T00:00:00"/>
    <s v="---"/>
    <s v=""/>
    <x v="2"/>
  </r>
  <r>
    <d v="2026-04-24T15:06:46"/>
    <s v="3003 - FirjanAtivo"/>
    <s v="---"/>
    <n v="292"/>
    <n v="27439229000183"/>
    <n v="766"/>
    <n v="177705400645161"/>
    <s v="(21) 97428-368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6:47"/>
    <s v="3003 - FirjanAtivo"/>
    <s v="---"/>
    <n v="293"/>
    <n v="27559945000102"/>
    <n v="767"/>
    <n v="177705400745181"/>
    <s v="(22) 99265-340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6:58"/>
    <s v="3003 - FirjanAtivo"/>
    <s v="---"/>
    <n v="294"/>
    <n v="27813377000116"/>
    <n v="768"/>
    <n v="177705401845201"/>
    <s v="(21) 96468-135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7:14"/>
    <s v="3003 - FirjanAtivo"/>
    <s v="---"/>
    <n v="295"/>
    <n v="27931047000125"/>
    <n v="769"/>
    <n v="177705403445221"/>
    <s v="(22) 99744-0953"/>
    <n v="3003"/>
    <s v="Discador"/>
    <s v="Atendido"/>
    <s v="Fora de Area / Cx de Mensagens"/>
    <s v="ACAOBP24042026v2"/>
    <s v="--"/>
    <n v="128"/>
    <m/>
    <m/>
    <d v="1899-12-30T00:00:04"/>
    <s v="---"/>
    <s v=""/>
    <x v="2"/>
  </r>
  <r>
    <d v="2026-04-24T15:07:24"/>
    <s v="3003 - FirjanAtivo"/>
    <s v="---"/>
    <n v="297"/>
    <n v="28047678000149"/>
    <n v="770"/>
    <n v="177705404445241"/>
    <s v="(24) 99935-3145"/>
    <n v="3003"/>
    <s v="Discador"/>
    <s v="Atendido"/>
    <s v="Fora de Area / Cx de Mensagens"/>
    <s v="ACAOBP24042026v2"/>
    <s v="--"/>
    <n v="131"/>
    <m/>
    <m/>
    <d v="1899-12-30T00:00:02"/>
    <s v="---"/>
    <s v=""/>
    <x v="2"/>
  </r>
  <r>
    <d v="2026-04-24T15:07:32"/>
    <s v="3003 - FirjanAtivo"/>
    <s v="---"/>
    <n v="298"/>
    <n v="28093477000188"/>
    <n v="771"/>
    <n v="177705405245261"/>
    <s v="(24) 99219-255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7:44"/>
    <s v="3003 - FirjanAtivo"/>
    <s v="---"/>
    <n v="299"/>
    <n v="28113645000150"/>
    <n v="772"/>
    <n v="177705406445281"/>
    <s v="(21) 99649-281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7:53"/>
    <s v="3003 - FirjanAtivo"/>
    <s v="---"/>
    <n v="300"/>
    <n v="28483585000167"/>
    <n v="773"/>
    <n v="177705407345301"/>
    <s v="(21) 97021-2590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5:08:33"/>
    <s v="3003 - FirjanAtivo"/>
    <s v="---"/>
    <n v="301"/>
    <n v="28566081000100"/>
    <n v="774"/>
    <n v="177705411345381"/>
    <s v="(24) 98818-043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8:40"/>
    <s v="3003 - FirjanAtivo"/>
    <s v="---"/>
    <n v="302"/>
    <n v="28584852000192"/>
    <n v="775"/>
    <n v="177705412045391"/>
    <s v="(21) 96467-655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8:44"/>
    <s v="3003 - FirjanAtivo"/>
    <s v="---"/>
    <n v="303"/>
    <n v="28605533000116"/>
    <n v="776"/>
    <n v="177705412445411"/>
    <s v="(22) 99769-101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8:56"/>
    <s v="3003 - FirjanAtivo"/>
    <s v="---"/>
    <n v="304"/>
    <n v="28673609000140"/>
    <n v="777"/>
    <n v="177705413645501"/>
    <s v="(21) 98273-948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9:02"/>
    <s v="3003 - FirjanAtivo"/>
    <s v="---"/>
    <n v="305"/>
    <n v="28679579000180"/>
    <n v="778"/>
    <n v="177705414245521"/>
    <s v="(24) 99856-6729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09:13"/>
    <s v="3003 - FirjanAtivo"/>
    <s v="6052-Marcia Lima Peixoto"/>
    <n v="306"/>
    <n v="28757458000109"/>
    <n v="779"/>
    <n v="177705415345541"/>
    <s v="(21) 99755-4649"/>
    <n v="3003"/>
    <s v="Discador"/>
    <s v="Atendido"/>
    <s v="Ligação Muda"/>
    <s v="ACAOBP24042026v2"/>
    <s v="Cliente"/>
    <n v="16"/>
    <m/>
    <m/>
    <d v="1899-12-30T00:00:04"/>
    <s v="---"/>
    <s v=""/>
    <x v="2"/>
  </r>
  <r>
    <d v="2026-04-24T15:09:26"/>
    <s v="3003 - FirjanAtivo"/>
    <s v="---"/>
    <n v="307"/>
    <n v="28774621000141"/>
    <n v="780"/>
    <n v="177705416645571"/>
    <s v="(21) 98857-3664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5:09:27"/>
    <s v="3003 - FirjanAtivo"/>
    <s v="---"/>
    <n v="308"/>
    <n v="28801829000102"/>
    <n v="781"/>
    <n v="177705416745591"/>
    <s v="(22) 99820-773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9:38"/>
    <s v="3003 - FirjanAtivo"/>
    <s v="---"/>
    <n v="309"/>
    <n v="28804490000106"/>
    <n v="782"/>
    <n v="177705417845611"/>
    <s v="(24) 99257-759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09:57"/>
    <s v="3003 - FirjanAtivo"/>
    <s v="---"/>
    <n v="310"/>
    <n v="28818441000114"/>
    <n v="783"/>
    <n v="177705419745691"/>
    <s v="(21) 98151-1929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10:11"/>
    <s v="3003 - FirjanAtivo"/>
    <s v="---"/>
    <n v="311"/>
    <n v="28839589000135"/>
    <n v="784"/>
    <n v="177705421145711"/>
    <s v="(21) 98152-377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10:18"/>
    <s v="3003 - FirjanAtivo"/>
    <s v="---"/>
    <n v="312"/>
    <n v="28886281000140"/>
    <n v="785"/>
    <n v="177705421845761"/>
    <s v="(22) 99953-802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10:47"/>
    <s v="3003 - FirjanAtivo"/>
    <s v="---"/>
    <n v="313"/>
    <n v="28889028000140"/>
    <n v="786"/>
    <n v="177705424745851"/>
    <s v="(21) 98157-428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11:01"/>
    <s v="3003 - FirjanAtivo"/>
    <s v="---"/>
    <n v="314"/>
    <n v="29203700000165"/>
    <n v="787"/>
    <n v="177705426145931"/>
    <s v="(21) 99808-475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11:07"/>
    <s v="3003 - FirjanAtivo"/>
    <s v="---"/>
    <n v="315"/>
    <n v="29230335000188"/>
    <n v="788"/>
    <n v="177705426745951"/>
    <s v="(21) 97123-214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11:16"/>
    <s v="3003 - FirjanAtivo"/>
    <s v="---"/>
    <n v="317"/>
    <n v="29278280000186"/>
    <n v="789"/>
    <n v="177705427645971"/>
    <s v="(22) 98179-0794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5:11:33"/>
    <s v="3003 - FirjanAtivo"/>
    <s v="---"/>
    <n v="318"/>
    <n v="29313890000173"/>
    <n v="790"/>
    <n v="177705429346061"/>
    <s v="(55) 21989-9831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5:11:59"/>
    <s v="3003 - FirjanAtivo"/>
    <s v="---"/>
    <n v="322"/>
    <n v="29549276000105"/>
    <n v="791"/>
    <n v="177705431946251"/>
    <s v="(21) 99800-9367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12:04"/>
    <s v="3003 - FirjanAtivo"/>
    <s v="---"/>
    <n v="325"/>
    <n v="29654365000111"/>
    <n v="792"/>
    <n v="177705432446271"/>
    <s v="(21) 96411-300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12:20"/>
    <s v="3003 - FirjanAtivo"/>
    <s v="---"/>
    <n v="326"/>
    <n v="29688710000138"/>
    <n v="793"/>
    <n v="177705434046291"/>
    <s v="(22) 99844-3236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12:42"/>
    <s v="3003 - FirjanAtivo"/>
    <s v="---"/>
    <n v="327"/>
    <n v="29732268000108"/>
    <n v="794"/>
    <n v="177705436246311"/>
    <s v="(22) 98141-8451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5:13:04"/>
    <s v="3003 - FirjanAtivo"/>
    <s v="---"/>
    <n v="328"/>
    <n v="29762098000104"/>
    <n v="795"/>
    <n v="177705438446331"/>
    <s v="(24) 99284-4720"/>
    <s v="Falha"/>
    <s v="Discador"/>
    <s v="Não Atendeu"/>
    <s v="Não Atendeu"/>
    <s v="ACAOBP24042026v2"/>
    <s v="--"/>
    <n v="34"/>
    <m/>
    <m/>
    <d v="1899-12-30T00:00:00"/>
    <s v="---"/>
    <s v=""/>
    <x v="2"/>
  </r>
  <r>
    <d v="2026-04-24T15:13:31"/>
    <s v="3003 - FirjanAtivo"/>
    <s v="---"/>
    <n v="329"/>
    <n v="29763215000146"/>
    <n v="796"/>
    <n v="177705441146411"/>
    <s v="(21) 97956-0542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13:48"/>
    <s v="3003 - FirjanAtivo"/>
    <s v="---"/>
    <n v="330"/>
    <n v="29804549000110"/>
    <n v="797"/>
    <n v="177705442846421"/>
    <s v="(24) 99263-778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14:01"/>
    <s v="3003 - FirjanAtivo"/>
    <s v="---"/>
    <n v="331"/>
    <n v="29971512000187"/>
    <n v="798"/>
    <n v="177705444146501"/>
    <s v="(21) 98400-597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14:03"/>
    <s v="3003 - FirjanAtivo"/>
    <s v="---"/>
    <n v="332"/>
    <n v="29976990000180"/>
    <n v="799"/>
    <n v="177705444346541"/>
    <s v="(21) 99211-268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14:18"/>
    <s v="3003 - FirjanAtivo"/>
    <s v="---"/>
    <n v="333"/>
    <n v="30116263000121"/>
    <n v="800"/>
    <n v="177705445846581"/>
    <s v="(21) 99191-0844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5:14:18"/>
    <s v="3003 - FirjanAtivo"/>
    <s v="---"/>
    <n v="334"/>
    <n v="30162531000141"/>
    <n v="801"/>
    <n v="177705445846601"/>
    <s v="(21) 99362-968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15:02"/>
    <s v="3003 - FirjanAtivo"/>
    <s v="---"/>
    <n v="335"/>
    <n v="30165203000107"/>
    <n v="802"/>
    <n v="177705450246621"/>
    <s v="(24) 98802-434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15:20"/>
    <s v="3003 - FirjanAtivo"/>
    <s v="---"/>
    <n v="336"/>
    <n v="30168759000149"/>
    <n v="803"/>
    <n v="177705452046681"/>
    <s v="(24) 99713-0782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5:15:21"/>
    <s v="3003 - FirjanAtivo"/>
    <s v="---"/>
    <n v="337"/>
    <n v="30182814000155"/>
    <n v="804"/>
    <n v="177705452146691"/>
    <s v="(21) 97256-670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15:27"/>
    <s v="3003 - FirjanAtivo"/>
    <s v="6052-Marcia Lima Peixoto"/>
    <n v="338"/>
    <n v="30220686000197"/>
    <n v="805"/>
    <n v="177705452746721"/>
    <s v="(22) 98831-3477"/>
    <n v="3003"/>
    <s v="Discador"/>
    <s v="Atendido"/>
    <s v="Ligação Muda"/>
    <s v="ACAOBP24042026v2"/>
    <s v="Agente"/>
    <n v="16"/>
    <m/>
    <m/>
    <d v="1899-12-30T00:00:26"/>
    <d v="1899-12-30T00:00:24"/>
    <s v=""/>
    <x v="2"/>
  </r>
  <r>
    <d v="2026-04-24T15:15:36"/>
    <s v="3003 - FirjanAtivo"/>
    <s v="---"/>
    <n v="340"/>
    <n v="30301105000141"/>
    <n v="806"/>
    <n v="177705453646781"/>
    <s v="(21) 96805-4651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15:52"/>
    <s v="3003 - FirjanAtivo"/>
    <s v="---"/>
    <n v="342"/>
    <n v="30540991000166"/>
    <n v="807"/>
    <n v="177705455246861"/>
    <s v="(22) 99277-290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16:02"/>
    <s v="3003 - FirjanAtivo"/>
    <s v="---"/>
    <n v="343"/>
    <n v="30546429000140"/>
    <n v="808"/>
    <n v="177705456246881"/>
    <s v="(21) 98109-838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16:18"/>
    <s v="3003 - FirjanAtivo"/>
    <s v="---"/>
    <n v="344"/>
    <n v="30548467000131"/>
    <n v="809"/>
    <n v="177705457847011"/>
    <s v="(55) 21982-8266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5:16:32"/>
    <s v="3003 - FirjanAtivo"/>
    <s v="---"/>
    <n v="345"/>
    <n v="30603615000173"/>
    <n v="810"/>
    <n v="177705459247091"/>
    <s v="(21) 96635-623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16:49"/>
    <s v="3003 - FirjanAtivo"/>
    <s v="---"/>
    <n v="346"/>
    <n v="30704910000116"/>
    <n v="811"/>
    <n v="177705460947171"/>
    <s v="(21) 98331-790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16:49"/>
    <s v="3003 - FirjanAtivo"/>
    <s v="---"/>
    <n v="347"/>
    <n v="30780625000184"/>
    <n v="812"/>
    <n v="177705460947181"/>
    <s v="(21) 99245-6513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17:01"/>
    <s v="3003 - FirjanAtivo"/>
    <s v="---"/>
    <n v="348"/>
    <n v="30828743000115"/>
    <n v="813"/>
    <n v="177705462147221"/>
    <s v="(21) 99880-596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17:08"/>
    <s v="3003 - FirjanAtivo"/>
    <s v="---"/>
    <n v="349"/>
    <n v="30905379000140"/>
    <n v="814"/>
    <n v="177705462847241"/>
    <s v="(24) 98881-171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27:21"/>
    <s v="3003 - FirjanAtivo"/>
    <s v="---"/>
    <n v="350"/>
    <n v="31084270000151"/>
    <n v="815"/>
    <n v="177705524148501"/>
    <s v="(21) 97046-396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27:21"/>
    <s v="3003 - FirjanAtivo"/>
    <s v="---"/>
    <n v="351"/>
    <n v="31086168000195"/>
    <n v="816"/>
    <n v="177705524148511"/>
    <s v="(22) 99493-5166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5:27:22"/>
    <s v="3003 - FirjanAtivo"/>
    <s v="---"/>
    <n v="352"/>
    <n v="31131246000126"/>
    <n v="817"/>
    <n v="177705524248521"/>
    <s v="(24) 98846-451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27:38"/>
    <s v="3003 - FirjanAtivo"/>
    <s v="---"/>
    <n v="353"/>
    <n v="31131998000197"/>
    <n v="818"/>
    <n v="177705525848541"/>
    <s v="(21) 99911-891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28:04"/>
    <s v="3003 - FirjanAtivo"/>
    <s v="---"/>
    <n v="354"/>
    <n v="31142292000120"/>
    <n v="819"/>
    <n v="177705528448621"/>
    <s v="(21) 99678-282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28:08"/>
    <s v="3003 - FirjanAtivo"/>
    <s v="---"/>
    <n v="355"/>
    <n v="31142572000139"/>
    <n v="820"/>
    <n v="177705528848651"/>
    <s v="(21) 99851-082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28:36"/>
    <s v="3003 - FirjanAtivo"/>
    <s v="---"/>
    <n v="356"/>
    <n v="31301737000178"/>
    <n v="821"/>
    <n v="177705531648731"/>
    <s v="(21) 98133-471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28:56"/>
    <s v="3003 - FirjanAtivo"/>
    <s v="---"/>
    <n v="357"/>
    <n v="31307787000162"/>
    <n v="822"/>
    <n v="177705533648751"/>
    <s v="(22) 99981-313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29:08"/>
    <s v="3003 - FirjanAtivo"/>
    <s v="---"/>
    <n v="358"/>
    <n v="31396511000106"/>
    <n v="823"/>
    <n v="177705534848771"/>
    <s v="(21) 98149-983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29:24"/>
    <s v="3003 - FirjanAtivo"/>
    <s v="---"/>
    <n v="359"/>
    <n v="31441165000122"/>
    <n v="824"/>
    <n v="177705536448791"/>
    <s v="(22) 99231-836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29:29"/>
    <s v="3003 - FirjanAtivo"/>
    <s v="---"/>
    <n v="361"/>
    <n v="31591969000108"/>
    <n v="825"/>
    <n v="177705536948811"/>
    <s v="(21) 97597-816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29:43"/>
    <s v="3003 - FirjanAtivo"/>
    <s v="---"/>
    <n v="362"/>
    <n v="31627306000104"/>
    <n v="826"/>
    <n v="177705538348911"/>
    <s v="(22) 99758-989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29:51"/>
    <s v="3003 - FirjanAtivo"/>
    <s v="---"/>
    <n v="364"/>
    <n v="31669377000161"/>
    <n v="827"/>
    <n v="177705539148931"/>
    <s v="(55) 21268-7696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5:29:52"/>
    <s v="3003 - FirjanAtivo"/>
    <s v="---"/>
    <n v="365"/>
    <n v="31865488000143"/>
    <n v="828"/>
    <n v="177705539248941"/>
    <s v="(21) 99959-656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29:53"/>
    <s v="3003 - FirjanAtivo"/>
    <s v="---"/>
    <n v="366"/>
    <n v="31967201000196"/>
    <n v="829"/>
    <n v="177705539348961"/>
    <s v="(24) 98142-530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0:07"/>
    <s v="3003 - FirjanAtivo"/>
    <s v="---"/>
    <n v="367"/>
    <n v="31969017000185"/>
    <n v="830"/>
    <n v="177705540749001"/>
    <s v="(24) 99983-297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0:13"/>
    <s v="3003 - FirjanAtivo"/>
    <s v="---"/>
    <n v="368"/>
    <n v="32020943000172"/>
    <n v="831"/>
    <n v="177705541349031"/>
    <s v="(21) 97172-544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0:30"/>
    <s v="3003 - FirjanAtivo"/>
    <s v="---"/>
    <n v="370"/>
    <n v="32256448000167"/>
    <n v="833"/>
    <n v="177705543049081"/>
    <s v="(21) 96756-026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0:50"/>
    <s v="3003 - FirjanAtivo"/>
    <s v="---"/>
    <n v="369"/>
    <n v="32121837000185"/>
    <n v="832"/>
    <n v="177705541949051"/>
    <s v="(21) 97972-1348"/>
    <n v="3003"/>
    <s v="Discador"/>
    <s v="Atendido"/>
    <s v="Fora de Area / Cx de Mensagens"/>
    <s v="ACAOBP24042026v2"/>
    <s v="Cliente"/>
    <n v="131"/>
    <m/>
    <m/>
    <d v="1899-12-30T00:00:27"/>
    <s v="---"/>
    <s v=""/>
    <x v="2"/>
  </r>
  <r>
    <d v="2026-04-24T15:30:57"/>
    <s v="3003 - FirjanAtivo"/>
    <s v="---"/>
    <n v="371"/>
    <n v="32258196000105"/>
    <n v="834"/>
    <n v="177705545749141"/>
    <s v="(21) 99443-717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0:58"/>
    <s v="3003 - FirjanAtivo"/>
    <s v="---"/>
    <n v="372"/>
    <n v="32303404000140"/>
    <n v="835"/>
    <n v="177705545849161"/>
    <s v="(21) 99685-444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1:07"/>
    <s v="3003 - FirjanAtivo"/>
    <s v="---"/>
    <n v="373"/>
    <n v="32333337000107"/>
    <n v="836"/>
    <n v="177705546749181"/>
    <s v="(22) 99983-1403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31:43"/>
    <s v="3003 - FirjanAtivo"/>
    <s v="---"/>
    <n v="374"/>
    <n v="32514234000143"/>
    <n v="837"/>
    <n v="177705550349201"/>
    <s v="(24) 98806-600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1:51"/>
    <s v="3003 - FirjanAtivo"/>
    <s v="---"/>
    <n v="375"/>
    <n v="32579807000117"/>
    <n v="838"/>
    <n v="177705551149221"/>
    <s v="(22) 99978-1381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31:58"/>
    <s v="3003 - FirjanAtivo"/>
    <s v="---"/>
    <n v="376"/>
    <n v="32599342000166"/>
    <n v="839"/>
    <n v="177705551849241"/>
    <s v="(22) 99989-2597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32:13"/>
    <s v="3003 - FirjanAtivo"/>
    <s v="---"/>
    <n v="377"/>
    <n v="32956821000192"/>
    <n v="840"/>
    <n v="177705553349261"/>
    <s v="(24) 99216-777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2:31"/>
    <s v="3003 - FirjanAtivo"/>
    <s v="---"/>
    <n v="378"/>
    <n v="32968396000151"/>
    <n v="841"/>
    <n v="177705555149281"/>
    <s v="(21) 98323-903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2:34"/>
    <s v="3003 - FirjanAtivo"/>
    <s v="---"/>
    <n v="379"/>
    <n v="33045782000134"/>
    <n v="842"/>
    <n v="177705555449351"/>
    <s v="(21) 98864-250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2:47"/>
    <s v="3003 - FirjanAtivo"/>
    <s v="6052-Marcia Lima Peixoto"/>
    <n v="380"/>
    <n v="33117243000163"/>
    <n v="843"/>
    <n v="177705556749451"/>
    <s v="(21) 99220-8286"/>
    <n v="3003"/>
    <s v="Discador"/>
    <s v="Atendido"/>
    <s v="Não tem interesse"/>
    <s v="ACAOBP24042026v2"/>
    <s v="Cliente"/>
    <n v="16"/>
    <m/>
    <m/>
    <d v="1899-12-30T00:03:22"/>
    <d v="1899-12-30T00:03:17"/>
    <s v=""/>
    <x v="2"/>
  </r>
  <r>
    <d v="2026-04-24T15:32:47"/>
    <s v="3003 - FirjanAtivo"/>
    <s v="---"/>
    <n v="381"/>
    <n v="33208034000125"/>
    <n v="844"/>
    <n v="177705556749461"/>
    <s v="(21) 98834-2617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5:33:05"/>
    <s v="3003 - FirjanAtivo"/>
    <s v="---"/>
    <n v="382"/>
    <n v="33208174000101"/>
    <n v="845"/>
    <n v="177705558549561"/>
    <s v="(21) 98584-827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3:37"/>
    <s v="3003 - FirjanAtivo"/>
    <s v="---"/>
    <n v="383"/>
    <n v="33242199000113"/>
    <n v="846"/>
    <n v="177705561749591"/>
    <s v="(21) 98757-2010"/>
    <s v="Falha"/>
    <s v="Discador"/>
    <s v="Ocupado"/>
    <s v="Ocupado"/>
    <s v="ACAOBP24042026v2"/>
    <s v="--"/>
    <n v="17"/>
    <m/>
    <m/>
    <d v="1899-12-30T00:00:00"/>
    <s v="---"/>
    <s v=""/>
    <x v="2"/>
  </r>
  <r>
    <d v="2026-04-24T15:33:42"/>
    <s v="3003 - FirjanAtivo"/>
    <s v="---"/>
    <n v="385"/>
    <n v="33472846000183"/>
    <n v="847"/>
    <n v="177705562249601"/>
    <s v="(21) 96547-3391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5:34:32"/>
    <s v="3003 - FirjanAtivo"/>
    <s v="---"/>
    <n v="386"/>
    <n v="33524117000123"/>
    <n v="848"/>
    <n v="177705567249741"/>
    <s v="(21) 99769-9629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35:15"/>
    <s v="3003 - FirjanAtivo"/>
    <s v="---"/>
    <n v="387"/>
    <n v="33524950000174"/>
    <n v="849"/>
    <n v="177705571549891"/>
    <s v="(21) 99311-420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5:26"/>
    <s v="3003 - FirjanAtivo"/>
    <s v="---"/>
    <n v="388"/>
    <n v="33833660000102"/>
    <n v="850"/>
    <n v="177705572649911"/>
    <s v="(22) 99760-708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5:43"/>
    <s v="3003 - FirjanAtivo"/>
    <s v="---"/>
    <n v="389"/>
    <n v="33863778000183"/>
    <n v="851"/>
    <n v="177705574349971"/>
    <s v="(21) 99182-492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5:54"/>
    <s v="3003 - FirjanAtivo"/>
    <s v="---"/>
    <n v="390"/>
    <n v="33880863000150"/>
    <n v="852"/>
    <n v="177705575450001"/>
    <s v="(21) 99540-3710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36:16"/>
    <s v="3003 - FirjanAtivo"/>
    <s v="---"/>
    <n v="391"/>
    <n v="33889341000119"/>
    <n v="853"/>
    <n v="177705577650061"/>
    <s v="(21) 99493-843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6:24"/>
    <s v="3003 - FirjanAtivo"/>
    <s v="---"/>
    <n v="392"/>
    <n v="33979964000182"/>
    <n v="854"/>
    <n v="177705578450081"/>
    <s v="(21) 99944-830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6:56"/>
    <s v="3003 - FirjanAtivo"/>
    <s v="---"/>
    <n v="393"/>
    <n v="34005108000199"/>
    <n v="855"/>
    <n v="177705581650101"/>
    <s v="(21) 99948-2682"/>
    <n v="3003"/>
    <s v="Discador"/>
    <s v="Atendido"/>
    <s v="Fora de Area / Cx de Mensagens"/>
    <s v="ACAOBP24042026v2"/>
    <s v="--"/>
    <n v="128"/>
    <m/>
    <m/>
    <d v="1899-12-30T00:00:03"/>
    <s v="---"/>
    <s v=""/>
    <x v="2"/>
  </r>
  <r>
    <d v="2026-04-24T15:36:56"/>
    <s v="3003 - FirjanAtivo"/>
    <s v="---"/>
    <n v="394"/>
    <n v="34050567000194"/>
    <n v="856"/>
    <n v="177705581650121"/>
    <s v="(21) 99977-181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7:04"/>
    <s v="3003 - FirjanAtivo"/>
    <s v="---"/>
    <n v="395"/>
    <n v="34058701000101"/>
    <n v="857"/>
    <n v="177705582450141"/>
    <s v="(21) 99338-9118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5:37:20"/>
    <s v="3003 - FirjanAtivo"/>
    <s v="---"/>
    <n v="396"/>
    <n v="34413663000150"/>
    <n v="858"/>
    <n v="177705584050161"/>
    <s v="(22) 99741-1201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5:37:27"/>
    <s v="3003 - FirjanAtivo"/>
    <s v="---"/>
    <n v="397"/>
    <n v="34484975000154"/>
    <n v="859"/>
    <n v="177705584750181"/>
    <s v="(21) 99816-040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7:37"/>
    <s v="3003 - FirjanAtivo"/>
    <s v="---"/>
    <n v="398"/>
    <n v="34851161000100"/>
    <n v="860"/>
    <n v="177705585750201"/>
    <s v="(24) 99997-504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7:55"/>
    <s v="3003 - FirjanAtivo"/>
    <s v="---"/>
    <n v="399"/>
    <n v="34978275000116"/>
    <n v="861"/>
    <n v="177705587550221"/>
    <s v="(21) 99557-621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8:11"/>
    <s v="3003 - FirjanAtivo"/>
    <s v="---"/>
    <n v="400"/>
    <n v="35055430000195"/>
    <n v="862"/>
    <n v="177705589150301"/>
    <s v="(24) 99833-182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8:11"/>
    <s v="3003 - FirjanAtivo"/>
    <s v="---"/>
    <n v="401"/>
    <n v="35152881000140"/>
    <n v="863"/>
    <n v="177705589150311"/>
    <s v="(24) 99992-811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8:28"/>
    <s v="3003 - FirjanAtivo"/>
    <s v="---"/>
    <n v="402"/>
    <n v="35700816000102"/>
    <n v="864"/>
    <n v="177705590850331"/>
    <s v="(22) 99257-0909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5:38:57"/>
    <s v="3003 - FirjanAtivo"/>
    <s v="---"/>
    <n v="403"/>
    <n v="35765734000146"/>
    <n v="865"/>
    <n v="177705593750361"/>
    <s v="(21) 98897-015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9:18"/>
    <s v="3003 - FirjanAtivo"/>
    <s v="---"/>
    <n v="404"/>
    <n v="35872118000194"/>
    <n v="866"/>
    <n v="177705595850391"/>
    <s v="(24) 97404-1453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5:39:18"/>
    <s v="3003 - FirjanAtivo"/>
    <s v="---"/>
    <n v="405"/>
    <n v="35981385000108"/>
    <n v="867"/>
    <n v="177705595850421"/>
    <s v="(22) 99946-826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9:42"/>
    <s v="3003 - FirjanAtivo"/>
    <s v="---"/>
    <n v="406"/>
    <n v="35982209000182"/>
    <n v="868"/>
    <n v="177705598250471"/>
    <s v="(21) 97014-642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39:50"/>
    <s v="3003 - FirjanAtivo"/>
    <s v="6052-Marcia Lima Peixoto"/>
    <n v="407"/>
    <n v="36073112000110"/>
    <n v="869"/>
    <n v="177705599050501"/>
    <s v="(21) 98803-2696"/>
    <n v="3003"/>
    <s v="Discador"/>
    <s v="Atendido"/>
    <s v="Fora de Area / Cx de Mensagens"/>
    <s v="ACAOBP24042026v2"/>
    <s v="Cliente"/>
    <n v="16"/>
    <m/>
    <m/>
    <d v="1899-12-30T00:00:07"/>
    <d v="1899-12-30T00:00:01"/>
    <s v=""/>
    <x v="2"/>
  </r>
  <r>
    <d v="2026-04-24T15:40:06"/>
    <s v="3003 - FirjanAtivo"/>
    <s v="---"/>
    <n v="408"/>
    <n v="36085439000101"/>
    <n v="870"/>
    <n v="177705600650531"/>
    <s v="(21) 96900-7409"/>
    <n v="3003"/>
    <s v="Discador"/>
    <s v="Atendido"/>
    <s v="Fora de Area / Cx de Mensagens"/>
    <s v="ACAOBP24042026v2"/>
    <s v="--"/>
    <n v="128"/>
    <m/>
    <m/>
    <d v="1899-12-30T00:00:03"/>
    <s v="---"/>
    <s v=""/>
    <x v="2"/>
  </r>
  <r>
    <d v="2026-04-24T15:40:20"/>
    <s v="3003 - FirjanAtivo"/>
    <s v="---"/>
    <n v="409"/>
    <n v="36158632000125"/>
    <n v="871"/>
    <n v="177705602050611"/>
    <s v="(21) 99461-8114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40:23"/>
    <s v="3003 - FirjanAtivo"/>
    <s v="---"/>
    <n v="410"/>
    <n v="36204923000102"/>
    <n v="872"/>
    <n v="177705602350661"/>
    <s v="(22) 99833-328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0:51"/>
    <s v="3003 - FirjanAtivo"/>
    <s v="---"/>
    <n v="411"/>
    <n v="36264719000187"/>
    <n v="873"/>
    <n v="177705605150711"/>
    <s v="(24) 98103-475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0:52"/>
    <s v="3003 - FirjanAtivo"/>
    <s v="---"/>
    <n v="413"/>
    <n v="36297125000172"/>
    <n v="874"/>
    <n v="177705605250731"/>
    <s v="(22) 99784-979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1:20"/>
    <s v="3003 - FirjanAtivo"/>
    <s v="---"/>
    <n v="414"/>
    <n v="36481984000117"/>
    <n v="875"/>
    <n v="177705608050751"/>
    <s v="(22) 98120-219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1:24"/>
    <s v="3003 - FirjanAtivo"/>
    <s v="---"/>
    <n v="415"/>
    <n v="36509446000193"/>
    <n v="876"/>
    <n v="177705608450771"/>
    <s v="(24) 99239-599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1:40"/>
    <s v="3003 - FirjanAtivo"/>
    <s v="---"/>
    <n v="416"/>
    <n v="36541506000155"/>
    <n v="877"/>
    <n v="177705610050801"/>
    <s v="(67) 09157-8769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5:41:40"/>
    <s v="3003 - FirjanAtivo"/>
    <s v="---"/>
    <n v="417"/>
    <n v="36565794000188"/>
    <n v="878"/>
    <n v="177705610050811"/>
    <s v="(22) 99955-773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1:43"/>
    <s v="3003 - FirjanAtivo"/>
    <s v="---"/>
    <n v="418"/>
    <n v="36567717000167"/>
    <n v="879"/>
    <n v="177705610350831"/>
    <s v="(22) 98132-465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2:25"/>
    <s v="3003 - FirjanAtivo"/>
    <s v="---"/>
    <n v="419"/>
    <n v="36572501000190"/>
    <n v="880"/>
    <n v="177705614551011"/>
    <s v="(22) 99982-775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2:28"/>
    <s v="3003 - FirjanAtivo"/>
    <s v="---"/>
    <n v="420"/>
    <n v="36936004000123"/>
    <n v="881"/>
    <n v="177705614851031"/>
    <s v="(21) 96409-893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2:43"/>
    <s v="3003 - FirjanAtivo"/>
    <s v="---"/>
    <n v="421"/>
    <n v="37285492000119"/>
    <n v="882"/>
    <n v="177705616351051"/>
    <s v="(24) 98114-1571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5:42:59"/>
    <s v="3003 - FirjanAtivo"/>
    <s v="---"/>
    <n v="422"/>
    <n v="37407191000110"/>
    <n v="883"/>
    <n v="177705617951071"/>
    <s v="(24) 98126-2199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5:43:09"/>
    <s v="3003 - FirjanAtivo"/>
    <s v="---"/>
    <n v="423"/>
    <n v="37540163000177"/>
    <n v="884"/>
    <n v="177705618951091"/>
    <s v="(21) 97038-723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3:27"/>
    <s v="3003 - FirjanAtivo"/>
    <s v="---"/>
    <n v="424"/>
    <n v="37676685000109"/>
    <n v="885"/>
    <n v="177705620751151"/>
    <s v="(21) 96433-646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3:45"/>
    <s v="3003 - FirjanAtivo"/>
    <s v="---"/>
    <n v="425"/>
    <n v="37785014000178"/>
    <n v="886"/>
    <n v="177705622551171"/>
    <s v="(21) 96945-247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3:48"/>
    <s v="3003 - FirjanAtivo"/>
    <s v="---"/>
    <n v="426"/>
    <n v="37961934000108"/>
    <n v="887"/>
    <n v="177705622851181"/>
    <s v="(21) 99985-2105"/>
    <n v="3003"/>
    <s v="Discador"/>
    <s v="Atendido"/>
    <s v="Fora de Area / Cx de Mensagens"/>
    <s v="ACAOBP24042026v2"/>
    <s v="--"/>
    <n v="128"/>
    <m/>
    <m/>
    <d v="1899-12-30T00:00:03"/>
    <s v="---"/>
    <s v=""/>
    <x v="2"/>
  </r>
  <r>
    <d v="2026-04-24T15:44:01"/>
    <s v="3003 - FirjanAtivo"/>
    <s v="---"/>
    <n v="427"/>
    <n v="38253250000106"/>
    <n v="888"/>
    <n v="177705624151241"/>
    <s v="(21) 96433-009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4:12"/>
    <s v="3003 - FirjanAtivo"/>
    <s v="---"/>
    <n v="428"/>
    <n v="38327906000198"/>
    <n v="889"/>
    <n v="177705625251261"/>
    <s v="(22) 99999-703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4:16"/>
    <s v="3003 - FirjanAtivo"/>
    <s v="---"/>
    <n v="429"/>
    <n v="38456890000113"/>
    <n v="890"/>
    <n v="177705625651281"/>
    <s v="(21) 97013-116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4:32"/>
    <s v="3003 - FirjanAtivo"/>
    <s v="---"/>
    <n v="430"/>
    <n v="39210513000162"/>
    <n v="891"/>
    <n v="177705627251301"/>
    <s v="(24) 99309-794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4:56"/>
    <s v="3003 - FirjanAtivo"/>
    <s v="---"/>
    <n v="431"/>
    <n v="39214150000133"/>
    <n v="892"/>
    <n v="177705629651321"/>
    <s v="(22) 99930-7567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5:45:09"/>
    <s v="3003 - FirjanAtivo"/>
    <s v="---"/>
    <n v="432"/>
    <n v="39216809000190"/>
    <n v="893"/>
    <n v="177705630951341"/>
    <s v="(21) 97730-266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5:41"/>
    <s v="3003 - FirjanAtivo"/>
    <s v="---"/>
    <n v="433"/>
    <n v="39220751000159"/>
    <n v="894"/>
    <n v="177705634151431"/>
    <s v="(22) 98132-465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5:46"/>
    <s v="3003 - FirjanAtivo"/>
    <s v="---"/>
    <n v="434"/>
    <n v="39227830000191"/>
    <n v="895"/>
    <n v="177705634651451"/>
    <s v="(22) 99704-9822"/>
    <n v="3003"/>
    <s v="Discador"/>
    <s v="Atendido"/>
    <s v="Fora de Area / Cx de Mensagens"/>
    <s v="ACAOBP24042026v2"/>
    <s v="Cliente"/>
    <n v="131"/>
    <m/>
    <m/>
    <d v="1899-12-30T00:00:08"/>
    <s v="---"/>
    <s v=""/>
    <x v="2"/>
  </r>
  <r>
    <d v="2026-04-24T15:46:04"/>
    <s v="3003 - FirjanAtivo"/>
    <s v="---"/>
    <n v="435"/>
    <n v="39468257000108"/>
    <n v="896"/>
    <n v="177705636451511"/>
    <s v="(71) 98143-5224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5:46:24"/>
    <s v="3003 - FirjanAtivo"/>
    <s v="---"/>
    <n v="436"/>
    <n v="39556402000102"/>
    <n v="897"/>
    <n v="177705638451541"/>
    <s v="(24) 97401-7156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5:46:27"/>
    <s v="3003 - FirjanAtivo"/>
    <s v="---"/>
    <n v="437"/>
    <n v="39596079000109"/>
    <n v="898"/>
    <n v="177705638751561"/>
    <s v="(24) 98855-736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6:43"/>
    <s v="3003 - FirjanAtivo"/>
    <s v="---"/>
    <n v="438"/>
    <n v="39929832000122"/>
    <n v="899"/>
    <n v="177705640351631"/>
    <s v="(24) 99825-1985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5:46:54"/>
    <s v="3003 - FirjanAtivo"/>
    <s v="6052-Marcia Lima Peixoto"/>
    <n v="439"/>
    <n v="39935945000130"/>
    <n v="900"/>
    <n v="177705641451661"/>
    <s v="(21) 99856-3613"/>
    <n v="3003"/>
    <s v="Discador"/>
    <s v="Atendido"/>
    <s v="Ligação Muda"/>
    <s v="ACAOBP24042026v2"/>
    <s v="Agente"/>
    <n v="16"/>
    <m/>
    <m/>
    <d v="1899-12-30T00:00:25"/>
    <d v="1899-12-30T00:00:21"/>
    <s v=""/>
    <x v="2"/>
  </r>
  <r>
    <d v="2026-04-24T15:47:05"/>
    <s v="3003 - FirjanAtivo"/>
    <s v="---"/>
    <n v="440"/>
    <n v="40019453000184"/>
    <n v="901"/>
    <n v="177705642551701"/>
    <s v="(22) 98171-008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7:25"/>
    <s v="3003 - FirjanAtivo"/>
    <s v="---"/>
    <n v="441"/>
    <n v="40127921000134"/>
    <n v="902"/>
    <n v="177705644551791"/>
    <s v="(22) 98802-7200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47:37"/>
    <s v="3003 - FirjanAtivo"/>
    <s v="---"/>
    <n v="443"/>
    <n v="40159980000194"/>
    <n v="903"/>
    <n v="177705645751811"/>
    <s v="(21) 98181-263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7:49"/>
    <s v="3003 - FirjanAtivo"/>
    <s v="---"/>
    <n v="445"/>
    <n v="40205791000100"/>
    <n v="904"/>
    <n v="177705646951831"/>
    <s v="(21) 96438-4570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47:53"/>
    <s v="3003 - FirjanAtivo"/>
    <s v="---"/>
    <n v="446"/>
    <n v="40217278000130"/>
    <n v="905"/>
    <n v="177705647351851"/>
    <s v="(22) 99893-3832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48:12"/>
    <s v="3003 - FirjanAtivo"/>
    <s v="---"/>
    <n v="447"/>
    <n v="40290991000109"/>
    <n v="906"/>
    <n v="177705649251871"/>
    <s v="(22) 99525-5637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5:48:21"/>
    <s v="3003 - FirjanAtivo"/>
    <s v="---"/>
    <n v="449"/>
    <n v="40687859000135"/>
    <n v="908"/>
    <n v="177705650151901"/>
    <s v="(21) 98780-000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48:40"/>
    <s v="3003 - FirjanAtivo"/>
    <s v="---"/>
    <n v="450"/>
    <n v="40696152000195"/>
    <n v="909"/>
    <n v="177705652051931"/>
    <s v="(22) 99787-856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54:49"/>
    <s v="3003 - FirjanAtivo"/>
    <s v="---"/>
    <n v="448"/>
    <n v="40503929000158"/>
    <n v="907"/>
    <n v="177705649351881"/>
    <s v="(21) 98396-4245"/>
    <n v="3003"/>
    <s v="Discador"/>
    <s v="Atendido"/>
    <s v="Fora de Area / Cx de Mensagens"/>
    <s v="ACAOBP24042026v2"/>
    <s v="Cliente"/>
    <n v="131"/>
    <m/>
    <m/>
    <d v="1899-12-30T00:06:13"/>
    <s v="---"/>
    <s v=""/>
    <x v="2"/>
  </r>
  <r>
    <d v="2026-04-24T15:54:55"/>
    <s v="3003 - FirjanAtivo"/>
    <s v="6052-Marcia Lima Peixoto"/>
    <n v="451"/>
    <n v="40713777000118"/>
    <n v="910"/>
    <n v="177705689552801"/>
    <s v="(24) 98867-7928"/>
    <n v="3003"/>
    <s v="Discador"/>
    <s v="Atendido"/>
    <s v="Ligação Muda"/>
    <s v="ACAOBP24042026v2"/>
    <s v="Cliente"/>
    <n v="16"/>
    <m/>
    <m/>
    <d v="1899-12-30T00:00:12"/>
    <d v="1899-12-30T00:00:08"/>
    <s v=""/>
    <x v="2"/>
  </r>
  <r>
    <d v="2026-04-24T15:54:55"/>
    <s v="3003 - FirjanAtivo"/>
    <s v="---"/>
    <n v="452"/>
    <n v="40904952000154"/>
    <n v="911"/>
    <n v="177705689552811"/>
    <s v="(21) 99987-235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55:06"/>
    <s v="3003 - FirjanAtivo"/>
    <s v="---"/>
    <n v="453"/>
    <n v="41284144000102"/>
    <n v="912"/>
    <n v="177705690652831"/>
    <s v="(21) 96556-211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55:17"/>
    <s v="3003 - FirjanAtivo"/>
    <s v="---"/>
    <n v="454"/>
    <n v="41433088000112"/>
    <n v="913"/>
    <n v="177705691752891"/>
    <s v="(22) 99243-970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55:25"/>
    <s v="3003 - FirjanAtivo"/>
    <s v="---"/>
    <n v="455"/>
    <n v="41601367000148"/>
    <n v="914"/>
    <n v="177705692552941"/>
    <s v="(22) 99841-478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55:45"/>
    <s v="3003 - FirjanAtivo"/>
    <s v="---"/>
    <n v="456"/>
    <n v="41907234000102"/>
    <n v="915"/>
    <n v="177705694553091"/>
    <s v="(22) 99225-940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56:10"/>
    <s v="3003 - FirjanAtivo"/>
    <s v="---"/>
    <n v="457"/>
    <n v="42081946000170"/>
    <n v="916"/>
    <n v="177705697053121"/>
    <s v="(21) 96410-868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56:20"/>
    <s v="3003 - FirjanAtivo"/>
    <s v="---"/>
    <n v="458"/>
    <n v="42427558000106"/>
    <n v="917"/>
    <n v="177705698053141"/>
    <s v="(21) 99598-647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56:20"/>
    <s v="3003 - FirjanAtivo"/>
    <s v="---"/>
    <n v="459"/>
    <n v="42430090000109"/>
    <n v="918"/>
    <n v="177705698053161"/>
    <s v="(21) 19982-2154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5:56:21"/>
    <s v="3003 - FirjanAtivo"/>
    <s v="---"/>
    <n v="460"/>
    <n v="42497263000106"/>
    <n v="919"/>
    <n v="177705698153171"/>
    <s v="(21) 96448-0102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5:56:29"/>
    <s v="3003 - FirjanAtivo"/>
    <s v="---"/>
    <n v="461"/>
    <n v="42558791000110"/>
    <n v="920"/>
    <n v="177705698953251"/>
    <s v="(21) 97637-8052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5:56:36"/>
    <s v="3003 - FirjanAtivo"/>
    <s v="---"/>
    <n v="462"/>
    <n v="42564351000175"/>
    <n v="921"/>
    <n v="177705699653271"/>
    <s v="(21) 98840-4874"/>
    <s v="Falha"/>
    <s v="Discador"/>
    <s v="Ocupado"/>
    <s v="Ocupado"/>
    <s v="ACAOBP24042026v2"/>
    <s v="--"/>
    <n v="17"/>
    <m/>
    <m/>
    <d v="1899-12-30T00:00:00"/>
    <s v="---"/>
    <s v=""/>
    <x v="2"/>
  </r>
  <r>
    <d v="2026-04-24T15:57:12"/>
    <s v="3003 - FirjanAtivo"/>
    <s v="---"/>
    <n v="463"/>
    <n v="42764642000107"/>
    <n v="922"/>
    <n v="177705703253291"/>
    <s v="(21) 97295-307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57:17"/>
    <s v="3003 - FirjanAtivo"/>
    <s v="---"/>
    <n v="464"/>
    <n v="42834744000151"/>
    <n v="923"/>
    <n v="177705703753341"/>
    <s v="(21) 99654-9088"/>
    <s v="Falha"/>
    <s v="Discador"/>
    <s v="Não Atendeu"/>
    <s v="Não Atendeu"/>
    <s v="ACAOBP24042026v2"/>
    <s v="--"/>
    <n v="34"/>
    <m/>
    <m/>
    <d v="1899-12-30T00:00:00"/>
    <s v="---"/>
    <s v=""/>
    <x v="2"/>
  </r>
  <r>
    <d v="2026-04-24T15:57:22"/>
    <s v="3003 - FirjanAtivo"/>
    <s v="---"/>
    <n v="465"/>
    <n v="42895602000102"/>
    <n v="924"/>
    <n v="177705704253351"/>
    <s v="(22) 99831-5390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5:57:32"/>
    <s v="3003 - FirjanAtivo"/>
    <s v="6052-Marcia Lima Peixoto"/>
    <n v="466"/>
    <n v="42946445000109"/>
    <n v="925"/>
    <n v="177705705253371"/>
    <s v="(21) 98517-4497"/>
    <n v="3003"/>
    <s v="Discador"/>
    <s v="Atendido"/>
    <s v="Não tem interesse"/>
    <s v="ACAOBP24042026v2"/>
    <s v="Agente"/>
    <n v="16"/>
    <m/>
    <m/>
    <d v="1899-12-30T00:00:43"/>
    <d v="1899-12-30T00:00:38"/>
    <s v=""/>
    <x v="2"/>
  </r>
  <r>
    <d v="2026-04-24T15:57:55"/>
    <s v="3003 - FirjanAtivo"/>
    <s v="---"/>
    <n v="467"/>
    <n v="43189309000184"/>
    <n v="926"/>
    <n v="177705707553461"/>
    <s v="(22) 99826-217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58:08"/>
    <s v="3003 - FirjanAtivo"/>
    <s v="---"/>
    <n v="468"/>
    <n v="43291803000155"/>
    <n v="927"/>
    <n v="177705708853481"/>
    <s v="(21) 99390-337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58:25"/>
    <s v="3003 - FirjanAtivo"/>
    <s v="---"/>
    <n v="469"/>
    <n v="43600132000167"/>
    <n v="928"/>
    <n v="177705710553501"/>
    <s v="(24) 98188-313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58:28"/>
    <s v="3003 - FirjanAtivo"/>
    <s v="---"/>
    <n v="470"/>
    <n v="43608407000109"/>
    <n v="929"/>
    <n v="177705710853521"/>
    <s v="(21) 99043-710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58:40"/>
    <s v="3003 - FirjanAtivo"/>
    <s v="---"/>
    <n v="471"/>
    <n v="43647834000104"/>
    <n v="930"/>
    <n v="177705712053541"/>
    <s v="(22) 98130-674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5:58:51"/>
    <s v="3003 - FirjanAtivo"/>
    <s v="---"/>
    <n v="472"/>
    <n v="43753738000132"/>
    <n v="931"/>
    <n v="177705713153601"/>
    <s v="(22) 98811-4649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5:58:55"/>
    <s v="3003 - FirjanAtivo"/>
    <s v="---"/>
    <n v="473"/>
    <n v="43907332000167"/>
    <n v="932"/>
    <n v="177705713553621"/>
    <s v="(21) 98790-3656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5:59:10"/>
    <s v="3003 - FirjanAtivo"/>
    <s v="---"/>
    <n v="474"/>
    <n v="44141387000171"/>
    <n v="933"/>
    <n v="177705715053641"/>
    <s v="(21) 99799-3422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5:59:41"/>
    <s v="3003 - FirjanAtivo"/>
    <s v="---"/>
    <n v="475"/>
    <n v="44172855000175"/>
    <n v="934"/>
    <n v="177705718153721"/>
    <s v="(21) 96441-641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0:00"/>
    <s v="3003 - FirjanAtivo"/>
    <s v="---"/>
    <n v="476"/>
    <n v="45020481000135"/>
    <n v="935"/>
    <n v="177705720053751"/>
    <s v="(24) 98817-5986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6:00:01"/>
    <s v="3003 - FirjanAtivo"/>
    <s v="---"/>
    <n v="477"/>
    <n v="45271123000103"/>
    <n v="936"/>
    <n v="177705720153761"/>
    <s v="(24) 98848-207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0:18"/>
    <s v="3003 - FirjanAtivo"/>
    <s v="---"/>
    <n v="478"/>
    <n v="45504294000127"/>
    <n v="937"/>
    <n v="177705721853781"/>
    <s v="(22) 99930-2058"/>
    <n v="3003"/>
    <s v="Discador"/>
    <s v="Atendido"/>
    <s v="Fora de Area / Cx de Mensagens"/>
    <s v="ACAOBP24042026v2"/>
    <s v="--"/>
    <n v="147"/>
    <m/>
    <m/>
    <d v="1899-12-30T00:00:06"/>
    <s v="---"/>
    <s v=""/>
    <x v="2"/>
  </r>
  <r>
    <d v="2026-04-24T16:00:25"/>
    <s v="3003 - FirjanAtivo"/>
    <s v="---"/>
    <n v="479"/>
    <n v="45618003000121"/>
    <n v="938"/>
    <n v="177705722553801"/>
    <s v="(22) 99266-1893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6:00:48"/>
    <s v="3003 - FirjanAtivo"/>
    <s v="---"/>
    <n v="480"/>
    <n v="45642764000119"/>
    <n v="939"/>
    <n v="177705724853811"/>
    <s v="(21) 99293-3277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01:01"/>
    <s v="3003 - FirjanAtivo"/>
    <s v="---"/>
    <n v="481"/>
    <n v="45654432000154"/>
    <n v="940"/>
    <n v="177705726153831"/>
    <s v="(22) 99793-594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1:10"/>
    <s v="3003 - FirjanAtivo"/>
    <s v="---"/>
    <n v="482"/>
    <n v="46265059000102"/>
    <n v="941"/>
    <n v="177705727053851"/>
    <s v="(21) 02199-8325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6:01:11"/>
    <s v="3003 - FirjanAtivo"/>
    <s v="---"/>
    <n v="483"/>
    <n v="46660690000106"/>
    <n v="942"/>
    <n v="177705727153861"/>
    <s v="(21) 98883-329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1:14"/>
    <s v="3003 - FirjanAtivo"/>
    <s v="6052-Marcia Lima Peixoto"/>
    <n v="484"/>
    <n v="46884983000177"/>
    <n v="943"/>
    <n v="177705727453871"/>
    <s v="(21) 96411-4857"/>
    <n v="3003"/>
    <s v="Discador"/>
    <s v="Atendido"/>
    <s v="Enviar E-mail"/>
    <s v="ACAOBP24042026v2"/>
    <s v="Agente"/>
    <n v="16"/>
    <m/>
    <m/>
    <d v="1899-12-30T00:02:47"/>
    <d v="1899-12-30T00:02:42"/>
    <n v="1"/>
    <x v="2"/>
  </r>
  <r>
    <d v="2026-04-24T16:01:25"/>
    <s v="3003 - FirjanAtivo"/>
    <s v="---"/>
    <n v="485"/>
    <n v="46905043000117"/>
    <n v="944"/>
    <n v="177705728553951"/>
    <s v="(21) 98820-6645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6:02:13"/>
    <s v="3003 - FirjanAtivo"/>
    <s v="---"/>
    <n v="486"/>
    <n v="47197932000130"/>
    <n v="945"/>
    <n v="177705733353981"/>
    <s v="(21) 98565-137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2:26"/>
    <s v="3003 - FirjanAtivo"/>
    <s v="---"/>
    <n v="487"/>
    <n v="48145681000102"/>
    <n v="946"/>
    <n v="177705734654001"/>
    <s v="(24) 98856-3953"/>
    <s v="Falha"/>
    <s v="Discador"/>
    <s v="Não Atendeu"/>
    <s v="Não Atendeu"/>
    <s v="ACAOBP24042026v2"/>
    <s v="--"/>
    <n v="34"/>
    <m/>
    <m/>
    <d v="1899-12-30T00:00:00"/>
    <s v="---"/>
    <s v=""/>
    <x v="2"/>
  </r>
  <r>
    <d v="2026-04-24T16:02:34"/>
    <s v="3003 - FirjanAtivo"/>
    <s v="---"/>
    <n v="488"/>
    <n v="48319171000104"/>
    <n v="947"/>
    <n v="177705735454011"/>
    <s v="(22) 97405-553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2:48"/>
    <s v="3003 - FirjanAtivo"/>
    <s v="---"/>
    <n v="489"/>
    <n v="48361628000149"/>
    <n v="948"/>
    <n v="177705736854031"/>
    <s v="(24) 98823-831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3:07"/>
    <s v="3003 - FirjanAtivo"/>
    <s v="---"/>
    <n v="490"/>
    <n v="48762740000191"/>
    <n v="949"/>
    <n v="177705738754051"/>
    <s v="(22) 98801-495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3:43"/>
    <s v="3003 - FirjanAtivo"/>
    <s v="---"/>
    <n v="491"/>
    <n v="48793273000167"/>
    <n v="950"/>
    <n v="177705742354071"/>
    <s v="(21) 99221-3122"/>
    <n v="3003"/>
    <s v="Discador"/>
    <s v="Atendido"/>
    <s v="Fora de Area / Cx de Mensagens"/>
    <s v="ACAOBP24042026v2"/>
    <s v="Cliente"/>
    <n v="131"/>
    <m/>
    <m/>
    <d v="1899-12-30T00:00:05"/>
    <s v="---"/>
    <s v=""/>
    <x v="2"/>
  </r>
  <r>
    <d v="2026-04-24T16:04:01"/>
    <s v="3003 - FirjanAtivo"/>
    <s v="---"/>
    <n v="492"/>
    <n v="48968786000161"/>
    <n v="951"/>
    <n v="177705744154091"/>
    <s v="(21) 96412-771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4:11"/>
    <s v="3003 - FirjanAtivo"/>
    <s v="---"/>
    <n v="493"/>
    <n v="49039587000131"/>
    <n v="952"/>
    <n v="177705745154111"/>
    <s v="(21) 96462-0376"/>
    <n v="3003"/>
    <s v="Discador"/>
    <s v="Atendido"/>
    <s v="Fora de Area / Cx de Mensagens"/>
    <s v="ACAOBP24042026v2"/>
    <s v="--"/>
    <n v="131"/>
    <m/>
    <m/>
    <d v="1899-12-30T00:00:01"/>
    <s v="---"/>
    <s v=""/>
    <x v="2"/>
  </r>
  <r>
    <d v="2026-04-24T16:04:14"/>
    <s v="3003 - FirjanAtivo"/>
    <s v="---"/>
    <n v="494"/>
    <n v="49310128000140"/>
    <n v="953"/>
    <n v="177705745454131"/>
    <s v="(21) 96462-037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4:25"/>
    <s v="3003 - FirjanAtivo"/>
    <s v="---"/>
    <n v="495"/>
    <n v="49419902000156"/>
    <n v="954"/>
    <n v="177705746554211"/>
    <s v="(21) 97281-9977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04:36"/>
    <s v="3003 - FirjanAtivo"/>
    <s v="---"/>
    <n v="497"/>
    <n v="49606616000108"/>
    <n v="955"/>
    <n v="177705747654231"/>
    <s v="(24) 99930-876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4:38"/>
    <s v="3003 - FirjanAtivo"/>
    <s v="---"/>
    <n v="498"/>
    <n v="49876067000183"/>
    <n v="956"/>
    <n v="177705747854251"/>
    <s v="(22) 99872-7233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05:07"/>
    <s v="3003 - FirjanAtivo"/>
    <s v="---"/>
    <n v="499"/>
    <n v="49895195000174"/>
    <n v="957"/>
    <n v="177705750754341"/>
    <s v="(22) 98144-5335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6:05:20"/>
    <s v="3003 - FirjanAtivo"/>
    <s v="---"/>
    <n v="500"/>
    <n v="50253555000113"/>
    <n v="958"/>
    <n v="177705752054361"/>
    <s v="(24) 99292-7214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05:34"/>
    <s v="3003 - FirjanAtivo"/>
    <s v="---"/>
    <n v="501"/>
    <n v="50300325000168"/>
    <n v="959"/>
    <n v="177705753454381"/>
    <s v="(22) 99805-794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5:45"/>
    <s v="3003 - FirjanAtivo"/>
    <s v="---"/>
    <n v="502"/>
    <n v="50884703000106"/>
    <n v="960"/>
    <n v="177705754554401"/>
    <s v="(22) 99895-2016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06:06"/>
    <s v="3003 - FirjanAtivo"/>
    <s v="---"/>
    <n v="503"/>
    <n v="51081827000108"/>
    <n v="961"/>
    <n v="177705756654411"/>
    <s v="(24) 99212-221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6:28"/>
    <s v="3003 - FirjanAtivo"/>
    <s v="---"/>
    <n v="504"/>
    <n v="51318932000118"/>
    <n v="962"/>
    <n v="177705758854441"/>
    <s v="(22) 99956-6724"/>
    <s v="Falha"/>
    <s v="Discador"/>
    <s v="Ocupado"/>
    <s v="Fora de Area / Cx de Mensagens"/>
    <s v="ACAOBP24042026v2"/>
    <s v="--"/>
    <n v="17"/>
    <m/>
    <m/>
    <d v="1899-12-30T00:00:00"/>
    <s v="---"/>
    <s v=""/>
    <x v="2"/>
  </r>
  <r>
    <d v="2026-04-24T16:06:34"/>
    <s v="3003 - FirjanAtivo"/>
    <s v="---"/>
    <n v="505"/>
    <n v="51780829000195"/>
    <n v="963"/>
    <n v="177705759454461"/>
    <s v="(24) 99215-404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6:50"/>
    <s v="3003 - FirjanAtivo"/>
    <s v="---"/>
    <n v="506"/>
    <n v="52007964000165"/>
    <n v="964"/>
    <n v="177705761054481"/>
    <s v="(22) 99951-5253"/>
    <n v="3003"/>
    <s v="Discador"/>
    <s v="Atendido"/>
    <s v="Fora de Area / Cx de Mensagens"/>
    <s v="ACAOBP24042026v2"/>
    <s v="Cliente"/>
    <n v="131"/>
    <m/>
    <m/>
    <d v="1899-12-30T00:00:02"/>
    <s v="---"/>
    <s v=""/>
    <x v="2"/>
  </r>
  <r>
    <d v="2026-04-24T16:07:02"/>
    <s v="3003 - FirjanAtivo"/>
    <s v="---"/>
    <n v="507"/>
    <n v="53060069000177"/>
    <n v="965"/>
    <n v="177705762254511"/>
    <s v="(22) 99276-985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7:14"/>
    <s v="3003 - FirjanAtivo"/>
    <s v="---"/>
    <n v="509"/>
    <n v="53116705000135"/>
    <n v="966"/>
    <n v="177705763454521"/>
    <s v="(21) 97300-818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7:17"/>
    <s v="3003 - FirjanAtivo"/>
    <s v="---"/>
    <n v="510"/>
    <n v="53135563000153"/>
    <n v="967"/>
    <n v="177705763754541"/>
    <s v="(21) 97361-141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7:26"/>
    <s v="3003 - FirjanAtivo"/>
    <s v="---"/>
    <n v="511"/>
    <n v="53159230000164"/>
    <n v="968"/>
    <n v="177705764654561"/>
    <s v="(22) 98169-290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7:54"/>
    <s v="3003 - FirjanAtivo"/>
    <s v="---"/>
    <n v="512"/>
    <n v="53380505000195"/>
    <n v="969"/>
    <n v="177705767454581"/>
    <s v="(24) 99880-118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8:04"/>
    <s v="3003 - FirjanAtivo"/>
    <s v="---"/>
    <n v="513"/>
    <n v="53472383000167"/>
    <n v="970"/>
    <n v="177705768454601"/>
    <s v="(22) 99949-097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8:08"/>
    <s v="3003 - FirjanAtivo"/>
    <s v="---"/>
    <n v="514"/>
    <n v="53691935000128"/>
    <n v="971"/>
    <n v="177705768854621"/>
    <s v="(21) 97155-6522"/>
    <s v="Falha"/>
    <s v="Discador"/>
    <s v="Não Atendeu"/>
    <s v="Não Atendeu"/>
    <s v="ACAOBP24042026v2"/>
    <s v="--"/>
    <n v="21"/>
    <m/>
    <m/>
    <d v="1899-12-30T00:00:00"/>
    <s v="---"/>
    <s v=""/>
    <x v="2"/>
  </r>
  <r>
    <d v="2026-04-24T16:08:29"/>
    <s v="3003 - FirjanAtivo"/>
    <s v="---"/>
    <n v="515"/>
    <n v="54478765000160"/>
    <n v="972"/>
    <n v="177705770954631"/>
    <s v="(24) 99821-845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8:46"/>
    <s v="3003 - FirjanAtivo"/>
    <s v="---"/>
    <n v="516"/>
    <n v="55143066000122"/>
    <n v="973"/>
    <n v="177705772654691"/>
    <s v="(24) 99269-718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8:50"/>
    <s v="3003 - FirjanAtivo"/>
    <s v="---"/>
    <n v="517"/>
    <n v="55385904000174"/>
    <n v="974"/>
    <n v="177705773054711"/>
    <s v="(24) 98848-207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9:10"/>
    <s v="3003 - FirjanAtivo"/>
    <s v="---"/>
    <n v="518"/>
    <n v="55573642000171"/>
    <n v="975"/>
    <n v="177705775054791"/>
    <s v="(24) 97404-300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9:31"/>
    <s v="3003 - FirjanAtivo"/>
    <s v="---"/>
    <n v="519"/>
    <n v="55789121000156"/>
    <n v="976"/>
    <n v="177705777154811"/>
    <s v="(21) 99966-622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9:53"/>
    <s v="3003 - FirjanAtivo"/>
    <s v="---"/>
    <n v="520"/>
    <n v="56062863000148"/>
    <n v="977"/>
    <n v="177705779354831"/>
    <s v="(24) 99292-476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09:59"/>
    <s v="3003 - FirjanAtivo"/>
    <s v="---"/>
    <n v="521"/>
    <n v="56199093000180"/>
    <n v="978"/>
    <n v="177705779954871"/>
    <s v="(21) 99959-4772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10:36"/>
    <s v="3003 - FirjanAtivo"/>
    <s v="---"/>
    <n v="522"/>
    <n v="56227513000194"/>
    <n v="979"/>
    <n v="177705783654991"/>
    <s v="(22) 99892-6880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10:47"/>
    <s v="3003 - FirjanAtivo"/>
    <s v="---"/>
    <n v="523"/>
    <n v="56932666000132"/>
    <n v="980"/>
    <n v="177705784755011"/>
    <s v="(22) 99988-1020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10:51"/>
    <s v="3003 - FirjanAtivo"/>
    <s v="---"/>
    <n v="524"/>
    <n v="57170375000460"/>
    <n v="981"/>
    <n v="177705785155031"/>
    <s v="(22) 98148-822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0:58"/>
    <s v="3003 - FirjanAtivo"/>
    <s v="---"/>
    <n v="525"/>
    <n v="57188457000199"/>
    <n v="982"/>
    <n v="177705785855051"/>
    <s v="(24) 98802-054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1:12"/>
    <s v="3003 - FirjanAtivo"/>
    <s v="---"/>
    <n v="526"/>
    <n v="57213863000164"/>
    <n v="983"/>
    <n v="177705787255111"/>
    <s v="(22) 99916-6709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11:32"/>
    <s v="3003 - FirjanAtivo"/>
    <s v="---"/>
    <n v="527"/>
    <n v="57348787000102"/>
    <n v="984"/>
    <n v="177705789255131"/>
    <s v="(21) 99296-821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1:36"/>
    <s v="3003 - FirjanAtivo"/>
    <s v="---"/>
    <n v="528"/>
    <n v="57769577000180"/>
    <n v="985"/>
    <n v="177705789655151"/>
    <s v="(21) 96418-6340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11:43"/>
    <s v="3003 - FirjanAtivo"/>
    <s v="---"/>
    <n v="529"/>
    <n v="58196686000118"/>
    <n v="986"/>
    <n v="177705790355171"/>
    <s v="(24) 99292-4768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11:52"/>
    <s v="3003 - FirjanAtivo"/>
    <s v="---"/>
    <n v="530"/>
    <n v="58476582000167"/>
    <n v="987"/>
    <n v="177705791255191"/>
    <s v="(21) 99059-153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2:07"/>
    <s v="3003 - FirjanAtivo"/>
    <s v="---"/>
    <n v="531"/>
    <n v="59138749000142"/>
    <n v="988"/>
    <n v="177705792755211"/>
    <s v="(21) 96649-851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2:28"/>
    <s v="3003 - FirjanAtivo"/>
    <s v="---"/>
    <n v="532"/>
    <n v="59407605000144"/>
    <n v="989"/>
    <n v="177705794855231"/>
    <s v="(22) 99983-140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2:40"/>
    <s v="3003 - FirjanAtivo"/>
    <s v="---"/>
    <n v="533"/>
    <n v="59597687000137"/>
    <n v="990"/>
    <n v="177705796055251"/>
    <s v="(22) 99978-6797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12:58"/>
    <s v="3003 - FirjanAtivo"/>
    <s v="---"/>
    <n v="534"/>
    <n v="59958760000159"/>
    <n v="991"/>
    <n v="177705797855271"/>
    <s v="(24) 98129-217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3:13"/>
    <s v="3003 - FirjanAtivo"/>
    <s v="---"/>
    <n v="535"/>
    <n v="60710938000127"/>
    <n v="992"/>
    <n v="177705799355291"/>
    <s v="(21) 99955-410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3:16"/>
    <s v="3003 - FirjanAtivo"/>
    <s v="---"/>
    <n v="536"/>
    <n v="61917457000150"/>
    <n v="993"/>
    <n v="177705799655311"/>
    <s v="(24) 99251-7878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13:30"/>
    <s v="3003 - FirjanAtivo"/>
    <s v="---"/>
    <n v="537"/>
    <n v="63110255000127"/>
    <n v="994"/>
    <n v="177705801055331"/>
    <s v="(24) 99968-171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3:48"/>
    <s v="3003 - FirjanAtivo"/>
    <s v="---"/>
    <n v="538"/>
    <n v="68615988000137"/>
    <n v="995"/>
    <n v="177705802855381"/>
    <s v="(24) 99228-211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4:01"/>
    <s v="3003 - FirjanAtivo"/>
    <s v="---"/>
    <n v="539"/>
    <n v="68654938000169"/>
    <n v="996"/>
    <n v="177705804155461"/>
    <s v="(22) 98831-844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4:03"/>
    <s v="3003 - FirjanAtivo"/>
    <s v="---"/>
    <n v="540"/>
    <n v="68842905000142"/>
    <n v="997"/>
    <n v="177705804355481"/>
    <s v="(21) 98165-782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4:18"/>
    <s v="3003 - FirjanAtivo"/>
    <s v="6052-Marcia Lima Peixoto"/>
    <n v="541"/>
    <n v="72357726000197"/>
    <n v="998"/>
    <n v="177705805855501"/>
    <s v="(21) 99988-2916"/>
    <n v="3003"/>
    <s v="Discador"/>
    <s v="Atendido"/>
    <s v="Ligação Muda"/>
    <s v="ACAOBP24042026v2"/>
    <s v="Cliente"/>
    <n v="16"/>
    <m/>
    <m/>
    <d v="1899-12-30T00:00:09"/>
    <d v="1899-12-30T00:00:04"/>
    <s v=""/>
    <x v="2"/>
  </r>
  <r>
    <d v="2026-04-24T16:14:27"/>
    <s v="3003 - FirjanAtivo"/>
    <s v="---"/>
    <n v="542"/>
    <n v="72493794000183"/>
    <n v="999"/>
    <n v="177705806755521"/>
    <s v="(24) 98814-395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4:37"/>
    <s v="3003 - FirjanAtivo"/>
    <s v="---"/>
    <n v="543"/>
    <n v="73275570000168"/>
    <n v="1000"/>
    <n v="177705807755551"/>
    <s v="(22) 98832-515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5:02"/>
    <s v="3003 - FirjanAtivo"/>
    <s v="---"/>
    <n v="544"/>
    <n v="73353534000175"/>
    <n v="1001"/>
    <n v="177705810255631"/>
    <s v="(32) 99994-1854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6:15:07"/>
    <s v="3003 - FirjanAtivo"/>
    <s v="---"/>
    <n v="545"/>
    <n v="73630725000137"/>
    <n v="1002"/>
    <n v="177705810755661"/>
    <s v="(21) 96444-644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5:21"/>
    <s v="3003 - FirjanAtivo"/>
    <s v="---"/>
    <n v="546"/>
    <n v="73852469000122"/>
    <n v="1003"/>
    <n v="177705812155681"/>
    <s v="(24) 99228-850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5:38"/>
    <s v="3003 - FirjanAtivo"/>
    <s v="---"/>
    <n v="547"/>
    <n v="82449760000145"/>
    <n v="1004"/>
    <n v="177705813855701"/>
    <s v="(21) 96958-553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5:51"/>
    <s v="3003 - FirjanAtivo"/>
    <s v="---"/>
    <n v="548"/>
    <n v="86932266000198"/>
    <n v="1005"/>
    <n v="177705815155771"/>
    <s v="(24) 98815-197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15:52"/>
    <s v="3003 - FirjanAtivo"/>
    <s v="---"/>
    <n v="549"/>
    <n v="86936481000167"/>
    <n v="1006"/>
    <n v="177705815255791"/>
    <s v="(21) 99618-6412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16:06"/>
    <s v="3003 - FirjanAtivo"/>
    <s v="---"/>
    <n v="550"/>
    <n v="97537119000130"/>
    <n v="1007"/>
    <n v="177705816655821"/>
    <s v="(22) 99852-1597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22:04"/>
    <s v="3003 - FirjanAtivo"/>
    <s v="---"/>
    <n v="2"/>
    <n v="94869000142"/>
    <n v="507"/>
    <n v="177705852456571"/>
    <s v="(24) 97402-998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2:28"/>
    <s v="3003 - FirjanAtivo"/>
    <s v="---"/>
    <n v="3"/>
    <n v="117961000180"/>
    <n v="508"/>
    <n v="177705854856661"/>
    <s v="(21) 99965-1697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22:34"/>
    <s v="3003 - FirjanAtivo"/>
    <s v="---"/>
    <n v="4"/>
    <n v="175438000100"/>
    <n v="509"/>
    <n v="177705855456671"/>
    <s v="(21) 96418-148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2:43"/>
    <s v="3003 - FirjanAtivo"/>
    <s v="---"/>
    <n v="5"/>
    <n v="255310000157"/>
    <n v="510"/>
    <n v="177705856356711"/>
    <s v="(24) 99911-794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2:43"/>
    <s v="3003 - FirjanAtivo"/>
    <s v="---"/>
    <n v="6"/>
    <n v="420622000179"/>
    <n v="511"/>
    <n v="177705856356721"/>
    <s v="(21) 99107-873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2:53"/>
    <s v="3003 - FirjanAtivo"/>
    <s v="---"/>
    <n v="7"/>
    <n v="451332000192"/>
    <n v="512"/>
    <n v="177705857356791"/>
    <s v="(24) 98818-180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3:06"/>
    <s v="3003 - FirjanAtivo"/>
    <s v="---"/>
    <n v="8"/>
    <n v="550875000167"/>
    <n v="513"/>
    <n v="177705858656991"/>
    <s v="(21) 98249-380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3:09"/>
    <s v="3003 - FirjanAtivo"/>
    <s v="---"/>
    <n v="9"/>
    <n v="749145000190"/>
    <n v="514"/>
    <n v="177705858957011"/>
    <s v="(21) 98497-438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3:20"/>
    <s v="3003 - FirjanAtivo"/>
    <s v="---"/>
    <n v="10"/>
    <n v="837531000133"/>
    <n v="515"/>
    <n v="177705860057101"/>
    <s v="(24) 98117-444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3:37"/>
    <s v="3003 - FirjanAtivo"/>
    <s v="---"/>
    <n v="11"/>
    <n v="845384000143"/>
    <n v="516"/>
    <n v="177705861757131"/>
    <s v="(21) 96423-1738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23:55"/>
    <s v="3003 - FirjanAtivo"/>
    <s v="---"/>
    <n v="12"/>
    <n v="863808000100"/>
    <n v="517"/>
    <n v="177705863557191"/>
    <s v="(22) 98115-417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3:56"/>
    <s v="3003 - FirjanAtivo"/>
    <s v="---"/>
    <n v="13"/>
    <n v="1056628000171"/>
    <n v="518"/>
    <n v="177705863657211"/>
    <s v="(21) 96458-578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4:31"/>
    <s v="3003 - FirjanAtivo"/>
    <s v="---"/>
    <n v="14"/>
    <n v="1062613000116"/>
    <n v="519"/>
    <n v="177705867157291"/>
    <s v="(22) 98170-003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4:39"/>
    <s v="3003 - FirjanAtivo"/>
    <s v="---"/>
    <n v="15"/>
    <n v="1104119000177"/>
    <n v="520"/>
    <n v="177705867957311"/>
    <s v="(21) 97294-823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4:45"/>
    <s v="3003 - FirjanAtivo"/>
    <s v="---"/>
    <n v="16"/>
    <n v="1209604000105"/>
    <n v="521"/>
    <n v="177705868557341"/>
    <s v="(21) 99713-836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5:00"/>
    <s v="3003 - FirjanAtivo"/>
    <s v="---"/>
    <n v="17"/>
    <n v="1340549000198"/>
    <n v="522"/>
    <n v="177705870057361"/>
    <s v="(22) 99944-4350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6:25:26"/>
    <s v="3003 - FirjanAtivo"/>
    <s v="---"/>
    <n v="18"/>
    <n v="1387961000163"/>
    <n v="523"/>
    <n v="177705872657511"/>
    <s v="(21) 97033-9066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25:40"/>
    <s v="3003 - FirjanAtivo"/>
    <s v="---"/>
    <n v="19"/>
    <n v="1399122000165"/>
    <n v="524"/>
    <n v="177705874057531"/>
    <s v="(22) 99941-817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5:54"/>
    <s v="3003 - FirjanAtivo"/>
    <s v="---"/>
    <n v="21"/>
    <n v="1485063000148"/>
    <n v="525"/>
    <n v="177705875457541"/>
    <s v="(21) 99351-831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6:03"/>
    <s v="3003 - FirjanAtivo"/>
    <s v="---"/>
    <n v="22"/>
    <n v="1632895000140"/>
    <n v="526"/>
    <n v="177705876357561"/>
    <s v="(21) 99983-2180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26:29"/>
    <s v="3003 - FirjanAtivo"/>
    <s v="---"/>
    <n v="23"/>
    <n v="1721269000120"/>
    <n v="527"/>
    <n v="177705878957591"/>
    <s v="(21) 99890-817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6:35"/>
    <s v="3003 - FirjanAtivo"/>
    <s v="---"/>
    <n v="26"/>
    <n v="1879056000120"/>
    <n v="528"/>
    <n v="177705879557611"/>
    <s v="(21) 99774-7381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26:59"/>
    <s v="3003 - FirjanAtivo"/>
    <s v="---"/>
    <n v="27"/>
    <n v="1959285000155"/>
    <n v="529"/>
    <n v="177705881957631"/>
    <s v="(21) 99118-677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7:06"/>
    <s v="3003 - FirjanAtivo"/>
    <s v="---"/>
    <n v="28"/>
    <n v="1978794000125"/>
    <n v="530"/>
    <n v="177705882657651"/>
    <s v="(21) 97998-599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7:20"/>
    <s v="3003 - FirjanAtivo"/>
    <s v="---"/>
    <n v="29"/>
    <n v="2047048000180"/>
    <n v="531"/>
    <n v="177705884057671"/>
    <s v="(22) 99908-3911"/>
    <s v="Falha"/>
    <s v="Discador"/>
    <s v="Não Atendeu"/>
    <s v="Não Atendeu"/>
    <s v="ACAOBP24042026v2"/>
    <s v="--"/>
    <n v="34"/>
    <m/>
    <m/>
    <d v="1899-12-30T00:00:00"/>
    <s v="---"/>
    <s v=""/>
    <x v="2"/>
  </r>
  <r>
    <d v="2026-04-24T16:27:29"/>
    <s v="3003 - FirjanAtivo"/>
    <s v="6052-Marcia Lima Peixoto"/>
    <n v="30"/>
    <n v="2055500000156"/>
    <n v="532"/>
    <n v="177705884957681"/>
    <s v="(24) 98114-1403"/>
    <n v="3003"/>
    <s v="Discador"/>
    <s v="Atendido"/>
    <s v="Enviar E-mail"/>
    <s v="ACAOBP24042026v2"/>
    <s v="Agente"/>
    <n v="16"/>
    <m/>
    <m/>
    <d v="1899-12-30T00:02:43"/>
    <d v="1899-12-30T00:02:40"/>
    <n v="1"/>
    <x v="2"/>
  </r>
  <r>
    <d v="2026-04-24T16:27:50"/>
    <s v="3003 - FirjanAtivo"/>
    <s v="---"/>
    <n v="31"/>
    <n v="2079896000171"/>
    <n v="533"/>
    <n v="177705887057851"/>
    <s v="(21) 99106-193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8:22"/>
    <s v="3003 - FirjanAtivo"/>
    <s v="---"/>
    <n v="32"/>
    <n v="2113776000143"/>
    <n v="534"/>
    <n v="177705890257881"/>
    <s v="(21) 97033-430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8:36"/>
    <s v="3003 - FirjanAtivo"/>
    <s v="---"/>
    <n v="33"/>
    <n v="2148473000166"/>
    <n v="535"/>
    <n v="177705891657921"/>
    <s v="(21) 98461-848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9:09"/>
    <s v="3003 - FirjanAtivo"/>
    <s v="---"/>
    <n v="34"/>
    <n v="2199015000156"/>
    <n v="536"/>
    <n v="177705894958041"/>
    <s v="(24) 99936-231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29:30"/>
    <s v="3003 - FirjanAtivo"/>
    <s v="---"/>
    <n v="35"/>
    <n v="2326459000105"/>
    <n v="537"/>
    <n v="177705897058061"/>
    <s v="(21) 98741-118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30:01"/>
    <s v="3003 - FirjanAtivo"/>
    <s v="---"/>
    <n v="36"/>
    <n v="2427859000107"/>
    <n v="538"/>
    <n v="177705900158101"/>
    <s v="(21) 97655-121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30:22"/>
    <s v="3003 - FirjanAtivo"/>
    <s v="---"/>
    <n v="37"/>
    <n v="2464189000107"/>
    <n v="539"/>
    <n v="177705902258121"/>
    <s v="(22) 98123-389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30:28"/>
    <s v="3003 - FirjanAtivo"/>
    <s v="---"/>
    <n v="39"/>
    <n v="2510074000101"/>
    <n v="540"/>
    <n v="177705902858151"/>
    <s v="(22) 97401-110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30:57"/>
    <s v="3003 - FirjanAtivo"/>
    <s v="---"/>
    <n v="40"/>
    <n v="2604580000151"/>
    <n v="541"/>
    <n v="177705905758231"/>
    <s v="(24) 99913-4064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6:31:17"/>
    <s v="3003 - FirjanAtivo"/>
    <s v="---"/>
    <n v="41"/>
    <n v="2605792000153"/>
    <n v="542"/>
    <n v="177705907758251"/>
    <s v="(22) 99278-8136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31:29"/>
    <s v="3003 - FirjanAtivo"/>
    <s v="---"/>
    <n v="42"/>
    <n v="2746258000167"/>
    <n v="543"/>
    <n v="177705908958271"/>
    <s v="(24) 98119-574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31:46"/>
    <s v="3003 - FirjanAtivo"/>
    <s v="---"/>
    <n v="43"/>
    <n v="2755969000106"/>
    <n v="544"/>
    <n v="177705910658281"/>
    <s v="(21) 98485-8817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31:58"/>
    <s v="3003 - FirjanAtivo"/>
    <s v="---"/>
    <n v="44"/>
    <n v="2823246000199"/>
    <n v="545"/>
    <n v="177705911858311"/>
    <s v="(21) 98142-554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32:31"/>
    <s v="3003 - FirjanAtivo"/>
    <s v="---"/>
    <n v="45"/>
    <n v="2918682000141"/>
    <n v="546"/>
    <n v="177705915158501"/>
    <s v="(91) 99210-254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32:34"/>
    <s v="3003 - FirjanAtivo"/>
    <s v="---"/>
    <n v="46"/>
    <n v="2961614000165"/>
    <n v="547"/>
    <n v="177705915458521"/>
    <s v="(22) 99861-2688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6:32:57"/>
    <s v="3003 - FirjanAtivo"/>
    <s v="---"/>
    <n v="47"/>
    <n v="3063053000140"/>
    <n v="548"/>
    <n v="177705917758551"/>
    <s v="(22) 99969-638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33:19"/>
    <s v="3003 - FirjanAtivo"/>
    <s v="---"/>
    <n v="48"/>
    <n v="3081396000137"/>
    <n v="549"/>
    <n v="177705919958631"/>
    <s v="(24) 99999-6320"/>
    <n v="3003"/>
    <s v="Discador"/>
    <s v="Atendido"/>
    <s v="Fora de Area / Cx de Mensagens"/>
    <s v="ACAOBP24042026v2"/>
    <s v="--"/>
    <n v="147"/>
    <m/>
    <m/>
    <d v="1899-12-30T00:00:06"/>
    <s v="---"/>
    <s v=""/>
    <x v="2"/>
  </r>
  <r>
    <d v="2026-04-24T16:33:23"/>
    <s v="3003 - FirjanAtivo"/>
    <s v="---"/>
    <n v="49"/>
    <n v="3130917000107"/>
    <n v="550"/>
    <n v="177705920358651"/>
    <s v="(24) 98131-6800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33:59"/>
    <s v="3003 - FirjanAtivo"/>
    <s v="---"/>
    <n v="50"/>
    <n v="3135802000105"/>
    <n v="551"/>
    <n v="177705923958791"/>
    <s v="(22) 98177-761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34:06"/>
    <s v="3003 - FirjanAtivo"/>
    <s v="---"/>
    <n v="51"/>
    <n v="3276131000194"/>
    <n v="552"/>
    <n v="177705924658811"/>
    <s v="(21) 96484-9137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34:13"/>
    <s v="3003 - FirjanAtivo"/>
    <s v="---"/>
    <n v="52"/>
    <n v="3311811000100"/>
    <n v="553"/>
    <n v="177705925358871"/>
    <s v="(22) 99954-8034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34:22"/>
    <s v="3003 - FirjanAtivo"/>
    <s v="---"/>
    <n v="53"/>
    <n v="3463826000185"/>
    <n v="554"/>
    <n v="177705926258931"/>
    <s v="(21) 96526-233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34:37"/>
    <s v="3003 - FirjanAtivo"/>
    <s v="---"/>
    <n v="54"/>
    <n v="3478949000190"/>
    <n v="555"/>
    <n v="177705927758951"/>
    <s v="(22) 99899-1590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34:50"/>
    <s v="3003 - FirjanAtivo"/>
    <s v="6052-Marcia Lima Peixoto"/>
    <n v="55"/>
    <n v="3488597000153"/>
    <n v="556"/>
    <n v="177705929058991"/>
    <s v="(21) 98187-7389"/>
    <n v="3003"/>
    <s v="Discador"/>
    <s v="Atendido"/>
    <s v="Cliente Desligou"/>
    <s v="ACAOBP24042026v2"/>
    <s v="Cliente"/>
    <n v="16"/>
    <m/>
    <m/>
    <d v="1899-12-30T00:00:08"/>
    <d v="1899-12-30T00:00:03"/>
    <s v=""/>
    <x v="2"/>
  </r>
  <r>
    <d v="2026-04-24T16:34:57"/>
    <s v="3003 - FirjanAtivo"/>
    <s v="---"/>
    <n v="59"/>
    <n v="3904574000182"/>
    <n v="557"/>
    <n v="177705929759011"/>
    <s v="(22) 99708-9429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35:12"/>
    <s v="3003 - FirjanAtivo"/>
    <s v="---"/>
    <n v="60"/>
    <n v="3954733000153"/>
    <n v="558"/>
    <n v="177705931259161"/>
    <s v="(21) 96857-917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35:13"/>
    <s v="3003 - FirjanAtivo"/>
    <s v="6052-Marcia Lima Peixoto"/>
    <n v="61"/>
    <n v="3995747000115"/>
    <n v="559"/>
    <n v="177705931359181"/>
    <s v="(21) 98835-0209"/>
    <n v="3003"/>
    <s v="Discador"/>
    <s v="Atendido"/>
    <s v="Retornar"/>
    <s v="ACAOBP24042026v2"/>
    <s v="Agente"/>
    <n v="16"/>
    <m/>
    <m/>
    <d v="1899-12-30T00:00:35"/>
    <d v="1899-12-30T00:00:30"/>
    <s v=""/>
    <x v="2"/>
  </r>
  <r>
    <d v="2026-04-24T16:35:50"/>
    <s v="3003 - FirjanAtivo"/>
    <s v="---"/>
    <n v="62"/>
    <n v="4028062000162"/>
    <n v="560"/>
    <n v="177705935059301"/>
    <s v="(22) 98819-832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35:56"/>
    <s v="3003 - FirjanAtivo"/>
    <s v="---"/>
    <n v="63"/>
    <n v="4044746000158"/>
    <n v="561"/>
    <n v="177705935659321"/>
    <s v="(22) 98802-720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36:05"/>
    <s v="3003 - FirjanAtivo"/>
    <s v="---"/>
    <n v="64"/>
    <n v="4048649000133"/>
    <n v="562"/>
    <n v="177705936559381"/>
    <s v="(21) 99805-222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36:09"/>
    <s v="3003 - FirjanAtivo"/>
    <s v="---"/>
    <n v="66"/>
    <n v="4137354000133"/>
    <n v="563"/>
    <n v="177705936959401"/>
    <s v="(21) 99422-672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36:19"/>
    <s v="3003 - FirjanAtivo"/>
    <s v="---"/>
    <n v="67"/>
    <n v="4160599000181"/>
    <n v="564"/>
    <n v="177705937959421"/>
    <s v="(24) 98107-825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36:41"/>
    <s v="3003 - FirjanAtivo"/>
    <s v="---"/>
    <n v="68"/>
    <n v="4356149000169"/>
    <n v="565"/>
    <n v="177705940159491"/>
    <s v="(21) 97123-078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44:26"/>
    <s v="3003 - FirjanAtivo"/>
    <s v="---"/>
    <n v="69"/>
    <n v="4371864000170"/>
    <n v="566"/>
    <n v="177705986660541"/>
    <s v="(22) 99965-101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44:26"/>
    <s v="3003 - FirjanAtivo"/>
    <s v="---"/>
    <n v="71"/>
    <n v="4433625000106"/>
    <n v="567"/>
    <n v="177705986660551"/>
    <s v="(21) 98225-792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44:39"/>
    <s v="3003 - FirjanAtivo"/>
    <s v="---"/>
    <n v="73"/>
    <n v="4728735000197"/>
    <n v="568"/>
    <n v="177705987960571"/>
    <s v="(22) 99835-027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45:15"/>
    <s v="3003 - FirjanAtivo"/>
    <s v="---"/>
    <n v="74"/>
    <n v="4900076000124"/>
    <n v="569"/>
    <n v="177705991560631"/>
    <s v="(21) 98882-567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45:23"/>
    <s v="3003 - FirjanAtivo"/>
    <s v="---"/>
    <n v="75"/>
    <n v="4987252000107"/>
    <n v="570"/>
    <n v="177705992360651"/>
    <s v="(21) 99335-661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45:25"/>
    <s v="3003 - FirjanAtivo"/>
    <s v="---"/>
    <n v="76"/>
    <n v="5068583000106"/>
    <n v="571"/>
    <n v="177705992560671"/>
    <s v="(21) 99701-899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45:38"/>
    <s v="3003 - FirjanAtivo"/>
    <s v="---"/>
    <n v="77"/>
    <n v="5105470000133"/>
    <n v="572"/>
    <n v="177705993860691"/>
    <s v="(21) 99254-119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45:47"/>
    <s v="3003 - FirjanAtivo"/>
    <s v="---"/>
    <n v="78"/>
    <n v="5124020000198"/>
    <n v="573"/>
    <n v="177705994760711"/>
    <s v="(21) 96416-636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46:09"/>
    <s v="3003 - FirjanAtivo"/>
    <s v="---"/>
    <n v="79"/>
    <n v="5133369000196"/>
    <n v="574"/>
    <n v="177705996960751"/>
    <s v="(21) 98160-0166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46:11"/>
    <s v="3003 - FirjanAtivo"/>
    <s v="---"/>
    <n v="80"/>
    <n v="5207886000162"/>
    <n v="575"/>
    <n v="177705997160771"/>
    <s v="(21) 98208-390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46:38"/>
    <s v="3003 - FirjanAtivo"/>
    <s v="---"/>
    <n v="81"/>
    <n v="5476516000120"/>
    <n v="576"/>
    <n v="177705999860791"/>
    <s v="(21) 99999-707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46:48"/>
    <s v="3003 - FirjanAtivo"/>
    <s v="---"/>
    <n v="82"/>
    <n v="5483497000160"/>
    <n v="577"/>
    <n v="177706000860811"/>
    <s v="(24) 99999-7466"/>
    <s v="Falha"/>
    <s v="Discador"/>
    <s v="Ocupado"/>
    <s v="Ocupado"/>
    <s v="ACAOBP24042026v2"/>
    <s v="--"/>
    <n v="17"/>
    <m/>
    <m/>
    <d v="1899-12-30T00:00:00"/>
    <s v="---"/>
    <s v=""/>
    <x v="2"/>
  </r>
  <r>
    <d v="2026-04-24T16:46:54"/>
    <s v="3003 - FirjanAtivo"/>
    <s v="---"/>
    <n v="83"/>
    <n v="5485452000124"/>
    <n v="578"/>
    <n v="177706001460831"/>
    <s v="(81) 99651-3130"/>
    <s v="Falha"/>
    <s v="Discador"/>
    <s v="Ocupado"/>
    <s v="Ocupado"/>
    <s v="ACAOBP24042026v2"/>
    <s v="--"/>
    <n v="17"/>
    <m/>
    <m/>
    <d v="1899-12-30T00:00:00"/>
    <s v="---"/>
    <s v=""/>
    <x v="2"/>
  </r>
  <r>
    <d v="2026-04-24T16:47:19"/>
    <s v="3003 - FirjanAtivo"/>
    <s v="---"/>
    <n v="84"/>
    <n v="5487548000121"/>
    <n v="579"/>
    <n v="177706003960931"/>
    <s v="(21) 98478-1854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47:26"/>
    <s v="3003 - FirjanAtivo"/>
    <s v="---"/>
    <n v="85"/>
    <n v="5587109000190"/>
    <n v="580"/>
    <n v="177706004660951"/>
    <s v="(21) 96500-6500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47:34"/>
    <s v="3003 - FirjanAtivo"/>
    <s v="---"/>
    <n v="86"/>
    <n v="5600088000104"/>
    <n v="581"/>
    <n v="177706005460971"/>
    <s v="(21) 96769-1155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47:51"/>
    <s v="3003 - FirjanAtivo"/>
    <s v="---"/>
    <n v="88"/>
    <n v="5870198000188"/>
    <n v="582"/>
    <n v="177706007160991"/>
    <s v="(22) 99999-7377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48:14"/>
    <s v="3003 - FirjanAtivo"/>
    <s v="---"/>
    <n v="89"/>
    <n v="5887391000121"/>
    <n v="583"/>
    <n v="177706009461071"/>
    <s v="(22) 99780-6677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48:16"/>
    <s v="3003 - FirjanAtivo"/>
    <s v="---"/>
    <n v="90"/>
    <n v="5951912000162"/>
    <n v="584"/>
    <n v="177706009661091"/>
    <s v="(22) 99278-483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48:29"/>
    <s v="3003 - FirjanAtivo"/>
    <s v="---"/>
    <n v="91"/>
    <n v="6058857000149"/>
    <n v="585"/>
    <n v="177706010961111"/>
    <s v="(22) 99832-543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48:30"/>
    <s v="3003 - FirjanAtivo"/>
    <s v="---"/>
    <n v="92"/>
    <n v="6093542000132"/>
    <n v="586"/>
    <n v="177706011061131"/>
    <s v="(22) 98115-032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49:02"/>
    <s v="3003 - FirjanAtivo"/>
    <s v="---"/>
    <n v="93"/>
    <n v="6100968000176"/>
    <n v="587"/>
    <n v="177706014261151"/>
    <s v="(55) 21998-9106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6:49:17"/>
    <s v="3003 - FirjanAtivo"/>
    <s v="---"/>
    <n v="94"/>
    <n v="6215708000146"/>
    <n v="588"/>
    <n v="177706015761181"/>
    <s v="(21) 99859-445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49:32"/>
    <s v="3003 - FirjanAtivo"/>
    <s v="---"/>
    <n v="95"/>
    <n v="6236859000180"/>
    <n v="589"/>
    <n v="177706017261191"/>
    <s v="(24) 99277-769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49:43"/>
    <s v="3003 - FirjanAtivo"/>
    <s v="---"/>
    <n v="96"/>
    <n v="6276371000187"/>
    <n v="590"/>
    <n v="177706018361211"/>
    <s v="(21) 96459-2050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49:57"/>
    <s v="3003 - FirjanAtivo"/>
    <s v="---"/>
    <n v="97"/>
    <n v="6326043000148"/>
    <n v="591"/>
    <n v="177706019761241"/>
    <s v="(24) 99983-297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49:57"/>
    <s v="3003 - FirjanAtivo"/>
    <s v="---"/>
    <n v="98"/>
    <n v="6652280000107"/>
    <n v="592"/>
    <n v="177706019761251"/>
    <s v="(55) 21969-7751"/>
    <s v="Falha"/>
    <s v="Discador"/>
    <s v="Não Atendeu"/>
    <s v="Não Atendeu"/>
    <s v="ACAOBP24042026v2"/>
    <s v="--"/>
    <n v="1"/>
    <m/>
    <m/>
    <d v="1899-12-30T00:00:00"/>
    <s v="---"/>
    <s v=""/>
    <x v="2"/>
  </r>
  <r>
    <d v="2026-04-24T16:49:58"/>
    <s v="3003 - FirjanAtivo"/>
    <s v="---"/>
    <n v="99"/>
    <n v="6983876000181"/>
    <n v="593"/>
    <n v="177706019861261"/>
    <s v="(24) 99926-552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0:07"/>
    <s v="3003 - FirjanAtivo"/>
    <s v="---"/>
    <n v="100"/>
    <n v="7042642000364"/>
    <n v="594"/>
    <n v="177706020761281"/>
    <s v="(22) 99883-6782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6:50:42"/>
    <s v="3003 - FirjanAtivo"/>
    <s v="---"/>
    <n v="102"/>
    <n v="7211888000150"/>
    <n v="595"/>
    <n v="177706024261361"/>
    <s v="(21) 97041-619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0:55"/>
    <s v="3003 - FirjanAtivo"/>
    <s v="6052-Marcia Lima Peixoto"/>
    <n v="103"/>
    <n v="7355123000194"/>
    <n v="596"/>
    <n v="177706025561371"/>
    <s v="(24) 3326-4426"/>
    <n v="3003"/>
    <s v="Discador"/>
    <s v="Atendido"/>
    <s v="Enviar E-mail"/>
    <s v="ACAOBP24042026v2"/>
    <s v="Agente"/>
    <n v="16"/>
    <m/>
    <m/>
    <d v="1899-12-30T00:02:45"/>
    <d v="1899-12-30T00:02:41"/>
    <n v="1"/>
    <x v="2"/>
  </r>
  <r>
    <d v="2026-04-24T16:51:08"/>
    <s v="3003 - FirjanAtivo"/>
    <s v="---"/>
    <n v="104"/>
    <n v="7368744000102"/>
    <n v="597"/>
    <n v="177706026861491"/>
    <s v="(21) 98309-169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1:22"/>
    <s v="3003 - FirjanAtivo"/>
    <s v="---"/>
    <n v="105"/>
    <n v="7477770000179"/>
    <n v="598"/>
    <n v="177706028261551"/>
    <s v="(21) 96011-458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1:42"/>
    <s v="3003 - FirjanAtivo"/>
    <s v="---"/>
    <n v="106"/>
    <n v="7485047000131"/>
    <n v="599"/>
    <n v="177706030261571"/>
    <s v="(22) 99218-1454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52:01"/>
    <s v="3003 - FirjanAtivo"/>
    <s v="---"/>
    <n v="107"/>
    <n v="7525932000105"/>
    <n v="600"/>
    <n v="177706032161591"/>
    <s v="(21) 97390-5049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52:33"/>
    <s v="3003 - FirjanAtivo"/>
    <s v="---"/>
    <n v="108"/>
    <n v="7560240000190"/>
    <n v="601"/>
    <n v="177706035361611"/>
    <s v="(21) 99252-014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2:50"/>
    <s v="3003 - FirjanAtivo"/>
    <s v="---"/>
    <n v="110"/>
    <n v="7585606000185"/>
    <n v="602"/>
    <n v="177706037061631"/>
    <s v="(24) 98181-052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3:05"/>
    <s v="3003 - FirjanAtivo"/>
    <s v="---"/>
    <n v="111"/>
    <n v="7638597000143"/>
    <n v="603"/>
    <n v="177706038561651"/>
    <s v="(22) 99969-638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3:28"/>
    <s v="3003 - FirjanAtivo"/>
    <s v="---"/>
    <n v="112"/>
    <n v="7762793000125"/>
    <n v="604"/>
    <n v="177706040861671"/>
    <s v="(24) 93500-0794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6:53:59"/>
    <s v="3003 - FirjanAtivo"/>
    <s v="---"/>
    <n v="114"/>
    <n v="7876652000133"/>
    <n v="606"/>
    <n v="177706043961841"/>
    <s v="(22) 98819-282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4:11"/>
    <s v="3003 - FirjanAtivo"/>
    <s v="---"/>
    <n v="113"/>
    <n v="7783371000136"/>
    <n v="605"/>
    <n v="177706042461751"/>
    <s v="(24) 99969-6999"/>
    <n v="3003"/>
    <s v="Discador"/>
    <s v="Atendido"/>
    <s v="Fora de Area / Cx de Mensagens"/>
    <s v="ACAOBP24042026v2"/>
    <s v="Cliente"/>
    <n v="131"/>
    <m/>
    <m/>
    <d v="1899-12-30T00:00:33"/>
    <s v="---"/>
    <s v=""/>
    <x v="2"/>
  </r>
  <r>
    <d v="2026-04-24T16:54:27"/>
    <s v="3003 - FirjanAtivo"/>
    <s v="---"/>
    <n v="115"/>
    <n v="7955927000124"/>
    <n v="607"/>
    <n v="177706046761901"/>
    <s v="(22) 98101-229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4:27"/>
    <s v="3003 - FirjanAtivo"/>
    <s v="---"/>
    <n v="116"/>
    <n v="8083779000168"/>
    <n v="608"/>
    <n v="177706046761911"/>
    <s v="(24) 98133-259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5:12"/>
    <s v="3003 - FirjanAtivo"/>
    <s v="---"/>
    <n v="117"/>
    <n v="8117661000103"/>
    <n v="609"/>
    <n v="177706051261931"/>
    <s v="(24) 99850-015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5:13"/>
    <s v="3003 - FirjanAtivo"/>
    <s v="---"/>
    <n v="118"/>
    <n v="8144303000190"/>
    <n v="610"/>
    <n v="177706051361951"/>
    <s v="(21) 99989-160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5:30"/>
    <s v="3003 - FirjanAtivo"/>
    <s v="---"/>
    <n v="119"/>
    <n v="8174306000176"/>
    <n v="611"/>
    <n v="177706053061971"/>
    <s v="(21) 98636-641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5:44"/>
    <s v="3003 - FirjanAtivo"/>
    <s v="---"/>
    <n v="120"/>
    <n v="8226364000104"/>
    <n v="612"/>
    <n v="177706054461991"/>
    <s v="(24) 99855-1317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55:51"/>
    <s v="3003 - FirjanAtivo"/>
    <s v="---"/>
    <n v="121"/>
    <n v="8311819000262"/>
    <n v="613"/>
    <n v="177706055162011"/>
    <s v="(24) 98122-9498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56:03"/>
    <s v="3003 - FirjanAtivo"/>
    <s v="---"/>
    <n v="122"/>
    <n v="8518829000354"/>
    <n v="614"/>
    <n v="177706056362031"/>
    <s v="(21) 99188-7464"/>
    <n v="3003"/>
    <s v="Discador"/>
    <s v="Atendido"/>
    <s v="Fora de Area / Cx de Mensagens"/>
    <s v="ACAOBP24042026v2"/>
    <s v="--"/>
    <n v="128"/>
    <m/>
    <m/>
    <d v="1899-12-30T00:00:04"/>
    <s v="---"/>
    <s v=""/>
    <x v="2"/>
  </r>
  <r>
    <d v="2026-04-24T16:56:14"/>
    <s v="3003 - FirjanAtivo"/>
    <s v="---"/>
    <n v="123"/>
    <n v="8537926000122"/>
    <n v="615"/>
    <n v="177706057462051"/>
    <s v="(21) 99635-889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6:27"/>
    <s v="3003 - FirjanAtivo"/>
    <s v="---"/>
    <n v="124"/>
    <n v="8599024000110"/>
    <n v="616"/>
    <n v="177706058762101"/>
    <s v="(24) 98814-928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6:29"/>
    <s v="3003 - FirjanAtivo"/>
    <s v="---"/>
    <n v="126"/>
    <n v="8764146000115"/>
    <n v="618"/>
    <n v="177706058962121"/>
    <s v="(21) 97113-1928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56:51"/>
    <s v="3003 - FirjanAtivo"/>
    <s v="---"/>
    <n v="127"/>
    <n v="8879331000155"/>
    <n v="619"/>
    <n v="177706061162201"/>
    <s v="(21) 99951-7659"/>
    <s v="Falha"/>
    <s v="Discador"/>
    <s v="Não Atendeu"/>
    <s v="Não Atendeu"/>
    <s v="ACAOBP24042026v2"/>
    <s v="--"/>
    <n v="34"/>
    <m/>
    <m/>
    <d v="1899-12-30T00:00:00"/>
    <s v="---"/>
    <s v=""/>
    <x v="2"/>
  </r>
  <r>
    <d v="2026-04-24T16:56:57"/>
    <s v="3003 - FirjanAtivo"/>
    <s v="---"/>
    <n v="128"/>
    <n v="8892204000196"/>
    <n v="620"/>
    <n v="177706061762211"/>
    <s v="(21) 99465-4272"/>
    <s v="Falha"/>
    <s v="Discador"/>
    <s v="Não Atendeu"/>
    <s v="Não Atendeu"/>
    <s v="ACAOBP24042026v2"/>
    <s v="--"/>
    <n v="19"/>
    <m/>
    <m/>
    <d v="1899-12-30T00:00:00"/>
    <s v="---"/>
    <s v=""/>
    <x v="2"/>
  </r>
  <r>
    <d v="2026-04-24T16:56:57"/>
    <s v="3003 - FirjanAtivo"/>
    <s v="---"/>
    <n v="129"/>
    <n v="8912389000153"/>
    <n v="621"/>
    <n v="177706061762231"/>
    <s v="(21) 99752-2322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57:22"/>
    <s v="3003 - FirjanAtivo"/>
    <s v="---"/>
    <n v="130"/>
    <n v="8951936000100"/>
    <n v="622"/>
    <n v="177706064262311"/>
    <s v="(22) 99959-3764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7:47"/>
    <s v="3003 - FirjanAtivo"/>
    <s v="---"/>
    <n v="131"/>
    <n v="8973205000165"/>
    <n v="623"/>
    <n v="177706066762321"/>
    <s v="(24) 99860-523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8:09"/>
    <s v="3003 - FirjanAtivo"/>
    <s v="---"/>
    <n v="132"/>
    <n v="8996355000194"/>
    <n v="624"/>
    <n v="177706068962341"/>
    <s v="(21) 97990-031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8:18"/>
    <s v="3003 - FirjanAtivo"/>
    <s v="---"/>
    <n v="133"/>
    <n v="9082639000138"/>
    <n v="625"/>
    <n v="177706069862391"/>
    <s v="(22) 99824-9393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6:58:26"/>
    <s v="3003 - FirjanAtivo"/>
    <s v="---"/>
    <n v="136"/>
    <n v="9232340000112"/>
    <n v="626"/>
    <n v="177706070662411"/>
    <s v="(24) 98881-036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8:40"/>
    <s v="3003 - FirjanAtivo"/>
    <s v="---"/>
    <n v="137"/>
    <n v="9243828000145"/>
    <n v="627"/>
    <n v="177706072062471"/>
    <s v="(21) 98320-004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8:41"/>
    <s v="3003 - FirjanAtivo"/>
    <s v="---"/>
    <n v="139"/>
    <n v="9445964000118"/>
    <n v="628"/>
    <n v="177706072162491"/>
    <s v="(24) 99317-469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8:56"/>
    <s v="3003 - FirjanAtivo"/>
    <s v="---"/>
    <n v="140"/>
    <n v="9450692000144"/>
    <n v="629"/>
    <n v="177706073662511"/>
    <s v="(22) 99205-356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9:27"/>
    <s v="3003 - FirjanAtivo"/>
    <s v="---"/>
    <n v="141"/>
    <n v="9477090000180"/>
    <n v="630"/>
    <n v="177706076762651"/>
    <s v="(21) 98141-441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9:41"/>
    <s v="3003 - FirjanAtivo"/>
    <s v="---"/>
    <n v="142"/>
    <n v="9524235000157"/>
    <n v="631"/>
    <n v="177706078162671"/>
    <s v="(22) 98120-3199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6:59:46"/>
    <s v="3003 - FirjanAtivo"/>
    <s v="6052-Marcia Lima Peixoto"/>
    <n v="143"/>
    <n v="10199619000120"/>
    <n v="632"/>
    <n v="177706078662691"/>
    <s v="(32) 98406-8132"/>
    <n v="3003"/>
    <s v="Discador"/>
    <s v="Atendido"/>
    <s v="Enviar E-mail"/>
    <s v="ACAOBP24042026v2"/>
    <s v="Agente"/>
    <n v="16"/>
    <m/>
    <m/>
    <d v="1899-12-30T00:03:26"/>
    <d v="1899-12-30T00:03:21"/>
    <n v="1"/>
    <x v="2"/>
  </r>
  <r>
    <d v="2026-04-24T17:00:20"/>
    <s v="3003 - FirjanAtivo"/>
    <s v="---"/>
    <n v="144"/>
    <n v="10312430000100"/>
    <n v="633"/>
    <n v="177706082062721"/>
    <s v="(24) 99839-8875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7:00:40"/>
    <s v="3003 - FirjanAtivo"/>
    <s v="---"/>
    <n v="145"/>
    <n v="10320742000158"/>
    <n v="634"/>
    <n v="177706084062801"/>
    <s v="(21) 99819-678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7:01:09"/>
    <s v="3003 - FirjanAtivo"/>
    <s v="---"/>
    <n v="146"/>
    <n v="10335794000106"/>
    <n v="635"/>
    <n v="177706086962821"/>
    <s v="(22) 99871-5643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7:01:52"/>
    <s v="3003 - FirjanAtivo"/>
    <s v="---"/>
    <n v="147"/>
    <n v="10364002000113"/>
    <n v="636"/>
    <n v="177706091262981"/>
    <s v="(21) 99567-200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7:02:36"/>
    <s v="3003 - FirjanAtivo"/>
    <s v="---"/>
    <n v="148"/>
    <n v="10379649000119"/>
    <n v="637"/>
    <n v="177706095663041"/>
    <s v="(24) 99275-6001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7:03:17"/>
    <s v="3003 - FirjanAtivo"/>
    <s v="---"/>
    <n v="149"/>
    <n v="10433504000159"/>
    <n v="638"/>
    <n v="177706099763181"/>
    <s v="(22) 98177-043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7:03:28"/>
    <s v="3003 - FirjanAtivo"/>
    <s v="---"/>
    <n v="150"/>
    <n v="10443491000107"/>
    <n v="639"/>
    <n v="177706100863251"/>
    <s v="(22) 98169-6637"/>
    <n v="3003"/>
    <s v="Discador"/>
    <s v="Atendido"/>
    <s v="Fora de Area / Cx de Mensagens"/>
    <s v="ACAOBP24042026v2"/>
    <s v="--"/>
    <n v="131"/>
    <m/>
    <m/>
    <d v="1899-12-30T00:00:01"/>
    <s v="---"/>
    <s v=""/>
    <x v="2"/>
  </r>
  <r>
    <d v="2026-04-24T17:03:28"/>
    <s v="3003 - FirjanAtivo"/>
    <s v="---"/>
    <n v="151"/>
    <n v="10479198000191"/>
    <n v="640"/>
    <n v="177706100863261"/>
    <s v="(22) 98832-515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7:09:13"/>
    <s v="3003 - FirjanAtivo"/>
    <s v="---"/>
    <n v="152"/>
    <n v="10480153000137"/>
    <n v="641"/>
    <n v="177706135363731"/>
    <s v="(24) 99941-8760"/>
    <n v="3003"/>
    <s v="Discador"/>
    <s v="Atendido"/>
    <s v="Fora de Area / Cx de Mensagens"/>
    <s v="ACAOBP24042026v2"/>
    <s v="--"/>
    <n v="128"/>
    <m/>
    <m/>
    <d v="1899-12-30T00:00:06"/>
    <s v="---"/>
    <s v=""/>
    <x v="2"/>
  </r>
  <r>
    <d v="2026-04-24T17:09:13"/>
    <s v="3003 - FirjanAtivo"/>
    <s v="---"/>
    <n v="153"/>
    <n v="10594727000106"/>
    <n v="642"/>
    <n v="177706135363741"/>
    <s v="(24) 98803-723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7:09:39"/>
    <s v="3003 - FirjanAtivo"/>
    <s v="---"/>
    <n v="154"/>
    <n v="10737265000120"/>
    <n v="643"/>
    <n v="177706137963801"/>
    <s v="(22) 99212-851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7:09:58"/>
    <s v="3003 - FirjanAtivo"/>
    <s v="---"/>
    <n v="155"/>
    <n v="10745721000184"/>
    <n v="644"/>
    <n v="177706139863861"/>
    <s v="(21) 98204-7322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7:10:14"/>
    <s v="3003 - FirjanAtivo"/>
    <s v="---"/>
    <n v="156"/>
    <n v="10746169000149"/>
    <n v="645"/>
    <n v="177706141463881"/>
    <s v="(21) 98808-880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7:10:24"/>
    <s v="3003 - FirjanAtivo"/>
    <s v="---"/>
    <n v="157"/>
    <n v="10790942000174"/>
    <n v="646"/>
    <n v="177706142463901"/>
    <s v="(21) 96475-7007"/>
    <n v="3003"/>
    <s v="Discador"/>
    <s v="Atendido"/>
    <s v="Fora de Area / Cx de Mensagens"/>
    <s v="ACAOBP24042026v2"/>
    <s v="--"/>
    <n v="147"/>
    <m/>
    <m/>
    <d v="1899-12-30T00:00:07"/>
    <s v="---"/>
    <s v=""/>
    <x v="2"/>
  </r>
  <r>
    <d v="2026-04-24T17:10:42"/>
    <s v="3003 - FirjanAtivo"/>
    <s v="---"/>
    <n v="158"/>
    <n v="10888515000123"/>
    <n v="647"/>
    <n v="177706144263921"/>
    <s v="(21) 96496-7261"/>
    <n v="3003"/>
    <s v="Discador"/>
    <s v="Atendido"/>
    <s v="Fora de Area / Cx de Mensagens"/>
    <s v="ACAOBP24042026v2"/>
    <s v="--"/>
    <n v="128"/>
    <m/>
    <m/>
    <d v="1899-12-30T00:00:05"/>
    <s v="---"/>
    <s v=""/>
    <x v="2"/>
  </r>
  <r>
    <d v="2026-04-24T17:10:51"/>
    <s v="3003 - FirjanAtivo"/>
    <s v="---"/>
    <n v="159"/>
    <n v="10984785000138"/>
    <n v="648"/>
    <n v="177706145163941"/>
    <s v="(21) 98474-3198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7:10:52"/>
    <s v="3003 - FirjanAtivo"/>
    <s v="6052-Marcia Lima Peixoto"/>
    <n v="160"/>
    <n v="11013156000123"/>
    <n v="649"/>
    <n v="177706145263961"/>
    <s v="(22) 99261-9760"/>
    <n v="3003"/>
    <s v="Discador"/>
    <s v="Atendido"/>
    <s v="Ligação Muda"/>
    <s v="ACAOBP24042026v2"/>
    <s v="Agente"/>
    <n v="16"/>
    <m/>
    <m/>
    <d v="1899-12-30T00:00:19"/>
    <d v="1899-12-30T00:00:16"/>
    <s v=""/>
    <x v="2"/>
  </r>
  <r>
    <d v="2026-04-24T17:11:08"/>
    <s v="3003 - FirjanAtivo"/>
    <s v="---"/>
    <n v="161"/>
    <n v="11117005000115"/>
    <n v="650"/>
    <n v="177706146863991"/>
    <s v="(24) 99303-915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7:11:24"/>
    <s v="3003 - FirjanAtivo"/>
    <s v="---"/>
    <n v="163"/>
    <n v="11360283000107"/>
    <n v="651"/>
    <n v="177706148464011"/>
    <s v="(21) 96448-2900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7:11:48"/>
    <s v="3003 - FirjanAtivo"/>
    <s v="---"/>
    <n v="164"/>
    <n v="11642542000184"/>
    <n v="652"/>
    <n v="177706150864091"/>
    <s v="(24) 99904-2812"/>
    <n v="3003"/>
    <s v="Discador"/>
    <s v="Atendido"/>
    <s v="Fora de Area / Cx de Mensagens"/>
    <s v="ACAOBP24042026v2"/>
    <s v="--"/>
    <n v="131"/>
    <m/>
    <m/>
    <d v="1899-12-30T00:00:04"/>
    <s v="---"/>
    <s v=""/>
    <x v="2"/>
  </r>
  <r>
    <d v="2026-04-24T17:11:59"/>
    <s v="3003 - FirjanAtivo"/>
    <s v="---"/>
    <n v="165"/>
    <n v="11649203000120"/>
    <n v="653"/>
    <n v="177706151964121"/>
    <s v="(24) 99825-7296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7:12:03"/>
    <s v="3003 - FirjanAtivo"/>
    <s v="---"/>
    <n v="166"/>
    <n v="11661920000177"/>
    <n v="654"/>
    <n v="177706152364191"/>
    <s v="(24) 99227-1713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4-24T17:12:13"/>
    <s v="3003 - FirjanAtivo"/>
    <s v="---"/>
    <n v="167"/>
    <n v="11701732000125"/>
    <n v="655"/>
    <n v="177706153364211"/>
    <s v="(22) 99737-2827"/>
    <n v="3003"/>
    <s v="Discador"/>
    <s v="Atendido"/>
    <s v="Fora de Area / Cx de Mensagens"/>
    <s v="ACAOBP24042026v2"/>
    <s v="--"/>
    <n v="128"/>
    <m/>
    <m/>
    <d v="1899-12-30T00:00:07"/>
    <s v="---"/>
    <s v=""/>
    <x v="2"/>
  </r>
  <r>
    <d v="2026-05-26T09:27:31"/>
    <s v="3003 - FirjanAtivo"/>
    <s v="6044-Roseli Honorato Dos Santos"/>
    <m/>
    <m/>
    <n v="2772746630"/>
    <n v="17797984515921"/>
    <s v="(21) 2038-4382"/>
    <s v="(24) 99294-8155"/>
    <s v="Sainte"/>
    <s v="Atendido"/>
    <s v="INFORMADO"/>
    <m/>
    <s v="Cliente"/>
    <n v="16"/>
    <m/>
    <m/>
    <d v="1899-12-30T00:02:19"/>
    <d v="1899-12-30T00:02:13"/>
    <s v=""/>
    <x v="3"/>
  </r>
  <r>
    <d v="2026-05-26T09:31:51"/>
    <s v="3003 - FirjanAtivo"/>
    <s v="6052-Marcia Lima Peixoto"/>
    <m/>
    <m/>
    <n v="2764767586"/>
    <n v="17797987116671"/>
    <s v="(21) 2038-4382"/>
    <s v="(21) 98496-8854"/>
    <s v="Sainte"/>
    <s v="Atendido"/>
    <s v="Retornar"/>
    <m/>
    <s v="Cliente"/>
    <n v="16"/>
    <m/>
    <m/>
    <d v="1899-12-30T00:00:46"/>
    <d v="1899-12-30T00:00:32"/>
    <s v=""/>
    <x v="3"/>
  </r>
  <r>
    <d v="2026-05-26T09:42:18"/>
    <s v="3003 - FirjanAtivo"/>
    <s v="6044-Roseli Honorato Dos Santos"/>
    <m/>
    <m/>
    <n v="2744677443"/>
    <n v="17797993388201"/>
    <s v="(21) 2038-4382"/>
    <s v="(21) 96487-8084"/>
    <s v="Sainte"/>
    <s v="Atendido"/>
    <s v="Fora de Area / Cx de Mensagens"/>
    <m/>
    <s v="Cliente"/>
    <n v="16"/>
    <m/>
    <m/>
    <d v="1899-12-30T00:00:48"/>
    <d v="1899-12-30T00:00:10"/>
    <s v=""/>
    <x v="3"/>
  </r>
  <r>
    <d v="2026-05-26T09:45:19"/>
    <s v="3003 - FirjanAtivo"/>
    <s v="6052-Marcia Lima Peixoto"/>
    <m/>
    <m/>
    <n v="2712668116"/>
    <n v="17797994698461"/>
    <s v="(21) 2038-4382"/>
    <s v="(11) 93286-8636"/>
    <s v="Sainte"/>
    <s v="Ocupado"/>
    <m/>
    <m/>
    <s v="Cliente"/>
    <n v="19"/>
    <m/>
    <m/>
    <d v="1899-12-30T00:00:01"/>
    <s v="---"/>
    <s v=""/>
    <x v="3"/>
  </r>
  <r>
    <d v="2026-05-26T09:46:32"/>
    <s v="3003 - FirjanAtivo"/>
    <s v="6044-Roseli Honorato Dos Santos"/>
    <m/>
    <m/>
    <n v="2779766381"/>
    <n v="17797995928641"/>
    <s v="(21) 2038-4382"/>
    <s v="(24) 99996-6765"/>
    <s v="Sainte"/>
    <s v="Atendido"/>
    <s v="Tel Não Atende / Ocupado"/>
    <m/>
    <s v="Cliente"/>
    <n v="16"/>
    <m/>
    <m/>
    <d v="1899-12-30T00:00:22"/>
    <d v="1899-12-30T00:00:07"/>
    <s v=""/>
    <x v="3"/>
  </r>
  <r>
    <d v="2026-05-26T09:47:32"/>
    <s v="3003 - FirjanAtivo"/>
    <s v="6044-Roseli Honorato Dos Santos"/>
    <m/>
    <m/>
    <n v="2779766441"/>
    <n v="17797996528821"/>
    <s v="(21) 2038-4382"/>
    <s v="(24) 99996-6765"/>
    <s v="Sainte"/>
    <s v="Atendido"/>
    <s v="Tel Não Atende / Ocupado"/>
    <m/>
    <s v="Cliente"/>
    <n v="16"/>
    <m/>
    <m/>
    <d v="1899-12-30T00:00:16"/>
    <d v="1899-12-30T00:00:08"/>
    <s v=""/>
    <x v="3"/>
  </r>
  <r>
    <d v="2026-05-26T09:48:09"/>
    <s v="3003 - FirjanAtivo"/>
    <s v="6044-Roseli Honorato Dos Santos"/>
    <m/>
    <m/>
    <n v="2779766478"/>
    <n v="17797996899021"/>
    <s v="(21) 2038-4382"/>
    <s v="(24) 99996-6765"/>
    <s v="Sainte"/>
    <s v="Atendido"/>
    <s v="Tel Não Atende / Ocupado"/>
    <m/>
    <s v="Agente"/>
    <n v="16"/>
    <m/>
    <m/>
    <d v="1899-12-30T00:00:34"/>
    <d v="1899-12-30T00:00:24"/>
    <s v=""/>
    <x v="3"/>
  </r>
  <r>
    <d v="2026-05-26T09:48:50"/>
    <s v="3003 - FirjanAtivo"/>
    <s v="6052-Marcia Lima Peixoto"/>
    <m/>
    <m/>
    <n v="2777461950"/>
    <n v="17797997309091"/>
    <s v="(21) 2038-4382"/>
    <s v="(22) 99766-2198"/>
    <s v="Sainte"/>
    <s v="Atendido"/>
    <s v="Fora de Area / Cx de Mensagens"/>
    <m/>
    <s v="Agente"/>
    <n v="16"/>
    <m/>
    <m/>
    <d v="1899-12-30T00:00:17"/>
    <d v="1899-12-30T00:00:03"/>
    <s v=""/>
    <x v="3"/>
  </r>
  <r>
    <d v="2026-05-26T09:48:52"/>
    <s v="3003 - FirjanAtivo"/>
    <s v="6044-Roseli Honorato Dos Santos"/>
    <m/>
    <m/>
    <n v="2779766521"/>
    <n v="17797997329111"/>
    <s v="(21) 2038-4382"/>
    <s v="(24) 99996-6765"/>
    <s v="Sainte"/>
    <s v="Atendido"/>
    <s v="Tel Não Atende / Ocupado"/>
    <m/>
    <s v="Agente"/>
    <n v="16"/>
    <m/>
    <m/>
    <d v="1899-12-30T00:00:26"/>
    <d v="1899-12-30T00:00:13"/>
    <s v=""/>
    <x v="3"/>
  </r>
  <r>
    <d v="2026-05-26T09:49:30"/>
    <s v="3003 - FirjanAtivo"/>
    <s v="6044-Roseli Honorato Dos Santos"/>
    <m/>
    <m/>
    <n v="2773751773"/>
    <n v="17797997709191"/>
    <s v="(21) 2038-4382"/>
    <s v="(24) 99395-1979"/>
    <s v="Sainte"/>
    <s v="Atendido"/>
    <s v="INFORMADO"/>
    <m/>
    <s v="Cliente"/>
    <n v="16"/>
    <m/>
    <m/>
    <d v="1899-12-30T00:03:28"/>
    <d v="1899-12-30T00:03:13"/>
    <s v=""/>
    <x v="3"/>
  </r>
  <r>
    <d v="2026-05-26T09:49:50"/>
    <s v="3003 - FirjanAtivo"/>
    <s v="6052-Marcia Lima Peixoto"/>
    <m/>
    <m/>
    <n v="2761398597"/>
    <n v="17797997909251"/>
    <s v="(21) 2038-4382"/>
    <s v="(24) 98159-8783"/>
    <s v="Sainte"/>
    <s v="Atendido"/>
    <s v="Fora de Area / Cx de Mensagens"/>
    <m/>
    <s v="Agente"/>
    <n v="16"/>
    <m/>
    <m/>
    <d v="1899-12-30T00:00:28"/>
    <d v="1899-12-30T00:00:04"/>
    <s v=""/>
    <x v="3"/>
  </r>
  <r>
    <d v="2026-05-26T09:50:55"/>
    <s v="3003 - FirjanAtivo"/>
    <s v="6052-Marcia Lima Peixoto"/>
    <m/>
    <m/>
    <n v="2778959974"/>
    <n v="17797998559281"/>
    <s v="(21) 2038-4382"/>
    <s v="(22) 99916-0097"/>
    <s v="Sainte"/>
    <s v="Atendido"/>
    <s v="Fora de Area / Cx de Mensagens"/>
    <m/>
    <s v="Agente"/>
    <n v="16"/>
    <m/>
    <m/>
    <d v="1899-12-30T00:00:42"/>
    <d v="1899-12-30T00:00:01"/>
    <s v=""/>
    <x v="3"/>
  </r>
  <r>
    <d v="2026-05-26T09:52:13"/>
    <s v="3003 - FirjanAtivo"/>
    <s v="6052-Marcia Lima Peixoto"/>
    <m/>
    <m/>
    <n v="2761254398"/>
    <n v="17797999339371"/>
    <s v="(21) 2038-4382"/>
    <s v="(24) 98145-4441"/>
    <s v="Sainte"/>
    <s v="Atendido"/>
    <s v="Tel Não Atende / Ocupado"/>
    <m/>
    <s v="Agente"/>
    <n v="16"/>
    <m/>
    <m/>
    <d v="1899-12-30T00:00:30"/>
    <d v="1899-12-30T00:00:07"/>
    <s v=""/>
    <x v="3"/>
  </r>
  <r>
    <d v="2026-05-26T09:53:38"/>
    <s v="3003 - FirjanAtivo"/>
    <s v="6052-Marcia Lima Peixoto"/>
    <m/>
    <m/>
    <n v="2767205794"/>
    <n v="17798000189911"/>
    <s v="(21) 2038-4382"/>
    <s v="(21) 98740-5755"/>
    <s v="Sainte"/>
    <s v="Atendido"/>
    <s v="Fora de Area / Cx de Mensagens"/>
    <m/>
    <s v="Agente"/>
    <n v="16"/>
    <m/>
    <m/>
    <d v="1899-12-30T00:00:32"/>
    <d v="1899-12-30T00:00:05"/>
    <s v=""/>
    <x v="3"/>
  </r>
  <r>
    <d v="2026-05-26T09:54:42"/>
    <s v="3003 - FirjanAtivo"/>
    <s v="6052-Marcia Lima Peixoto"/>
    <m/>
    <m/>
    <n v="2743914961"/>
    <n v="177980008210101"/>
    <s v="(21) 2038-4382"/>
    <s v="(21) 96411-4857"/>
    <s v="Sainte"/>
    <s v="Atendido"/>
    <s v="INFORMADO"/>
    <m/>
    <s v="Agente"/>
    <n v="16"/>
    <m/>
    <m/>
    <d v="1899-12-30T00:05:26"/>
    <d v="1899-12-30T00:05:19"/>
    <s v=""/>
    <x v="3"/>
  </r>
  <r>
    <d v="2026-05-26T09:55:30"/>
    <s v="3003 - FirjanAtivo"/>
    <s v="6044-Roseli Honorato Dos Santos"/>
    <m/>
    <m/>
    <n v="2779224102"/>
    <n v="177980013010361"/>
    <s v="(21) 2038-4382"/>
    <s v="(24) 99942-3948"/>
    <s v="Sainte"/>
    <s v="Atendido"/>
    <s v="Fora de Area / Cx de Mensagens"/>
    <m/>
    <s v="Agente"/>
    <n v="16"/>
    <m/>
    <m/>
    <d v="1899-12-30T00:01:09"/>
    <d v="1899-12-30T00:00:59"/>
    <s v=""/>
    <x v="3"/>
  </r>
  <r>
    <d v="2026-05-26T09:58:09"/>
    <s v="3003 - FirjanAtivo"/>
    <s v="6044-Roseli Honorato Dos Santos"/>
    <m/>
    <m/>
    <n v="2761155616"/>
    <n v="177980024110761"/>
    <s v="(21) 2038-4382"/>
    <s v="(24) 98135-5351"/>
    <s v="Sainte"/>
    <s v="Ocupado"/>
    <m/>
    <m/>
    <s v="Cliente"/>
    <n v="19"/>
    <m/>
    <m/>
    <d v="1899-12-30T00:00:01"/>
    <s v="---"/>
    <s v=""/>
    <x v="3"/>
  </r>
  <r>
    <d v="2026-05-26T09:58:24"/>
    <s v="3003 - FirjanAtivo"/>
    <s v="6044-Roseli Honorato Dos Santos"/>
    <m/>
    <m/>
    <n v="2761155679"/>
    <n v="177980030410881"/>
    <s v="(21) 2038-4382"/>
    <s v="(24) 98135-5351"/>
    <s v="Sainte"/>
    <s v="Não Atendeu"/>
    <m/>
    <m/>
    <s v="Agente"/>
    <n v="19"/>
    <m/>
    <m/>
    <d v="1899-12-30T00:00:49"/>
    <s v="---"/>
    <s v=""/>
    <x v="3"/>
  </r>
  <r>
    <d v="2026-05-26T09:59:36"/>
    <s v="3003 - FirjanAtivo"/>
    <s v="6044-Roseli Honorato Dos Santos"/>
    <m/>
    <m/>
    <n v="2760941804"/>
    <n v="177980037611111"/>
    <s v="(21) 2038-4382"/>
    <s v="(24) 98114-1403"/>
    <s v="Sainte"/>
    <s v="Atendido"/>
    <s v="Enviar E-mail"/>
    <m/>
    <s v="Cliente"/>
    <n v="16"/>
    <m/>
    <m/>
    <d v="1899-12-30T00:05:00"/>
    <d v="1899-12-30T00:04:46"/>
    <n v="1"/>
    <x v="3"/>
  </r>
  <r>
    <d v="2026-05-26T10:03:42"/>
    <s v="3003 - FirjanAtivo"/>
    <s v="6052-Marcia Lima Peixoto"/>
    <m/>
    <m/>
    <n v="2771846443"/>
    <n v="177980062211371"/>
    <s v="(21) 2038-4382"/>
    <s v="(21) 99204-5800"/>
    <s v="Sainte"/>
    <s v="Atendido"/>
    <s v="Retornar"/>
    <m/>
    <s v="Cliente"/>
    <n v="16"/>
    <m/>
    <m/>
    <d v="1899-12-30T00:00:48"/>
    <d v="1899-12-30T00:00:42"/>
    <s v=""/>
    <x v="3"/>
  </r>
  <r>
    <d v="2026-05-26T10:15:07"/>
    <s v="3003 - FirjanAtivo"/>
    <s v="6044-Roseli Honorato Dos Santos"/>
    <m/>
    <m/>
    <n v="2753817666"/>
    <n v="177980130713861"/>
    <s v="(21) 2038-4382"/>
    <s v="(24) 97401-6335"/>
    <s v="Sainte"/>
    <s v="Atendido"/>
    <s v="Formulário Preenchido"/>
    <m/>
    <s v="Cliente"/>
    <n v="16"/>
    <m/>
    <m/>
    <d v="1899-12-30T00:01:20"/>
    <d v="1899-12-30T00:01:14"/>
    <s v=""/>
    <x v="3"/>
  </r>
  <r>
    <d v="2026-05-26T10:18:24"/>
    <s v="3003 - FirjanAtivo"/>
    <s v="6052-Marcia Lima Peixoto"/>
    <m/>
    <m/>
    <n v="2779234347"/>
    <n v="177980150414151"/>
    <s v="(21) 2038-4382"/>
    <s v="(22) 99943-2820"/>
    <s v="Sainte"/>
    <s v="Não Atendeu"/>
    <m/>
    <m/>
    <s v="Agente"/>
    <n v="19"/>
    <m/>
    <m/>
    <d v="1899-12-30T00:00:21"/>
    <s v="---"/>
    <s v=""/>
    <x v="3"/>
  </r>
  <r>
    <d v="2026-05-26T10:20:22"/>
    <s v="3003 - FirjanAtivo"/>
    <s v="6052-Marcia Lima Peixoto"/>
    <m/>
    <m/>
    <n v="2763958489"/>
    <n v="177980162214181"/>
    <s v="(21) 2038-4382"/>
    <s v="(21) 98415-6846"/>
    <s v="Sainte"/>
    <s v="Atendido"/>
    <s v="Fora de Area / Cx de Mensagens"/>
    <m/>
    <s v="Agente"/>
    <n v="16"/>
    <m/>
    <m/>
    <d v="1899-12-30T00:00:17"/>
    <d v="1899-12-30T00:00:01"/>
    <s v=""/>
    <x v="3"/>
  </r>
  <r>
    <d v="2026-05-26T10:21:12"/>
    <s v="3003 - FirjanAtivo"/>
    <s v="6052-Marcia Lima Peixoto"/>
    <m/>
    <m/>
    <n v="2745050032"/>
    <n v="177980167214321"/>
    <s v="(21) 2038-4382"/>
    <s v="(21) 96524-8339"/>
    <s v="Sainte"/>
    <s v="Atendido"/>
    <s v="Enviar E-mail"/>
    <m/>
    <s v="Agente"/>
    <n v="16"/>
    <m/>
    <m/>
    <d v="1899-12-30T00:04:59"/>
    <d v="1899-12-30T00:04:50"/>
    <n v="1"/>
    <x v="3"/>
  </r>
  <r>
    <d v="2026-05-26T10:21:58"/>
    <s v="3003 - FirjanAtivo"/>
    <s v="6044-Roseli Honorato Dos Santos"/>
    <m/>
    <m/>
    <n v="2779700846"/>
    <n v="177980171814351"/>
    <s v="(21) 2038-4382"/>
    <s v="(21) 99989-9107"/>
    <s v="Sainte"/>
    <s v="Atendido"/>
    <s v="Fora de Area / Cx de Mensagens"/>
    <m/>
    <s v="Agente"/>
    <n v="16"/>
    <m/>
    <m/>
    <d v="1899-12-30T00:00:41"/>
    <d v="1899-12-30T00:00:18"/>
    <s v=""/>
    <x v="3"/>
  </r>
  <r>
    <d v="2026-05-26T10:23:09"/>
    <s v="3003 - FirjanAtivo"/>
    <s v="6044-Roseli Honorato Dos Santos"/>
    <m/>
    <m/>
    <n v="2761174985"/>
    <n v="177980178914541"/>
    <s v="(21) 2038-4382"/>
    <s v="(22) 98137-3174"/>
    <s v="Sainte"/>
    <s v="Atendido"/>
    <s v="Tel Não Atende / Ocupado"/>
    <m/>
    <s v="Cliente"/>
    <n v="16"/>
    <m/>
    <m/>
    <d v="1899-12-30T00:00:18"/>
    <d v="1899-12-30T00:00:09"/>
    <s v=""/>
    <x v="3"/>
  </r>
  <r>
    <d v="2026-05-26T10:25:13"/>
    <s v="3003 - FirjanAtivo"/>
    <s v="6044-Roseli Honorato Dos Santos"/>
    <m/>
    <m/>
    <n v="2761175099"/>
    <n v="177980190314821"/>
    <s v="(21) 2038-4382"/>
    <s v="(22) 98137-3174"/>
    <s v="Sainte"/>
    <s v="Ocupado"/>
    <m/>
    <m/>
    <s v="Cliente"/>
    <n v="17"/>
    <m/>
    <m/>
    <d v="1899-12-30T00:00:01"/>
    <s v="---"/>
    <s v=""/>
    <x v="3"/>
  </r>
  <r>
    <d v="2026-05-26T10:25:58"/>
    <s v="3003 - FirjanAtivo"/>
    <s v="6044-Roseli Honorato Dos Santos"/>
    <m/>
    <m/>
    <n v="2761175154"/>
    <n v="177980195815021"/>
    <s v="(21) 2038-4382"/>
    <s v="(22) 98137-3174"/>
    <s v="Sainte"/>
    <s v="Não Atendeu"/>
    <m/>
    <m/>
    <s v="Agente"/>
    <n v="19"/>
    <m/>
    <m/>
    <d v="1899-12-30T00:00:06"/>
    <s v="---"/>
    <s v=""/>
    <x v="3"/>
  </r>
  <r>
    <d v="2026-05-26T10:26:28"/>
    <s v="3003 - FirjanAtivo"/>
    <s v="6044-Roseli Honorato Dos Santos"/>
    <m/>
    <m/>
    <n v="2771813688"/>
    <n v="177980198815181"/>
    <s v="(21) 2038-4382"/>
    <s v="(24) 99201-1676"/>
    <s v="Sainte"/>
    <s v="Atendido"/>
    <s v="INFORMADO"/>
    <m/>
    <s v="Cliente"/>
    <n v="16"/>
    <m/>
    <m/>
    <d v="1899-12-30T00:04:18"/>
    <d v="1899-12-30T00:04:04"/>
    <s v=""/>
    <x v="3"/>
  </r>
  <r>
    <d v="2026-05-26T10:35:34"/>
    <s v="3003 - FirjanAtivo"/>
    <s v="6044-Roseli Honorato Dos Santos"/>
    <m/>
    <m/>
    <n v="2777792647"/>
    <n v="177980253415971"/>
    <s v="(21) 2038-4382"/>
    <s v="(22) 99799-0091"/>
    <s v="Sainte"/>
    <s v="Atendido"/>
    <s v="Tel Não Atende / Ocupado"/>
    <m/>
    <s v="Agente"/>
    <n v="16"/>
    <m/>
    <m/>
    <d v="1899-12-30T00:00:55"/>
    <d v="1899-12-30T00:00:46"/>
    <s v=""/>
    <x v="3"/>
  </r>
  <r>
    <d v="2026-05-26T10:36:45"/>
    <s v="3003 - FirjanAtivo"/>
    <s v="6044-Roseli Honorato Dos Santos"/>
    <m/>
    <m/>
    <n v="2777792718"/>
    <n v="177980260516131"/>
    <s v="(21) 2038-4382"/>
    <s v="(22) 99799-0091"/>
    <s v="Sainte"/>
    <s v="Atendido"/>
    <s v="Não tem interesse"/>
    <m/>
    <s v="Cliente"/>
    <n v="16"/>
    <m/>
    <m/>
    <d v="1899-12-30T00:02:05"/>
    <d v="1899-12-30T00:02:00"/>
    <s v=""/>
    <x v="3"/>
  </r>
  <r>
    <d v="2026-05-26T10:39:33"/>
    <s v="3003 - FirjanAtivo"/>
    <s v="6044-Roseli Honorato Dos Santos"/>
    <m/>
    <m/>
    <n v="2767195612"/>
    <n v="177980277316961"/>
    <s v="(21) 2038-4382"/>
    <s v="(21) 98739-2818"/>
    <s v="Sainte"/>
    <s v="Atendido"/>
    <s v="Fora de Area / Cx de Mensagens"/>
    <m/>
    <s v="Agente"/>
    <n v="16"/>
    <m/>
    <m/>
    <d v="1899-12-30T00:00:36"/>
    <d v="1899-12-30T00:00:19"/>
    <s v=""/>
    <x v="3"/>
  </r>
  <r>
    <d v="2026-05-26T10:41:57"/>
    <s v="3003 - FirjanAtivo"/>
    <s v="6044-Roseli Honorato Dos Santos"/>
    <m/>
    <m/>
    <n v="2747164051"/>
    <n v="177980291717381"/>
    <s v="(21) 2038-4382"/>
    <s v="(21) 96736-1113"/>
    <s v="Sainte"/>
    <s v="Atendido"/>
    <s v="Fora de Area / Cx de Mensagens"/>
    <m/>
    <s v="Agente"/>
    <n v="16"/>
    <m/>
    <m/>
    <d v="1899-12-30T00:01:32"/>
    <d v="1899-12-30T00:01:15"/>
    <s v=""/>
    <x v="3"/>
  </r>
  <r>
    <d v="2026-05-26T10:42:06"/>
    <s v="3003 - FirjanAtivo"/>
    <s v="6052-Marcia Lima Peixoto"/>
    <m/>
    <m/>
    <n v="2748822980"/>
    <n v="177980292617471"/>
    <s v="(21) 2038-4382"/>
    <s v="(21) 96902-0033"/>
    <s v="Sainte"/>
    <s v="Não Atendeu"/>
    <m/>
    <m/>
    <s v="Agente"/>
    <n v="19"/>
    <m/>
    <m/>
    <d v="1899-12-30T00:00:14"/>
    <s v="---"/>
    <s v=""/>
    <x v="3"/>
  </r>
  <r>
    <d v="2026-05-26T10:43:26"/>
    <s v="3003 - FirjanAtivo"/>
    <s v="6052-Marcia Lima Peixoto"/>
    <m/>
    <m/>
    <n v="2763354867"/>
    <n v="177980300617581"/>
    <s v="(21) 2038-4382"/>
    <s v="(21) 98355-1840"/>
    <s v="Sainte"/>
    <s v="Atendido"/>
    <s v="Enviar E-mail"/>
    <m/>
    <s v="Cliente"/>
    <n v="16"/>
    <m/>
    <m/>
    <d v="1899-12-30T00:04:54"/>
    <d v="1899-12-30T00:04:48"/>
    <n v="1"/>
    <x v="3"/>
  </r>
  <r>
    <d v="2026-05-26T10:43:55"/>
    <s v="3003 - FirjanAtivo"/>
    <s v="6044-Roseli Honorato Dos Santos"/>
    <m/>
    <m/>
    <n v="2779168514"/>
    <n v="177980303517741"/>
    <s v="(21) 2038-4382"/>
    <s v="(22) 99936-5457"/>
    <s v="Sainte"/>
    <s v="Atendido"/>
    <s v="Enviar E-mail"/>
    <m/>
    <s v="Agente"/>
    <n v="16"/>
    <m/>
    <m/>
    <d v="1899-12-30T00:04:56"/>
    <d v="1899-12-30T00:04:47"/>
    <n v="1"/>
    <x v="3"/>
  </r>
  <r>
    <d v="2026-05-26T10:50:09"/>
    <s v="3003 - FirjanAtivo"/>
    <s v="6052-Marcia Lima Peixoto"/>
    <m/>
    <m/>
    <n v="2779420544"/>
    <n v="177980340918611"/>
    <s v="(21) 2038-4382"/>
    <s v="(22) 99961-7113"/>
    <s v="Sainte"/>
    <s v="Atendido"/>
    <s v="Enviar E-mail"/>
    <m/>
    <s v="Agente"/>
    <n v="16"/>
    <m/>
    <m/>
    <d v="1899-12-30T00:05:21"/>
    <d v="1899-12-30T00:05:11"/>
    <n v="1"/>
    <x v="3"/>
  </r>
  <r>
    <d v="2026-05-26T10:56:30"/>
    <s v="3003 - FirjanAtivo"/>
    <s v="6052-Marcia Lima Peixoto"/>
    <m/>
    <m/>
    <n v="2753331629"/>
    <n v="177980379019551"/>
    <s v="(21) 2038-4382"/>
    <s v="(21) 97352-7818"/>
    <s v="Sainte"/>
    <s v="Atendido"/>
    <s v="Fora de Area / Cx de Mensagens"/>
    <m/>
    <s v="Agente"/>
    <n v="16"/>
    <m/>
    <m/>
    <d v="1899-12-30T00:00:32"/>
    <d v="1899-12-30T00:00:02"/>
    <s v=""/>
    <x v="3"/>
  </r>
  <r>
    <d v="2026-05-26T10:59:31"/>
    <s v="3003 - FirjanAtivo"/>
    <s v="6052-Marcia Lima Peixoto"/>
    <m/>
    <m/>
    <n v="2778135815"/>
    <n v="177980397120031"/>
    <s v="(21) 2038-4382"/>
    <s v="(24) 99833-1820"/>
    <s v="Sainte"/>
    <s v="Atendido"/>
    <s v="Fora de Area / Cx de Mensagens"/>
    <m/>
    <s v="Agente"/>
    <n v="16"/>
    <m/>
    <m/>
    <d v="1899-12-30T00:00:10"/>
    <d v="1899-12-30T00:00:01"/>
    <s v=""/>
    <x v="3"/>
  </r>
  <r>
    <d v="2026-05-26T11:00:24"/>
    <s v="3003 - FirjanAtivo"/>
    <s v="6052-Marcia Lima Peixoto"/>
    <m/>
    <m/>
    <n v="2744576842"/>
    <n v="177980402420121"/>
    <s v="(21) 2038-4382"/>
    <s v="(21) 96477-2797"/>
    <s v="Sainte"/>
    <s v="Atendido"/>
    <s v="Fora de Area / Cx de Mensagens"/>
    <m/>
    <s v="Agente"/>
    <n v="16"/>
    <m/>
    <m/>
    <d v="1899-12-30T00:00:27"/>
    <d v="1899-12-30T00:00:01"/>
    <s v=""/>
    <x v="3"/>
  </r>
  <r>
    <d v="2026-05-26T11:01:23"/>
    <s v="3003 - FirjanAtivo"/>
    <s v="6052-Marcia Lima Peixoto"/>
    <m/>
    <m/>
    <n v="2778394185"/>
    <n v="177980408320231"/>
    <s v="(21) 2038-4382"/>
    <s v="(21) 99859-0081"/>
    <s v="Sainte"/>
    <s v="Atendido"/>
    <s v="Fora de Area / Cx de Mensagens"/>
    <m/>
    <s v="Agente"/>
    <n v="16"/>
    <m/>
    <m/>
    <d v="1899-12-30T00:00:12"/>
    <d v="1899-12-30T00:00:02"/>
    <s v=""/>
    <x v="3"/>
  </r>
  <r>
    <d v="2026-05-26T11:02:06"/>
    <s v="3003 - FirjanAtivo"/>
    <s v="6052-Marcia Lima Peixoto"/>
    <m/>
    <m/>
    <n v="2779789122"/>
    <n v="177980412620281"/>
    <s v="(21) 2038-4382"/>
    <s v="(24) 99998-4972"/>
    <s v="Sainte"/>
    <s v="Não Atendeu"/>
    <m/>
    <m/>
    <s v="Agente"/>
    <n v="19"/>
    <m/>
    <m/>
    <d v="1899-12-30T00:00:07"/>
    <s v="---"/>
    <s v=""/>
    <x v="3"/>
  </r>
  <r>
    <d v="2026-05-26T11:02:21"/>
    <s v="3003 - FirjanAtivo"/>
    <s v="6044-Roseli Honorato Dos Santos"/>
    <m/>
    <m/>
    <n v="2761608988"/>
    <n v="177980409120251"/>
    <s v="(21) 2038-4382"/>
    <s v="(21) 98180-4876"/>
    <s v="Sainte"/>
    <s v="Ocupado"/>
    <m/>
    <m/>
    <s v="Cliente"/>
    <n v="19"/>
    <m/>
    <m/>
    <d v="1899-12-30T00:00:01"/>
    <s v="---"/>
    <s v=""/>
    <x v="3"/>
  </r>
  <r>
    <d v="2026-05-26T11:02:34"/>
    <s v="3003 - FirjanAtivo"/>
    <s v="6044-Roseli Honorato Dos Santos"/>
    <m/>
    <m/>
    <n v="2761609051"/>
    <n v="177980415420331"/>
    <s v="(21) 2038-4382"/>
    <s v="(21) 98180-4876"/>
    <s v="Sainte"/>
    <s v="Atendido"/>
    <s v="Fora de Area / Cx de Mensagens"/>
    <m/>
    <s v="Cliente"/>
    <n v="16"/>
    <m/>
    <m/>
    <d v="1899-12-30T00:00:45"/>
    <d v="1899-12-30T00:00:27"/>
    <s v=""/>
    <x v="3"/>
  </r>
  <r>
    <d v="2026-05-26T11:02:42"/>
    <s v="3003 - FirjanAtivo"/>
    <s v="6052-Marcia Lima Peixoto"/>
    <m/>
    <m/>
    <n v="2750096167"/>
    <n v="177980416220351"/>
    <s v="(21) 2038-4382"/>
    <s v="(21) 97029-1984"/>
    <s v="Sainte"/>
    <s v="Atendido"/>
    <s v="Fora de Area / Cx de Mensagens"/>
    <m/>
    <s v="Agente"/>
    <n v="16"/>
    <m/>
    <m/>
    <d v="1899-12-30T00:00:39"/>
    <d v="1899-12-30T00:00:01"/>
    <s v=""/>
    <x v="3"/>
  </r>
  <r>
    <d v="2026-05-26T11:04:07"/>
    <s v="3003 - FirjanAtivo"/>
    <s v="6052-Marcia Lima Peixoto"/>
    <m/>
    <m/>
    <n v="2747664550"/>
    <n v="177980424720591"/>
    <s v="(21) 2038-4382"/>
    <s v="(21) 96786-0282"/>
    <s v="Sainte"/>
    <s v="Atendido"/>
    <s v="Tel Não Atende / Ocupado"/>
    <m/>
    <s v="Cliente"/>
    <n v="16"/>
    <m/>
    <m/>
    <d v="1899-12-30T00:00:33"/>
    <d v="1899-12-30T00:00:21"/>
    <s v=""/>
    <x v="3"/>
  </r>
  <r>
    <d v="2026-05-26T11:04:14"/>
    <s v="3003 - FirjanAtivo"/>
    <s v="6044-Roseli Honorato Dos Santos"/>
    <m/>
    <m/>
    <n v="2772026147"/>
    <n v="177980425420611"/>
    <s v="(21) 2038-4382"/>
    <s v="(21) 99222-1872"/>
    <s v="Sainte"/>
    <s v="Atendido"/>
    <s v="Enviar E-mail"/>
    <m/>
    <s v="Cliente"/>
    <n v="16"/>
    <m/>
    <m/>
    <d v="1899-12-30T00:02:45"/>
    <d v="1899-12-30T00:02:38"/>
    <n v="1"/>
    <x v="3"/>
  </r>
  <r>
    <d v="2026-05-26T11:07:02"/>
    <s v="3003 - FirjanAtivo"/>
    <s v="6052-Marcia Lima Peixoto"/>
    <m/>
    <m/>
    <n v="2772682894"/>
    <n v="177980442220941"/>
    <s v="(21) 2038-4382"/>
    <s v="(22) 99287-8450"/>
    <s v="Sainte"/>
    <s v="Atendido"/>
    <s v="Tel Não Atende / Ocupado"/>
    <m/>
    <s v="Agente"/>
    <n v="16"/>
    <m/>
    <m/>
    <d v="1899-12-30T00:00:40"/>
    <d v="1899-12-30T00:00:01"/>
    <s v=""/>
    <x v="3"/>
  </r>
  <r>
    <d v="2026-05-26T11:08:30"/>
    <s v="3003 - FirjanAtivo"/>
    <s v="6052-Marcia Lima Peixoto"/>
    <m/>
    <m/>
    <n v="2778138832"/>
    <n v="177980451021021"/>
    <s v="(21) 2038-4382"/>
    <s v="(22) 99833-4300"/>
    <s v="Sainte"/>
    <s v="Atendido"/>
    <s v="Tel Não Atende / Ocupado"/>
    <m/>
    <s v="Agente"/>
    <n v="16"/>
    <m/>
    <m/>
    <d v="1899-12-30T00:00:39"/>
    <d v="1899-12-30T00:00:02"/>
    <s v=""/>
    <x v="3"/>
  </r>
  <r>
    <d v="2026-05-26T11:09:42"/>
    <s v="3003 - FirjanAtivo"/>
    <s v="6052-Marcia Lima Peixoto"/>
    <m/>
    <m/>
    <n v="2778688484"/>
    <n v="177980458221231"/>
    <s v="(21) 2038-4382"/>
    <s v="(21) 99888-3881"/>
    <s v="Sainte"/>
    <s v="Atendido"/>
    <s v="INFORMADO"/>
    <m/>
    <s v="Agente"/>
    <n v="16"/>
    <m/>
    <m/>
    <d v="1899-12-30T00:01:58"/>
    <d v="1899-12-30T00:01:51"/>
    <s v=""/>
    <x v="3"/>
  </r>
  <r>
    <d v="2026-05-26T11:11:14"/>
    <s v="3003 - FirjanAtivo"/>
    <s v="6044-Roseli Honorato Dos Santos"/>
    <m/>
    <m/>
    <n v="2779336223"/>
    <n v="177980467421401"/>
    <s v="(21) 2038-4382"/>
    <s v="(21) 99953-1528"/>
    <s v="Sainte"/>
    <s v="Atendido"/>
    <s v="Fora de Area / Cx de Mensagens"/>
    <m/>
    <s v="Agente"/>
    <n v="16"/>
    <m/>
    <m/>
    <d v="1899-12-30T00:00:58"/>
    <d v="1899-12-30T00:00:13"/>
    <s v=""/>
    <x v="3"/>
  </r>
  <r>
    <d v="2026-05-26T11:13:10"/>
    <s v="3003 - FirjanAtivo"/>
    <s v="6044-Roseli Honorato Dos Santos"/>
    <m/>
    <m/>
    <n v="2748187215"/>
    <n v="177980479021831"/>
    <s v="(21) 2038-4382"/>
    <s v="(21) 96838-2404"/>
    <s v="Sainte"/>
    <s v="Atendido"/>
    <s v="Fora de Area / Cx de Mensagens"/>
    <m/>
    <s v="Agente"/>
    <n v="16"/>
    <m/>
    <m/>
    <d v="1899-12-30T00:01:54"/>
    <d v="1899-12-30T00:01:19"/>
    <s v=""/>
    <x v="3"/>
  </r>
  <r>
    <d v="2026-05-26T11:16:23"/>
    <s v="3003 - FirjanAtivo"/>
    <s v="6044-Roseli Honorato Dos Santos"/>
    <m/>
    <m/>
    <n v="2765385747"/>
    <n v="177980498321941"/>
    <s v="(21) 2038-4382"/>
    <s v="(21) 98558-0743"/>
    <s v="Sainte"/>
    <s v="Atendido"/>
    <s v="Enviar E-mail"/>
    <m/>
    <s v="Cliente"/>
    <n v="16"/>
    <m/>
    <m/>
    <d v="1899-12-30T00:05:09"/>
    <d v="1899-12-30T00:04:57"/>
    <n v="1"/>
    <x v="3"/>
  </r>
  <r>
    <d v="2026-05-26T11:18:32"/>
    <s v="3003 - FirjanAtivo"/>
    <s v="6052-Marcia Lima Peixoto"/>
    <m/>
    <m/>
    <n v="2778060360"/>
    <n v="177980511222711"/>
    <s v="(21) 2038-4382"/>
    <s v="(22) 99825-5226"/>
    <s v="Sainte"/>
    <s v="Atendido"/>
    <s v="Enviar E-mail"/>
    <m/>
    <s v="Cliente"/>
    <n v="16"/>
    <m/>
    <m/>
    <d v="1899-12-30T00:03:22"/>
    <d v="1899-12-30T00:03:11"/>
    <n v="1"/>
    <x v="3"/>
  </r>
  <r>
    <d v="2026-05-26T11:27:11"/>
    <s v="3003 - FirjanAtivo"/>
    <s v="6044-Roseli Honorato Dos Santos"/>
    <m/>
    <m/>
    <n v="2779522764"/>
    <n v="177980563123651"/>
    <s v="(21) 2038-4382"/>
    <s v="(22) 99971-7111"/>
    <s v="Sainte"/>
    <s v="Atendido"/>
    <s v="Enviar E-mail"/>
    <m/>
    <s v="Agente"/>
    <n v="16"/>
    <m/>
    <m/>
    <d v="1899-12-30T00:05:13"/>
    <d v="1899-12-30T00:05:06"/>
    <n v="1"/>
    <x v="3"/>
  </r>
  <r>
    <d v="2026-05-26T11:30:12"/>
    <s v="3003 - FirjanAtivo"/>
    <s v="6052-Marcia Lima Peixoto"/>
    <m/>
    <m/>
    <n v="2768051853"/>
    <n v="177980581223731"/>
    <s v="(21) 2038-4382"/>
    <s v="(22) 98824-6019"/>
    <s v="Sainte"/>
    <s v="Não Atendeu"/>
    <m/>
    <m/>
    <s v="Agente"/>
    <n v="19"/>
    <m/>
    <m/>
    <d v="1899-12-30T00:00:11"/>
    <s v="---"/>
    <s v=""/>
    <x v="3"/>
  </r>
  <r>
    <d v="2026-05-26T11:31:22"/>
    <s v="3003 - FirjanAtivo"/>
    <s v="6052-Marcia Lima Peixoto"/>
    <m/>
    <m/>
    <n v="2774933028"/>
    <n v="177980588223801"/>
    <s v="(21) 2038-4382"/>
    <s v="(27) 99512-7119"/>
    <s v="Sainte"/>
    <s v="Não Atendeu"/>
    <m/>
    <m/>
    <s v="Agente"/>
    <n v="19"/>
    <m/>
    <m/>
    <d v="1899-12-30T00:00:49"/>
    <s v="---"/>
    <s v=""/>
    <x v="3"/>
  </r>
  <r>
    <d v="2026-05-26T11:32:53"/>
    <s v="3003 - FirjanAtivo"/>
    <s v="6052-Marcia Lima Peixoto"/>
    <m/>
    <m/>
    <n v="2779048128"/>
    <n v="177980597323901"/>
    <s v="(21) 2038-4382"/>
    <s v="(22) 99924-2133"/>
    <s v="Sainte"/>
    <s v="Atendido"/>
    <s v="Tel Não Atende / Ocupado"/>
    <m/>
    <s v="Agente"/>
    <n v="16"/>
    <m/>
    <m/>
    <d v="1899-12-30T00:01:05"/>
    <d v="1899-12-30T00:00:28"/>
    <s v=""/>
    <x v="3"/>
  </r>
  <r>
    <d v="2026-05-26T11:35:00"/>
    <s v="3003 - FirjanAtivo"/>
    <s v="6052-Marcia Lima Peixoto"/>
    <m/>
    <m/>
    <n v="2779356078"/>
    <n v="177980610024101"/>
    <s v="(21) 2038-4382"/>
    <s v="(21) 99954-9956"/>
    <s v="Sainte"/>
    <s v="Atendido"/>
    <s v="Tel Não Atende / Ocupado"/>
    <m/>
    <s v="Agente"/>
    <n v="16"/>
    <m/>
    <m/>
    <d v="1899-12-30T00:00:34"/>
    <s v="---"/>
    <s v=""/>
    <x v="3"/>
  </r>
  <r>
    <d v="2026-05-26T11:36:14"/>
    <s v="3003 - FirjanAtivo"/>
    <s v="6052-Marcia Lima Peixoto"/>
    <m/>
    <m/>
    <n v="2779795973"/>
    <n v="177980617424501"/>
    <s v="(21) 2038-4382"/>
    <s v="(22) 99998-9777"/>
    <s v="Sainte"/>
    <s v="Atendido"/>
    <s v="Enviar E-mail"/>
    <m/>
    <s v="Agente"/>
    <n v="16"/>
    <m/>
    <m/>
    <d v="1899-12-30T00:05:29"/>
    <d v="1899-12-30T00:05:08"/>
    <n v="1"/>
    <x v="3"/>
  </r>
  <r>
    <d v="2026-05-26T11:45:04"/>
    <s v="3003 - FirjanAtivo"/>
    <s v="6044-Roseli Honorato Dos Santos"/>
    <m/>
    <m/>
    <n v="2744331432"/>
    <n v="177980670426721"/>
    <s v="(21) 2038-4382"/>
    <s v="(21) 96452-4707"/>
    <s v="Sainte"/>
    <s v="Atendido"/>
    <s v="Fora de Area / Cx de Mensagens"/>
    <m/>
    <s v="Agente"/>
    <n v="16"/>
    <m/>
    <m/>
    <d v="1899-12-30T00:00:49"/>
    <d v="1899-12-30T00:00:25"/>
    <s v=""/>
    <x v="3"/>
  </r>
  <r>
    <d v="2026-05-26T11:46:26"/>
    <s v="3003 - FirjanAtivo"/>
    <s v="6044-Roseli Honorato Dos Santos"/>
    <m/>
    <m/>
    <n v="2761378969"/>
    <n v="177980678626751"/>
    <s v="(21) 2038-4382"/>
    <s v="(22) 98157-2161"/>
    <s v="Sainte"/>
    <s v="Atendido"/>
    <s v="Fora de Area / Cx de Mensagens"/>
    <m/>
    <s v="Agente"/>
    <n v="16"/>
    <m/>
    <m/>
    <d v="1899-12-30T00:00:31"/>
    <d v="1899-12-30T00:00:20"/>
    <s v=""/>
    <x v="3"/>
  </r>
  <r>
    <d v="2026-05-26T11:47:25"/>
    <s v="3003 - FirjanAtivo"/>
    <s v="6052-Marcia Lima Peixoto"/>
    <m/>
    <m/>
    <n v="2779676248"/>
    <n v="177980684526781"/>
    <s v="(21) 2038-4382"/>
    <s v="(21) 99986-9382"/>
    <s v="Sainte"/>
    <s v="Atendido"/>
    <s v="Enviar E-mail"/>
    <m/>
    <s v="Agente"/>
    <n v="16"/>
    <m/>
    <m/>
    <d v="1899-12-30T00:05:47"/>
    <d v="1899-12-30T00:05:37"/>
    <n v="1"/>
    <x v="3"/>
  </r>
  <r>
    <d v="2026-05-26T11:50:27"/>
    <s v="3003 - FirjanAtivo"/>
    <s v="6044-Roseli Honorato Dos Santos"/>
    <m/>
    <m/>
    <n v="1813071431"/>
    <n v="177980698126991"/>
    <s v="(21) 2038-4382"/>
    <s v="(24) 3326-4426"/>
    <s v="Sainte"/>
    <s v="Ocupado"/>
    <m/>
    <m/>
    <s v="Cliente"/>
    <n v="19"/>
    <m/>
    <m/>
    <d v="1899-12-30T00:00:01"/>
    <s v="---"/>
    <s v=""/>
    <x v="3"/>
  </r>
  <r>
    <d v="2026-05-26T11:50:50"/>
    <s v="3003 - FirjanAtivo"/>
    <s v="6044-Roseli Honorato Dos Santos"/>
    <m/>
    <m/>
    <n v="1813071497"/>
    <n v="177980704727071"/>
    <s v="(21) 2038-4382"/>
    <s v="(24) 3326-4426"/>
    <s v="Sainte"/>
    <s v="Ocupado"/>
    <m/>
    <m/>
    <s v="Cliente"/>
    <n v="19"/>
    <m/>
    <m/>
    <d v="1899-12-30T00:00:01"/>
    <s v="---"/>
    <s v=""/>
    <x v="3"/>
  </r>
  <r>
    <d v="2026-05-26T11:52:35"/>
    <s v="3003 - FirjanAtivo"/>
    <s v="6044-Roseli Honorato Dos Santos"/>
    <m/>
    <m/>
    <n v="1813071555"/>
    <n v="177980710527151"/>
    <s v="(21) 2038-4382"/>
    <s v="(24) 3326-4426"/>
    <s v="Sainte"/>
    <s v="Ocupado"/>
    <m/>
    <m/>
    <s v="Cliente"/>
    <n v="19"/>
    <m/>
    <m/>
    <d v="1899-12-30T00:00:01"/>
    <s v="---"/>
    <s v=""/>
    <x v="3"/>
  </r>
  <r>
    <d v="2026-05-26T11:54:16"/>
    <s v="3003 - FirjanAtivo"/>
    <s v="6044-Roseli Honorato Dos Santos"/>
    <m/>
    <m/>
    <n v="2779048462"/>
    <n v="177980725627481"/>
    <s v="(21) 2038-4382"/>
    <s v="(22) 99924-1184"/>
    <s v="Sainte"/>
    <s v="Atendido"/>
    <s v="Não tem interesse"/>
    <m/>
    <s v="Cliente"/>
    <n v="16"/>
    <m/>
    <m/>
    <d v="1899-12-30T00:01:32"/>
    <d v="1899-12-30T00:01:20"/>
    <s v=""/>
    <x v="3"/>
  </r>
  <r>
    <d v="2026-05-26T11:59:22"/>
    <s v="3003 - FirjanAtivo"/>
    <s v="6044-Roseli Honorato Dos Santos"/>
    <m/>
    <m/>
    <n v="2773646910"/>
    <n v="177980756228331"/>
    <s v="(21) 2038-4382"/>
    <s v="(21) 99383-9327"/>
    <s v="Sainte"/>
    <s v="Atendido"/>
    <s v="INFORMADO"/>
    <m/>
    <s v="Cliente"/>
    <n v="16"/>
    <m/>
    <m/>
    <d v="1899-12-30T00:02:39"/>
    <d v="1899-12-30T00:02:37"/>
    <s v=""/>
    <x v="3"/>
  </r>
  <r>
    <d v="2026-05-26T12:08:53"/>
    <s v="3003 - FirjanAtivo"/>
    <s v="6052-Marcia Lima Peixoto"/>
    <m/>
    <m/>
    <n v="2772686605"/>
    <n v="177980813329121"/>
    <s v="(21) 2038-4382"/>
    <s v="(22) 99287-8450"/>
    <s v="Sainte"/>
    <s v="Não Atendeu"/>
    <m/>
    <m/>
    <s v="Agente"/>
    <n v="19"/>
    <m/>
    <m/>
    <d v="1899-12-30T00:00:37"/>
    <s v="---"/>
    <s v=""/>
    <x v="3"/>
  </r>
  <r>
    <d v="2026-05-26T12:08:59"/>
    <s v="3003 - FirjanAtivo"/>
    <s v="6044-Roseli Honorato Dos Santos"/>
    <m/>
    <m/>
    <n v="2712676736"/>
    <n v="177980808929061"/>
    <s v="(21) 2038-4382"/>
    <s v="(11) 93286-8636"/>
    <s v="Sainte"/>
    <s v="Ocupado"/>
    <m/>
    <m/>
    <s v="Cliente"/>
    <n v="19"/>
    <m/>
    <m/>
    <d v="1899-12-30T00:00:01"/>
    <s v="---"/>
    <s v=""/>
    <x v="3"/>
  </r>
  <r>
    <d v="2026-05-26T12:10:35"/>
    <s v="3003 - FirjanAtivo"/>
    <s v="6044-Roseli Honorato Dos Santos"/>
    <m/>
    <m/>
    <n v="2712676882"/>
    <n v="177980823529311"/>
    <s v="(21) 2038-4382"/>
    <s v="(11) 93286-8636"/>
    <s v="Sainte"/>
    <s v="Atendido"/>
    <s v="Retornar"/>
    <m/>
    <s v="Cliente"/>
    <n v="16"/>
    <m/>
    <m/>
    <d v="1899-12-30T00:00:42"/>
    <d v="1899-12-30T00:00:24"/>
    <s v=""/>
    <x v="3"/>
  </r>
  <r>
    <d v="2026-05-26T12:11:17"/>
    <s v="3003 - FirjanAtivo"/>
    <s v="6052-Marcia Lima Peixoto"/>
    <m/>
    <m/>
    <n v="2779750614"/>
    <n v="177980827729381"/>
    <s v="(21) 2038-4382"/>
    <s v="(24) 99994-2313"/>
    <s v="Sainte"/>
    <s v="Atendido"/>
    <s v="Enviar E-mail"/>
    <m/>
    <s v="Agente"/>
    <n v="16"/>
    <m/>
    <m/>
    <d v="1899-12-30T00:05:13"/>
    <d v="1899-12-30T00:05:03"/>
    <n v="1"/>
    <x v="3"/>
  </r>
  <r>
    <d v="2026-05-26T12:11:50"/>
    <s v="3003 - FirjanAtivo"/>
    <s v="6044-Roseli Honorato Dos Santos"/>
    <m/>
    <m/>
    <n v="2768091266"/>
    <n v="177980831029411"/>
    <s v="(21) 2038-4382"/>
    <s v="(24) 98828-2932"/>
    <s v="Sainte"/>
    <s v="Atendido"/>
    <s v="Fora de Area / Cx de Mensagens"/>
    <m/>
    <s v="Agente"/>
    <n v="16"/>
    <m/>
    <m/>
    <d v="1899-12-30T00:00:47"/>
    <d v="1899-12-30T00:00:12"/>
    <s v=""/>
    <x v="3"/>
  </r>
  <r>
    <d v="2026-05-26T12:18:04"/>
    <s v="3003 - FirjanAtivo"/>
    <s v="6044-Roseli Honorato Dos Santos"/>
    <m/>
    <m/>
    <n v="2772464829"/>
    <n v="177980868429621"/>
    <s v="(21) 2038-4382"/>
    <s v="(22) 99265-6123"/>
    <s v="Sainte"/>
    <s v="Atendido"/>
    <s v="Enviar E-mail"/>
    <m/>
    <s v="Cliente"/>
    <n v="16"/>
    <m/>
    <m/>
    <d v="1899-12-30T00:03:36"/>
    <d v="1899-12-30T00:03:23"/>
    <n v="1"/>
    <x v="3"/>
  </r>
  <r>
    <d v="2026-05-26T12:20:44"/>
    <s v="3003 - FirjanAtivo"/>
    <s v="6052-Marcia Lima Peixoto"/>
    <m/>
    <m/>
    <n v="2761122199"/>
    <n v="177980884429681"/>
    <s v="(21) 2038-4382"/>
    <s v="(21) 98131-3334"/>
    <s v="Sainte"/>
    <s v="Atendido"/>
    <s v="Enviar E-mail"/>
    <m/>
    <s v="Agente"/>
    <n v="16"/>
    <m/>
    <m/>
    <d v="1899-12-30T00:04:36"/>
    <d v="1899-12-30T00:04:17"/>
    <n v="1"/>
    <x v="3"/>
  </r>
  <r>
    <d v="2026-05-26T12:25:13"/>
    <s v="3003 - FirjanAtivo"/>
    <s v="6044-Roseli Honorato Dos Santos"/>
    <m/>
    <m/>
    <n v="2779370744"/>
    <n v="177980911329881"/>
    <s v="(21) 2038-4382"/>
    <s v="(24) 99956-1607"/>
    <s v="Sainte"/>
    <s v="Atendido"/>
    <s v="Fora de Area / Cx de Mensagens"/>
    <m/>
    <s v="Agente"/>
    <n v="16"/>
    <m/>
    <m/>
    <d v="1899-12-30T00:00:56"/>
    <d v="1899-12-30T00:00:34"/>
    <s v=""/>
    <x v="3"/>
  </r>
  <r>
    <d v="2026-05-26T12:30:54"/>
    <s v="3003 - FirjanAtivo"/>
    <s v="6052-Marcia Lima Peixoto"/>
    <m/>
    <m/>
    <n v="1868385371"/>
    <n v="177980945430241"/>
    <s v="(21) 2038-4382"/>
    <s v="(21) 98857-5898"/>
    <s v="Sainte"/>
    <s v="Não Atendeu"/>
    <m/>
    <m/>
    <s v="Agente"/>
    <n v="19"/>
    <m/>
    <m/>
    <d v="1899-12-30T00:00:02"/>
    <s v="---"/>
    <s v=""/>
    <x v="3"/>
  </r>
  <r>
    <d v="2026-05-26T12:31:02"/>
    <s v="3003 - FirjanAtivo"/>
    <s v="6052-Marcia Lima Peixoto"/>
    <m/>
    <m/>
    <n v="2768385381"/>
    <n v="177980946230271"/>
    <s v="(21) 2038-4382"/>
    <s v="(21) 98857-5898"/>
    <s v="Sainte"/>
    <s v="Atendido"/>
    <s v="Retornar"/>
    <m/>
    <s v="Agente"/>
    <n v="16"/>
    <m/>
    <m/>
    <d v="1899-12-30T00:01:00"/>
    <d v="1899-12-30T00:00:41"/>
    <s v=""/>
    <x v="3"/>
  </r>
  <r>
    <d v="2026-05-26T12:33:14"/>
    <s v="3003 - FirjanAtivo"/>
    <s v="6052-Marcia Lima Peixoto"/>
    <m/>
    <m/>
    <n v="2771387479"/>
    <n v="177980959430501"/>
    <s v="(21) 2038-4382"/>
    <s v="(21) 99157-7864"/>
    <s v="Sainte"/>
    <s v="Atendido"/>
    <s v="Tel Não Atende / Ocupado"/>
    <m/>
    <s v="Agente"/>
    <n v="16"/>
    <m/>
    <m/>
    <d v="1899-12-30T00:00:43"/>
    <d v="1899-12-30T00:00:01"/>
    <s v=""/>
    <x v="3"/>
  </r>
  <r>
    <d v="2026-05-26T12:36:07"/>
    <s v="3003 - FirjanAtivo"/>
    <s v="6044-Roseli Honorato Dos Santos"/>
    <m/>
    <m/>
    <n v="2761543188"/>
    <n v="177980976730781"/>
    <s v="(21) 2038-4382"/>
    <s v="(21) 98173-3400"/>
    <s v="Sainte"/>
    <s v="Atendido"/>
    <s v="Enviar E-mail"/>
    <m/>
    <s v="Cliente"/>
    <n v="16"/>
    <m/>
    <m/>
    <d v="1899-12-30T00:02:40"/>
    <d v="1899-12-30T00:02:32"/>
    <n v="1"/>
    <x v="3"/>
  </r>
  <r>
    <d v="2026-05-26T12:40:55"/>
    <s v="3003 - FirjanAtivo"/>
    <s v="6052-Marcia Lima Peixoto"/>
    <m/>
    <m/>
    <n v="2761243070"/>
    <n v="177981000331611"/>
    <s v="(21) 2038-4382"/>
    <s v="(24) 98143-3043"/>
    <s v="Sainte"/>
    <s v="Ocupado"/>
    <m/>
    <m/>
    <s v="Cliente"/>
    <n v="19"/>
    <m/>
    <m/>
    <d v="1899-12-30T00:00:01"/>
    <s v="---"/>
    <s v=""/>
    <x v="3"/>
  </r>
  <r>
    <d v="2026-05-26T12:43:02"/>
    <s v="3003 - FirjanAtivo"/>
    <s v="6052-Marcia Lima Peixoto"/>
    <m/>
    <m/>
    <n v="2760940940"/>
    <n v="177981018232181"/>
    <s v="(21) 2038-4382"/>
    <s v="(24) 98113-0734"/>
    <s v="Sainte"/>
    <s v="Atendido"/>
    <s v="Formulário Preenchido"/>
    <m/>
    <s v="Cliente"/>
    <n v="16"/>
    <m/>
    <m/>
    <d v="1899-12-30T00:01:54"/>
    <d v="1899-12-30T00:01:43"/>
    <s v=""/>
    <x v="3"/>
  </r>
  <r>
    <d v="2026-05-26T12:46:01"/>
    <s v="3003 - FirjanAtivo"/>
    <s v="6052-Marcia Lima Peixoto"/>
    <m/>
    <m/>
    <n v="2756537284"/>
    <n v="177981036132521"/>
    <s v="(21) 2038-4382"/>
    <s v="(21) 97672-6902"/>
    <s v="Sainte"/>
    <s v="Atendido"/>
    <s v="Tel Não Atende / Ocupado"/>
    <m/>
    <s v="Agente"/>
    <n v="16"/>
    <m/>
    <m/>
    <d v="1899-12-30T00:00:51"/>
    <d v="1899-12-30T00:00:16"/>
    <s v=""/>
    <x v="3"/>
  </r>
  <r>
    <d v="2026-05-26T12:47:29"/>
    <s v="3003 - FirjanAtivo"/>
    <s v="6052-Marcia Lima Peixoto"/>
    <m/>
    <m/>
    <n v="1806416267"/>
    <n v="177981044932721"/>
    <s v="(21) 2038-4382"/>
    <s v="(21) 2660-5797"/>
    <s v="Sainte"/>
    <s v="Atendido"/>
    <s v="Tel Não Atende / Ocupado"/>
    <m/>
    <s v="Cliente"/>
    <n v="16"/>
    <m/>
    <m/>
    <d v="1899-12-30T00:00:35"/>
    <d v="1899-12-30T00:00:10"/>
    <s v=""/>
    <x v="3"/>
  </r>
  <r>
    <d v="2026-05-26T12:48:35"/>
    <s v="3003 - FirjanAtivo"/>
    <s v="6052-Marcia Lima Peixoto"/>
    <m/>
    <m/>
    <n v="2764329588"/>
    <n v="177981051533101"/>
    <s v="(21) 2038-4382"/>
    <s v="(21) 98451-9051"/>
    <s v="Sainte"/>
    <s v="Atendido"/>
    <s v="INFORMADO"/>
    <m/>
    <s v="Agente"/>
    <n v="16"/>
    <m/>
    <m/>
    <d v="1899-12-30T00:01:53"/>
    <d v="1899-12-30T00:01:42"/>
    <s v=""/>
    <x v="3"/>
  </r>
  <r>
    <d v="2026-05-26T12:54:42"/>
    <s v="3003 - FirjanAtivo"/>
    <s v="6052-Marcia Lima Peixoto"/>
    <m/>
    <m/>
    <n v="2778113789"/>
    <n v="177981088233961"/>
    <s v="(21) 2038-4382"/>
    <s v="(22) 99830-2885"/>
    <s v="Sainte"/>
    <s v="Não Atendeu"/>
    <m/>
    <m/>
    <s v="Agente"/>
    <n v="19"/>
    <m/>
    <m/>
    <d v="1899-12-30T00:00:36"/>
    <s v="---"/>
    <s v=""/>
    <x v="3"/>
  </r>
  <r>
    <d v="2026-05-26T12:55:15"/>
    <s v="3003 - FirjanAtivo"/>
    <s v="6044-Roseli Honorato Dos Santos"/>
    <m/>
    <m/>
    <n v="2756537838"/>
    <n v="177981091534031"/>
    <s v="(21) 2038-4382"/>
    <s v="(21) 97672-6902"/>
    <s v="Sainte"/>
    <s v="Atendido"/>
    <s v="INFORMADO"/>
    <m/>
    <s v="Cliente"/>
    <n v="16"/>
    <m/>
    <m/>
    <d v="1899-12-30T00:02:40"/>
    <d v="1899-12-30T00:02:38"/>
    <s v=""/>
    <x v="3"/>
  </r>
  <r>
    <d v="2026-05-26T12:57:17"/>
    <s v="3003 - FirjanAtivo"/>
    <s v="6052-Marcia Lima Peixoto"/>
    <m/>
    <m/>
    <n v="2771241066"/>
    <n v="177981103734191"/>
    <s v="(21) 2038-4382"/>
    <s v="(21) 99143-0008"/>
    <s v="Sainte"/>
    <s v="Não Atendeu"/>
    <m/>
    <m/>
    <s v="Agente"/>
    <n v="19"/>
    <m/>
    <m/>
    <d v="1899-12-30T00:00:06"/>
    <s v="---"/>
    <s v=""/>
    <x v="3"/>
  </r>
  <r>
    <d v="2026-05-26T14:05:43"/>
    <s v="3003 - FirjanAtivo"/>
    <s v="6052-Marcia Lima Peixoto"/>
    <m/>
    <m/>
    <n v="2778544447"/>
    <n v="177981514339611"/>
    <s v="(21) 2038-4382"/>
    <s v="(21) 99872-9283"/>
    <s v="Sainte"/>
    <s v="Atendido"/>
    <s v="Tel Não Atende / Ocupado"/>
    <m/>
    <s v="Cliente"/>
    <n v="16"/>
    <m/>
    <m/>
    <d v="1899-12-30T00:00:17"/>
    <d v="1899-12-30T00:00:08"/>
    <s v=""/>
    <x v="3"/>
  </r>
  <r>
    <d v="2026-05-26T14:06:53"/>
    <s v="3003 - FirjanAtivo"/>
    <s v="6052-Marcia Lima Peixoto"/>
    <m/>
    <m/>
    <n v="2779219353"/>
    <n v="177981521339711"/>
    <s v="(21) 2038-4382"/>
    <s v="(22) 99940-4118"/>
    <s v="Sainte"/>
    <s v="Atendido"/>
    <s v="INFORMADO"/>
    <m/>
    <s v="Agente"/>
    <n v="16"/>
    <m/>
    <m/>
    <d v="1899-12-30T00:02:52"/>
    <d v="1899-12-30T00:02:16"/>
    <s v=""/>
    <x v="3"/>
  </r>
  <r>
    <d v="2026-05-26T14:11:20"/>
    <s v="3003 - FirjanAtivo"/>
    <s v="6044-Roseli Honorato Dos Santos"/>
    <m/>
    <m/>
    <n v="2751950610"/>
    <n v="177981548040111"/>
    <s v="(21) 2038-4382"/>
    <s v="(21) 97213-5109"/>
    <s v="Sainte"/>
    <s v="Atendido"/>
    <s v="Retornar"/>
    <m/>
    <s v="Cliente"/>
    <n v="16"/>
    <m/>
    <m/>
    <d v="1899-12-30T00:01:00"/>
    <d v="1899-12-30T00:00:58"/>
    <s v=""/>
    <x v="3"/>
  </r>
  <r>
    <d v="2026-05-26T14:13:32"/>
    <s v="3003 - FirjanAtivo"/>
    <s v="6044-Roseli Honorato Dos Santos"/>
    <m/>
    <m/>
    <n v="2712684210"/>
    <n v="177981556340241"/>
    <s v="(21) 2038-4382"/>
    <s v="(11) 93286-8636"/>
    <s v="Sainte"/>
    <s v="Ocupado"/>
    <m/>
    <m/>
    <s v="Cliente"/>
    <n v="19"/>
    <m/>
    <m/>
    <d v="1899-12-30T00:00:01"/>
    <s v="---"/>
    <s v=""/>
    <x v="3"/>
  </r>
  <r>
    <d v="2026-05-26T14:14:55"/>
    <s v="3003 - FirjanAtivo"/>
    <s v="6052-Marcia Lima Peixoto"/>
    <m/>
    <m/>
    <n v="2761273604"/>
    <n v="177981569540471"/>
    <s v="(21) 2038-4382"/>
    <s v="(22) 98145-7887"/>
    <s v="Sainte"/>
    <s v="Não Atendeu"/>
    <m/>
    <m/>
    <s v="Agente"/>
    <n v="19"/>
    <m/>
    <m/>
    <d v="1899-12-30T00:00:18"/>
    <s v="---"/>
    <s v=""/>
    <x v="3"/>
  </r>
  <r>
    <d v="2026-05-26T14:15:49"/>
    <s v="3003 - FirjanAtivo"/>
    <s v="6052-Marcia Lima Peixoto"/>
    <m/>
    <m/>
    <n v="2761686386"/>
    <n v="177981574440701"/>
    <s v="(21) 2038-4382"/>
    <s v="(21) 98187-0621"/>
    <s v="Sainte"/>
    <s v="Ocupado"/>
    <m/>
    <m/>
    <s v="Cliente"/>
    <n v="21"/>
    <m/>
    <m/>
    <d v="1899-12-30T00:00:01"/>
    <s v="---"/>
    <s v=""/>
    <x v="3"/>
  </r>
  <r>
    <d v="2026-05-26T14:16:01"/>
    <s v="3003 - FirjanAtivo"/>
    <s v="6052-Marcia Lima Peixoto"/>
    <m/>
    <m/>
    <n v="2761686399"/>
    <n v="177981575640821"/>
    <s v="(21) 2038-4382"/>
    <s v="(21) 98187-0621"/>
    <s v="Sainte"/>
    <s v="Ocupado"/>
    <m/>
    <m/>
    <s v="Cliente"/>
    <n v="21"/>
    <m/>
    <m/>
    <d v="1899-12-30T00:00:01"/>
    <s v="---"/>
    <s v=""/>
    <x v="3"/>
  </r>
  <r>
    <d v="2026-05-26T14:17:04"/>
    <s v="3003 - FirjanAtivo"/>
    <s v="6052-Marcia Lima Peixoto"/>
    <m/>
    <m/>
    <n v="2771928775"/>
    <n v="177981582440961"/>
    <s v="(21) 2038-4382"/>
    <s v="(22) 99211-2929"/>
    <s v="Sainte"/>
    <s v="Atendido"/>
    <s v="Não tem interesse"/>
    <m/>
    <s v="Cliente"/>
    <n v="16"/>
    <m/>
    <m/>
    <d v="1899-12-30T00:01:30"/>
    <d v="1899-12-30T00:01:17"/>
    <s v=""/>
    <x v="3"/>
  </r>
  <r>
    <d v="2026-05-26T14:17:27"/>
    <s v="3003 - FirjanAtivo"/>
    <s v="6044-Roseli Honorato Dos Santos"/>
    <m/>
    <m/>
    <n v="2712684445"/>
    <n v="177981579840901"/>
    <s v="(21) 2038-4382"/>
    <s v="(11) 93286-8636"/>
    <s v="Sainte"/>
    <s v="Ocupado"/>
    <m/>
    <m/>
    <s v="Cliente"/>
    <n v="19"/>
    <m/>
    <m/>
    <d v="1899-12-30T00:00:01"/>
    <s v="---"/>
    <s v=""/>
    <x v="3"/>
  </r>
  <r>
    <d v="2026-05-26T14:19:03"/>
    <s v="3003 - FirjanAtivo"/>
    <s v="6044-Roseli Honorato Dos Santos"/>
    <m/>
    <m/>
    <n v="2712684542"/>
    <n v="177981589441221"/>
    <s v="(21) 2038-4382"/>
    <s v="(11) 93286-8636"/>
    <s v="Sainte"/>
    <s v="Ocupado"/>
    <m/>
    <m/>
    <s v="Cliente"/>
    <n v="19"/>
    <m/>
    <m/>
    <d v="1899-12-30T00:00:01"/>
    <s v="---"/>
    <s v=""/>
    <x v="3"/>
  </r>
  <r>
    <d v="2026-05-26T14:22:51"/>
    <s v="3003 - FirjanAtivo"/>
    <s v="6044-Roseli Honorato Dos Santos"/>
    <m/>
    <m/>
    <n v="2763884335"/>
    <n v="177981617141481"/>
    <s v="(21) 2038-4382"/>
    <s v="(32) 98406-8132"/>
    <s v="Sainte"/>
    <s v="Atendido"/>
    <s v="Fora de Area / Cx de Mensagens"/>
    <m/>
    <s v="Agente"/>
    <n v="16"/>
    <m/>
    <m/>
    <d v="1899-12-30T00:00:30"/>
    <d v="1899-12-30T00:00:04"/>
    <s v=""/>
    <x v="3"/>
  </r>
  <r>
    <d v="2026-05-26T14:23:55"/>
    <s v="3003 - FirjanAtivo"/>
    <s v="6044-Roseli Honorato Dos Santos"/>
    <m/>
    <m/>
    <n v="2771899162"/>
    <n v="177981623541671"/>
    <s v="(21) 2038-4382"/>
    <s v="(22) 99208-2905"/>
    <s v="Sainte"/>
    <s v="Atendido"/>
    <s v="Fora de Area / Cx de Mensagens"/>
    <m/>
    <s v="Cliente"/>
    <n v="16"/>
    <m/>
    <m/>
    <d v="1899-12-30T00:00:48"/>
    <d v="1899-12-30T00:00:20"/>
    <s v=""/>
    <x v="3"/>
  </r>
  <r>
    <d v="2026-05-26T14:24:43"/>
    <s v="3003 - FirjanAtivo"/>
    <s v="6052-Marcia Lima Peixoto"/>
    <m/>
    <m/>
    <n v="2773713381"/>
    <n v="177981628341881"/>
    <s v="(21) 2038-4382"/>
    <s v="(21) 99389-7077"/>
    <s v="Sainte"/>
    <s v="Atendido"/>
    <s v="Enviar E-mail"/>
    <m/>
    <s v="Cliente"/>
    <n v="16"/>
    <m/>
    <m/>
    <d v="1899-12-30T00:06:15"/>
    <d v="1899-12-30T00:06:09"/>
    <n v="1"/>
    <x v="3"/>
  </r>
  <r>
    <d v="2026-05-26T14:31:46"/>
    <s v="3003 - FirjanAtivo"/>
    <s v="6044-Roseli Honorato Dos Santos"/>
    <m/>
    <m/>
    <n v="2779593825"/>
    <n v="177981670642571"/>
    <s v="(21) 2038-4382"/>
    <s v="(22) 99977-7097"/>
    <s v="Sainte"/>
    <s v="Atendido"/>
    <s v="Retornar"/>
    <m/>
    <s v="Cliente"/>
    <n v="16"/>
    <m/>
    <m/>
    <d v="1899-12-30T00:01:59"/>
    <d v="1899-12-30T00:01:52"/>
    <s v=""/>
    <x v="3"/>
  </r>
  <r>
    <d v="2026-05-26T14:35:06"/>
    <s v="3003 - FirjanAtivo"/>
    <s v="6044-Roseli Honorato Dos Santos"/>
    <m/>
    <m/>
    <n v="2778911788"/>
    <n v="177981690642811"/>
    <s v="(21) 2038-4382"/>
    <s v="(22) 99909-4860"/>
    <s v="Sainte"/>
    <s v="Atendido"/>
    <s v="Fora de Area / Cx de Mensagens"/>
    <m/>
    <s v="Agente"/>
    <n v="16"/>
    <m/>
    <m/>
    <d v="1899-12-30T00:00:44"/>
    <d v="1899-12-30T00:00:31"/>
    <s v=""/>
    <x v="3"/>
  </r>
  <r>
    <d v="2026-05-26T14:37:57"/>
    <s v="3003 - FirjanAtivo"/>
    <s v="6044-Roseli Honorato Dos Santos"/>
    <m/>
    <m/>
    <n v="2779235094"/>
    <n v="177981707742901"/>
    <s v="(21) 2038-4382"/>
    <s v="(22) 99941-7995"/>
    <s v="Sainte"/>
    <s v="Atendido"/>
    <s v="Fora de Area / Cx de Mensagens"/>
    <m/>
    <s v="Agente"/>
    <n v="16"/>
    <m/>
    <m/>
    <d v="1899-12-30T00:00:57"/>
    <d v="1899-12-30T00:00:20"/>
    <s v=""/>
    <x v="3"/>
  </r>
  <r>
    <d v="2026-05-26T14:41:11"/>
    <s v="3003 - FirjanAtivo"/>
    <s v="6044-Roseli Honorato Dos Santos"/>
    <m/>
    <m/>
    <n v="2744357933"/>
    <n v="177981727143231"/>
    <s v="(21) 2038-4382"/>
    <s v="(21) 96454-0641"/>
    <s v="Sainte"/>
    <s v="Atendido"/>
    <s v="INFORMADO"/>
    <m/>
    <s v="Cliente"/>
    <n v="16"/>
    <m/>
    <m/>
    <d v="1899-12-30T00:03:21"/>
    <d v="1899-12-30T00:03:16"/>
    <s v=""/>
    <x v="3"/>
  </r>
  <r>
    <d v="2026-05-26T14:43:16"/>
    <s v="3003 - FirjanAtivo"/>
    <s v="6052-Marcia Lima Peixoto"/>
    <m/>
    <m/>
    <n v="2768028593"/>
    <n v="177981739643561"/>
    <s v="(21) 2038-4382"/>
    <s v="(24) 98821-1173"/>
    <s v="Sainte"/>
    <s v="Não Atendeu"/>
    <m/>
    <m/>
    <s v="Agente"/>
    <n v="19"/>
    <m/>
    <m/>
    <d v="1899-12-30T00:00:23"/>
    <s v="---"/>
    <s v=""/>
    <x v="3"/>
  </r>
  <r>
    <d v="2026-05-26T14:44:21"/>
    <s v="3003 - FirjanAtivo"/>
    <s v="6052-Marcia Lima Peixoto"/>
    <m/>
    <m/>
    <n v="2772736737"/>
    <n v="177981746143791"/>
    <s v="(21) 2038-4382"/>
    <s v="(24) 99291-9252"/>
    <s v="Sainte"/>
    <s v="Atendido"/>
    <s v="Enviar E-mail"/>
    <m/>
    <s v="Agente"/>
    <n v="16"/>
    <m/>
    <m/>
    <d v="1899-12-30T00:06:14"/>
    <d v="1899-12-30T00:05:45"/>
    <n v="1"/>
    <x v="3"/>
  </r>
  <r>
    <d v="2026-05-26T14:46:12"/>
    <s v="3003 - FirjanAtivo"/>
    <s v="6044-Roseli Honorato Dos Santos"/>
    <m/>
    <m/>
    <n v="2778275337"/>
    <n v="177981757243961"/>
    <s v="(21) 2038-4382"/>
    <s v="(22) 99845-7743"/>
    <s v="Sainte"/>
    <s v="Atendido"/>
    <s v="Fora de Area / Cx de Mensagens"/>
    <m/>
    <s v="Agente"/>
    <n v="16"/>
    <m/>
    <m/>
    <d v="1899-12-30T00:00:26"/>
    <d v="1899-12-30T00:00:12"/>
    <s v=""/>
    <x v="3"/>
  </r>
  <r>
    <d v="2026-05-26T14:46:59"/>
    <s v="3003 - FirjanAtivo"/>
    <s v="6044-Roseli Honorato Dos Santos"/>
    <m/>
    <m/>
    <n v="2778174876"/>
    <n v="177981761944091"/>
    <s v="(21) 2038-4382"/>
    <s v="(24) 99835-7233"/>
    <s v="Sainte"/>
    <s v="Atendido"/>
    <s v="Fora de Area / Cx de Mensagens"/>
    <m/>
    <s v="Agente"/>
    <n v="16"/>
    <m/>
    <m/>
    <d v="1899-12-30T00:00:22"/>
    <d v="1899-12-30T00:00:14"/>
    <s v=""/>
    <x v="3"/>
  </r>
  <r>
    <d v="2026-05-26T14:47:33"/>
    <s v="3003 - FirjanAtivo"/>
    <s v="6044-Roseli Honorato Dos Santos"/>
    <m/>
    <m/>
    <n v="2771927046"/>
    <n v="177981765344121"/>
    <s v="(21) 2038-4382"/>
    <s v="(21) 99210-9372"/>
    <s v="Sainte"/>
    <s v="Atendido"/>
    <s v="Enviar E-mail"/>
    <m/>
    <s v="Cliente"/>
    <n v="16"/>
    <m/>
    <m/>
    <d v="1899-12-30T00:03:02"/>
    <d v="1899-12-30T00:02:47"/>
    <n v="1"/>
    <x v="3"/>
  </r>
  <r>
    <d v="2026-05-26T14:52:29"/>
    <s v="3003 - FirjanAtivo"/>
    <s v="6052-Marcia Lima Peixoto"/>
    <m/>
    <m/>
    <n v="2772250744"/>
    <n v="177981794944651"/>
    <s v="(21) 2038-4382"/>
    <s v="(21) 99243-2774"/>
    <s v="Sainte"/>
    <s v="Atendido"/>
    <s v="Engano"/>
    <m/>
    <s v="Cliente"/>
    <n v="16"/>
    <m/>
    <m/>
    <d v="1899-12-30T00:00:42"/>
    <d v="1899-12-30T00:00:32"/>
    <s v=""/>
    <x v="3"/>
  </r>
  <r>
    <d v="2026-05-26T14:53:46"/>
    <s v="3003 - FirjanAtivo"/>
    <s v="6052-Marcia Lima Peixoto"/>
    <m/>
    <m/>
    <n v="2772250821"/>
    <n v="177981802644851"/>
    <s v="(21) 2038-4382"/>
    <s v="(21) 99243-2774"/>
    <s v="Sainte"/>
    <s v="Atendido"/>
    <s v="Retornar"/>
    <m/>
    <s v="Cliente"/>
    <n v="16"/>
    <m/>
    <m/>
    <d v="1899-12-30T00:01:00"/>
    <d v="1899-12-30T00:00:50"/>
    <s v=""/>
    <x v="3"/>
  </r>
  <r>
    <d v="2026-05-26T14:54:22"/>
    <s v="3003 - FirjanAtivo"/>
    <s v="6044-Roseli Honorato Dos Santos"/>
    <m/>
    <m/>
    <n v="2761638880"/>
    <n v="177981806244911"/>
    <s v="(21) 2038-4382"/>
    <s v="(24) 98182-0794"/>
    <s v="Sainte"/>
    <s v="Atendido"/>
    <s v="Fora de Area / Cx de Mensagens"/>
    <m/>
    <s v="Agente"/>
    <n v="16"/>
    <m/>
    <m/>
    <d v="1899-12-30T00:02:03"/>
    <d v="1899-12-30T00:01:40"/>
    <s v=""/>
    <x v="3"/>
  </r>
  <r>
    <d v="2026-05-26T14:56:17"/>
    <s v="3003 - FirjanAtivo"/>
    <s v="6052-Marcia Lima Peixoto"/>
    <m/>
    <m/>
    <n v="2761638995"/>
    <n v="177981817744941"/>
    <s v="(21) 2038-4382"/>
    <s v="(24) 98182-0794"/>
    <s v="Sainte"/>
    <s v="Não Atendeu"/>
    <m/>
    <m/>
    <s v="Agente"/>
    <n v="19"/>
    <m/>
    <m/>
    <d v="1899-12-30T00:00:04"/>
    <s v="---"/>
    <s v=""/>
    <x v="3"/>
  </r>
  <r>
    <d v="2026-05-26T14:57:43"/>
    <s v="3003 - FirjanAtivo"/>
    <s v="6044-Roseli Honorato Dos Santos"/>
    <m/>
    <m/>
    <n v="2744696368"/>
    <n v="177981826345081"/>
    <s v="(21) 2038-4382"/>
    <s v="(21) 96487-8084"/>
    <s v="Sainte"/>
    <s v="Atendido"/>
    <s v="INFORMADO"/>
    <m/>
    <s v="Cliente"/>
    <n v="16"/>
    <m/>
    <m/>
    <d v="1899-12-30T00:02:38"/>
    <d v="1899-12-30T00:02:19"/>
    <s v=""/>
    <x v="3"/>
  </r>
  <r>
    <d v="2026-05-26T15:00:30"/>
    <s v="3003 - FirjanAtivo"/>
    <s v="6052-Marcia Lima Peixoto"/>
    <m/>
    <m/>
    <n v="2764787305"/>
    <n v="177981843045171"/>
    <s v="(21) 2038-4382"/>
    <s v="(21) 98496-8854"/>
    <s v="Sainte"/>
    <s v="Atendido"/>
    <s v="Enviar E-mail"/>
    <m/>
    <s v="Agente"/>
    <n v="16"/>
    <m/>
    <m/>
    <d v="1899-12-30T00:05:07"/>
    <d v="1899-12-30T00:04:53"/>
    <n v="1"/>
    <x v="3"/>
  </r>
  <r>
    <d v="2026-05-26T15:02:05"/>
    <s v="3003 - FirjanAtivo"/>
    <s v="6044-Roseli Honorato Dos Santos"/>
    <m/>
    <m/>
    <n v="2779785314"/>
    <n v="177981852545361"/>
    <s v="(21) 2038-4382"/>
    <s v="(24) 99996-6765"/>
    <s v="Sainte"/>
    <s v="Não Atendeu"/>
    <m/>
    <m/>
    <s v="Agente"/>
    <n v="19"/>
    <m/>
    <m/>
    <d v="1899-12-30T00:00:46"/>
    <s v="---"/>
    <s v=""/>
    <x v="3"/>
  </r>
  <r>
    <d v="2026-05-26T15:03:01"/>
    <s v="3003 - FirjanAtivo"/>
    <s v="6044-Roseli Honorato Dos Santos"/>
    <m/>
    <m/>
    <n v="2779785370"/>
    <n v="177981858145391"/>
    <s v="(21) 2038-4382"/>
    <s v="(24) 99996-6765"/>
    <s v="Sainte"/>
    <s v="Atendido"/>
    <s v="Fora de Area / Cx de Mensagens"/>
    <m/>
    <s v="Agente"/>
    <n v="16"/>
    <m/>
    <m/>
    <d v="1899-12-30T00:00:50"/>
    <d v="1899-12-30T00:00:25"/>
    <s v=""/>
    <x v="3"/>
  </r>
  <r>
    <d v="2026-05-26T15:08:08"/>
    <s v="3003 - FirjanAtivo"/>
    <s v="6044-Roseli Honorato Dos Santos"/>
    <m/>
    <m/>
    <n v="2773770891"/>
    <n v="177981888845671"/>
    <s v="(21) 2038-4382"/>
    <s v="(24) 99395-1979"/>
    <s v="Sainte"/>
    <s v="Atendido"/>
    <s v="INFORMADO"/>
    <m/>
    <s v="Cliente"/>
    <n v="16"/>
    <m/>
    <m/>
    <d v="1899-12-30T00:01:57"/>
    <d v="1899-12-30T00:01:38"/>
    <s v=""/>
    <x v="3"/>
  </r>
  <r>
    <d v="2026-05-26T15:13:24"/>
    <s v="3003 - FirjanAtivo"/>
    <s v="6044-Roseli Honorato Dos Santos"/>
    <m/>
    <m/>
    <n v="2779243176"/>
    <n v="177981920446251"/>
    <s v="(21) 2038-4382"/>
    <s v="(24) 99942-3948"/>
    <s v="Sainte"/>
    <s v="Atendido"/>
    <s v="Enviar E-mail"/>
    <m/>
    <s v="Cliente"/>
    <n v="16"/>
    <m/>
    <m/>
    <d v="1899-12-30T00:02:35"/>
    <d v="1899-12-30T00:02:22"/>
    <n v="1"/>
    <x v="3"/>
  </r>
  <r>
    <d v="2026-05-26T15:21:05"/>
    <s v="3003 - FirjanAtivo"/>
    <s v="6052-Marcia Lima Peixoto"/>
    <m/>
    <m/>
    <n v="2712688312"/>
    <n v="177981966546721"/>
    <s v="(21) 2038-4382"/>
    <s v="(11) 93286-8636"/>
    <s v="Sainte"/>
    <s v="Atendido"/>
    <s v="Enviar E-mail"/>
    <m/>
    <s v="Cliente"/>
    <n v="16"/>
    <m/>
    <m/>
    <d v="1899-12-30T00:05:09"/>
    <d v="1899-12-30T00:04:39"/>
    <n v="1"/>
    <x v="3"/>
  </r>
  <r>
    <d v="2026-05-26T15:23:35"/>
    <s v="3003 - FirjanAtivo"/>
    <s v="6044-Roseli Honorato Dos Santos"/>
    <m/>
    <m/>
    <n v="2761175190"/>
    <n v="177981981546901"/>
    <s v="(21) 2038-4382"/>
    <s v="(24) 98135-5351"/>
    <s v="Sainte"/>
    <s v="Não Atendeu"/>
    <m/>
    <m/>
    <s v="Agente"/>
    <n v="19"/>
    <m/>
    <m/>
    <d v="1899-12-30T00:00:30"/>
    <s v="---"/>
    <s v=""/>
    <x v="3"/>
  </r>
  <r>
    <d v="2026-05-26T15:25:07"/>
    <s v="3003 - FirjanAtivo"/>
    <s v="6044-Roseli Honorato Dos Santos"/>
    <m/>
    <m/>
    <n v="2761175227"/>
    <n v="177981985246931"/>
    <s v="(21) 2038-4382"/>
    <s v="(24) 98135-5351"/>
    <s v="Sainte"/>
    <s v="Ocupado"/>
    <m/>
    <m/>
    <s v="Cliente"/>
    <n v="19"/>
    <m/>
    <m/>
    <d v="1899-12-30T00:00:01"/>
    <s v="---"/>
    <s v=""/>
    <x v="3"/>
  </r>
  <r>
    <d v="2026-05-26T15:28:20"/>
    <s v="3003 - FirjanAtivo"/>
    <s v="6044-Roseli Honorato Dos Santos"/>
    <m/>
    <m/>
    <n v="2761175451"/>
    <n v="177982007647431"/>
    <s v="(21) 2038-4382"/>
    <s v="(24) 98135-5351"/>
    <s v="Sainte"/>
    <s v="Falhou"/>
    <m/>
    <m/>
    <s v="Cliente"/>
    <n v="34"/>
    <m/>
    <m/>
    <d v="1899-12-30T00:00:01"/>
    <s v="---"/>
    <s v=""/>
    <x v="3"/>
  </r>
  <r>
    <d v="2026-05-26T15:29:21"/>
    <s v="3003 - FirjanAtivo"/>
    <s v="6052-Marcia Lima Peixoto"/>
    <m/>
    <m/>
    <n v="2777482382"/>
    <n v="177982016147541"/>
    <s v="(21) 2038-4382"/>
    <s v="(22) 99766-2198"/>
    <s v="Sainte"/>
    <s v="Atendido"/>
    <s v="INFORMADO"/>
    <m/>
    <s v="Cliente"/>
    <n v="16"/>
    <m/>
    <m/>
    <d v="1899-12-30T00:02:08"/>
    <d v="1899-12-30T00:01:56"/>
    <s v=""/>
    <x v="3"/>
  </r>
  <r>
    <d v="2026-05-26T15:29:27"/>
    <s v="3003 - FirjanAtivo"/>
    <s v="6044-Roseli Honorato Dos Santos"/>
    <m/>
    <m/>
    <n v="2779719295"/>
    <n v="177982016747561"/>
    <s v="(21) 2038-4382"/>
    <s v="(21) 99989-9107"/>
    <s v="Sainte"/>
    <s v="Atendido"/>
    <s v="Enviar E-mail"/>
    <m/>
    <s v="Cliente"/>
    <n v="16"/>
    <m/>
    <m/>
    <d v="1899-12-30T00:01:44"/>
    <d v="1899-12-30T00:01:38"/>
    <n v="1"/>
    <x v="3"/>
  </r>
  <r>
    <d v="2026-05-26T15:36:09"/>
    <s v="3003 - FirjanAtivo"/>
    <s v="6052-Marcia Lima Peixoto"/>
    <m/>
    <m/>
    <n v="2761419376"/>
    <n v="177982056947821"/>
    <s v="(21) 2038-4382"/>
    <s v="(24) 98159-8783"/>
    <s v="Sainte"/>
    <s v="Não Atendeu"/>
    <m/>
    <m/>
    <s v="Agente"/>
    <n v="19"/>
    <m/>
    <m/>
    <d v="1899-12-30T00:00:36"/>
    <s v="---"/>
    <s v=""/>
    <x v="3"/>
  </r>
  <r>
    <d v="2026-05-26T15:37:51"/>
    <s v="3003 - FirjanAtivo"/>
    <s v="6052-Marcia Lima Peixoto"/>
    <m/>
    <m/>
    <n v="2778980790"/>
    <n v="177982067147931"/>
    <s v="(21) 2038-4382"/>
    <s v="(22) 99916-0097"/>
    <s v="Sainte"/>
    <s v="Atendido"/>
    <s v="Tel Não Atende / Ocupado"/>
    <m/>
    <s v="Agente"/>
    <n v="16"/>
    <m/>
    <m/>
    <d v="1899-12-30T00:00:40"/>
    <d v="1899-12-30T00:00:04"/>
    <s v=""/>
    <x v="3"/>
  </r>
  <r>
    <d v="2026-05-26T15:39:21"/>
    <s v="3003 - FirjanAtivo"/>
    <s v="6052-Marcia Lima Peixoto"/>
    <m/>
    <m/>
    <n v="2761275226"/>
    <n v="177982076148001"/>
    <s v="(21) 2038-4382"/>
    <s v="(24) 98145-4441"/>
    <s v="Sainte"/>
    <s v="Atendido"/>
    <s v="Fora de Area / Cx de Mensagens"/>
    <m/>
    <s v="Agente"/>
    <n v="16"/>
    <m/>
    <m/>
    <d v="1899-12-30T00:00:11"/>
    <d v="1899-12-30T00:00:02"/>
    <s v=""/>
    <x v="3"/>
  </r>
  <r>
    <d v="2026-05-26T15:40:18"/>
    <s v="3003 - FirjanAtivo"/>
    <s v="6052-Marcia Lima Peixoto"/>
    <m/>
    <m/>
    <n v="2767226594"/>
    <n v="177982081848091"/>
    <s v="(21) 2038-4382"/>
    <s v="(21) 98740-5755"/>
    <s v="Sainte"/>
    <s v="Atendido"/>
    <s v="Enviar E-mail"/>
    <m/>
    <s v="Agente"/>
    <n v="16"/>
    <m/>
    <m/>
    <d v="1899-12-30T00:05:20"/>
    <d v="1899-12-30T00:05:13"/>
    <n v="1"/>
    <x v="3"/>
  </r>
  <r>
    <d v="2026-05-26T15:47:09"/>
    <s v="3003 - FirjanAtivo"/>
    <s v="6044-Roseli Honorato Dos Santos"/>
    <m/>
    <m/>
    <n v="2761194416"/>
    <n v="177982122048641"/>
    <s v="(21) 2038-4382"/>
    <s v="(22) 98137-3174"/>
    <s v="Sainte"/>
    <s v="Ocupado"/>
    <m/>
    <m/>
    <s v="Cliente"/>
    <n v="17"/>
    <m/>
    <m/>
    <d v="1899-12-30T00:00:01"/>
    <s v="---"/>
    <s v=""/>
    <x v="3"/>
  </r>
  <r>
    <d v="2026-05-26T15:47:46"/>
    <s v="3003 - FirjanAtivo"/>
    <s v="6044-Roseli Honorato Dos Santos"/>
    <m/>
    <m/>
    <n v="2761194453"/>
    <n v="177982125748751"/>
    <s v="(21) 2038-4382"/>
    <s v="(22) 98137-3174"/>
    <s v="Sainte"/>
    <s v="Ocupado"/>
    <m/>
    <m/>
    <s v="Cliente"/>
    <n v="17"/>
    <m/>
    <m/>
    <d v="1899-12-30T00:00:01"/>
    <s v="---"/>
    <s v=""/>
    <x v="3"/>
  </r>
  <r>
    <d v="2026-05-26T15:48:44"/>
    <s v="3003 - FirjanAtivo"/>
    <s v="6044-Roseli Honorato Dos Santos"/>
    <m/>
    <m/>
    <n v="2761194509"/>
    <n v="177982131348871"/>
    <s v="(21) 2038-4382"/>
    <s v="(22) 98137-3174"/>
    <s v="Sainte"/>
    <s v="Ocupado"/>
    <m/>
    <m/>
    <s v="Cliente"/>
    <n v="17"/>
    <m/>
    <m/>
    <d v="1899-12-30T00:00:01"/>
    <s v="---"/>
    <s v=""/>
    <x v="3"/>
  </r>
  <r>
    <d v="2026-05-26T15:49:19"/>
    <s v="3003 - FirjanAtivo"/>
    <s v="6044-Roseli Honorato Dos Santos"/>
    <m/>
    <m/>
    <n v="2767214198"/>
    <n v="177982135948911"/>
    <s v="(21) 2038-4382"/>
    <s v="(21) 98739-2818"/>
    <s v="Sainte"/>
    <s v="Atendido"/>
    <s v="Fora de Area / Cx de Mensagens"/>
    <m/>
    <s v="Cliente"/>
    <n v="16"/>
    <m/>
    <m/>
    <d v="1899-12-30T00:03:34"/>
    <d v="1899-12-30T00:03:08"/>
    <s v=""/>
    <x v="3"/>
  </r>
  <r>
    <d v="2026-05-26T15:49:50"/>
    <s v="3003 - FirjanAtivo"/>
    <s v="6052-Marcia Lima Peixoto"/>
    <m/>
    <m/>
    <n v="2771867211"/>
    <n v="177982139048971"/>
    <s v="(21) 2038-4382"/>
    <s v="(21) 99204-5800"/>
    <s v="Sainte"/>
    <s v="Atendido"/>
    <s v="Cliente Desligou"/>
    <m/>
    <s v="Cliente"/>
    <n v="16"/>
    <m/>
    <m/>
    <d v="1899-12-30T00:00:11"/>
    <d v="1899-12-30T00:00:02"/>
    <s v=""/>
    <x v="3"/>
  </r>
  <r>
    <d v="2026-05-26T15:51:47"/>
    <s v="3003 - FirjanAtivo"/>
    <s v="6052-Marcia Lima Peixoto"/>
    <m/>
    <m/>
    <n v="2779254349"/>
    <n v="177982150749001"/>
    <s v="(21) 2038-4382"/>
    <s v="(22) 99943-2820"/>
    <s v="Sainte"/>
    <s v="Não Atendeu"/>
    <m/>
    <m/>
    <s v="Agente"/>
    <n v="19"/>
    <m/>
    <m/>
    <d v="1899-12-30T00:00:11"/>
    <s v="---"/>
    <s v=""/>
    <x v="3"/>
  </r>
  <r>
    <d v="2026-05-26T15:53:05"/>
    <s v="3003 - FirjanAtivo"/>
    <s v="6052-Marcia Lima Peixoto"/>
    <m/>
    <m/>
    <n v="2763978452"/>
    <n v="177982158549111"/>
    <s v="(21) 2038-4382"/>
    <s v="(21) 98415-6846"/>
    <s v="Sainte"/>
    <s v="Não Atendeu"/>
    <m/>
    <m/>
    <s v="Agente"/>
    <n v="19"/>
    <m/>
    <m/>
    <d v="1899-12-30T00:00:15"/>
    <s v="---"/>
    <s v=""/>
    <x v="3"/>
  </r>
  <r>
    <d v="2026-05-26T15:55:33"/>
    <s v="3003 - FirjanAtivo"/>
    <s v="6044-Roseli Honorato Dos Santos"/>
    <m/>
    <m/>
    <n v="2747182867"/>
    <n v="177982173349341"/>
    <s v="(21) 2038-4382"/>
    <s v="(21) 96736-1113"/>
    <s v="Sainte"/>
    <s v="Atendido"/>
    <s v="Cliente Desligou"/>
    <m/>
    <s v="Cliente"/>
    <n v="16"/>
    <m/>
    <m/>
    <d v="1899-12-30T00:00:28"/>
    <d v="1899-12-30T00:00:25"/>
    <s v=""/>
    <x v="3"/>
  </r>
  <r>
    <d v="2026-05-26T15:56:29"/>
    <s v="3003 - FirjanAtivo"/>
    <s v="6052-Marcia Lima Peixoto"/>
    <m/>
    <m/>
    <n v="2748841843"/>
    <n v="177982178949481"/>
    <s v="(21) 2038-4382"/>
    <s v="(21) 96902-0033"/>
    <s v="Sainte"/>
    <s v="Atendido"/>
    <s v="INFORMADO"/>
    <m/>
    <s v="Cliente"/>
    <n v="16"/>
    <m/>
    <m/>
    <d v="1899-12-30T00:02:51"/>
    <d v="1899-12-30T00:02:37"/>
    <s v=""/>
    <x v="3"/>
  </r>
  <r>
    <d v="2026-05-26T15:56:46"/>
    <s v="3003 - FirjanAtivo"/>
    <s v="6044-Roseli Honorato Dos Santos"/>
    <m/>
    <m/>
    <n v="2761626703"/>
    <n v="177982180649501"/>
    <s v="(21) 2038-4382"/>
    <s v="(21) 98180-4876"/>
    <s v="Sainte"/>
    <s v="Atendido"/>
    <s v="Tel Não Atende / Ocupado"/>
    <m/>
    <s v="Cliente"/>
    <n v="16"/>
    <m/>
    <m/>
    <d v="1899-12-30T00:00:57"/>
    <d v="1899-12-30T00:00:17"/>
    <s v=""/>
    <x v="3"/>
  </r>
  <r>
    <d v="2026-05-26T15:58:39"/>
    <s v="3003 - FirjanAtivo"/>
    <s v="6044-Roseli Honorato Dos Santos"/>
    <m/>
    <m/>
    <n v="2779353468"/>
    <n v="177982191949531"/>
    <s v="(21) 2038-4382"/>
    <s v="(21) 99953-1528"/>
    <s v="Sainte"/>
    <s v="Atendido"/>
    <s v="Fora de Area / Cx de Mensagens"/>
    <m/>
    <s v="Agente"/>
    <n v="16"/>
    <m/>
    <m/>
    <d v="1899-12-30T00:00:44"/>
    <d v="1899-12-30T00:00:03"/>
    <s v=""/>
    <x v="3"/>
  </r>
  <r>
    <d v="2026-05-26T16:00:02"/>
    <s v="3003 - FirjanAtivo"/>
    <s v="6044-Roseli Honorato Dos Santos"/>
    <m/>
    <m/>
    <n v="2748204427"/>
    <n v="177982200249641"/>
    <s v="(21) 2038-4382"/>
    <s v="(21) 96838-2404"/>
    <s v="Sainte"/>
    <s v="Atendido"/>
    <s v="Enviar E-mail"/>
    <m/>
    <s v="Cliente"/>
    <n v="16"/>
    <m/>
    <m/>
    <d v="1899-12-30T00:02:45"/>
    <d v="1899-12-30T00:02:36"/>
    <n v="1"/>
    <x v="3"/>
  </r>
  <r>
    <d v="2026-05-26T16:08:12"/>
    <s v="3003 - FirjanAtivo"/>
    <s v="6044-Roseli Honorato Dos Santos"/>
    <m/>
    <m/>
    <n v="2744347220"/>
    <n v="177982249250131"/>
    <s v="(21) 2038-4382"/>
    <s v="(21) 96452-4707"/>
    <s v="Sainte"/>
    <s v="Atendido"/>
    <s v="Fora de Area / Cx de Mensagens"/>
    <m/>
    <s v="Cliente"/>
    <n v="16"/>
    <m/>
    <m/>
    <d v="1899-12-30T00:01:07"/>
    <d v="1899-12-30T00:01:00"/>
    <s v=""/>
    <x v="3"/>
  </r>
  <r>
    <d v="2026-05-26T16:10:47"/>
    <s v="3003 - FirjanAtivo"/>
    <s v="6044-Roseli Honorato Dos Santos"/>
    <m/>
    <m/>
    <n v="2744347375"/>
    <n v="177982264750301"/>
    <s v="(21) 2038-4382"/>
    <s v="(21) 96452-4707"/>
    <s v="Sainte"/>
    <s v="Atendido"/>
    <s v="Fora de Area / Cx de Mensagens"/>
    <m/>
    <s v="Cliente"/>
    <n v="16"/>
    <m/>
    <m/>
    <d v="1899-12-30T00:00:15"/>
    <d v="1899-12-30T00:00:08"/>
    <s v=""/>
    <x v="3"/>
  </r>
  <r>
    <d v="2026-05-26T16:12:37"/>
    <s v="3003 - FirjanAtivo"/>
    <s v="6052-Marcia Lima Peixoto"/>
    <m/>
    <m/>
    <n v="2753350596"/>
    <n v="177982275750531"/>
    <s v="(21) 2038-4382"/>
    <s v="(21) 97352-7818"/>
    <s v="Sainte"/>
    <s v="Atendido"/>
    <s v="Fora de Area / Cx de Mensagens"/>
    <m/>
    <s v="Agente"/>
    <n v="16"/>
    <m/>
    <m/>
    <d v="1899-12-30T00:00:28"/>
    <d v="1899-12-30T00:00:02"/>
    <s v=""/>
    <x v="3"/>
  </r>
  <r>
    <d v="2026-05-26T16:13:34"/>
    <s v="3003 - FirjanAtivo"/>
    <s v="6052-Marcia Lima Peixoto"/>
    <m/>
    <m/>
    <n v="2778154658"/>
    <n v="177982281450651"/>
    <s v="(21) 2038-4382"/>
    <s v="(24) 99833-1820"/>
    <s v="Sainte"/>
    <s v="Atendido"/>
    <s v="Tel Não Atende / Ocupado"/>
    <m/>
    <s v="Agente"/>
    <n v="16"/>
    <m/>
    <m/>
    <d v="1899-12-30T00:00:40"/>
    <d v="1899-12-30T00:00:01"/>
    <s v=""/>
    <x v="3"/>
  </r>
  <r>
    <d v="2026-05-26T16:13:56"/>
    <s v="3003 - FirjanAtivo"/>
    <s v="6044-Roseli Honorato Dos Santos"/>
    <m/>
    <m/>
    <n v="2761395019"/>
    <n v="177982283650671"/>
    <s v="(21) 2038-4382"/>
    <s v="(22) 98157-2161"/>
    <s v="Sainte"/>
    <s v="Atendido"/>
    <s v="Fora de Area / Cx de Mensagens"/>
    <m/>
    <s v="Cliente"/>
    <n v="16"/>
    <m/>
    <m/>
    <d v="1899-12-30T00:00:43"/>
    <d v="1899-12-30T00:00:20"/>
    <s v=""/>
    <x v="3"/>
  </r>
  <r>
    <d v="2026-05-26T16:15:56"/>
    <s v="3003 - FirjanAtivo"/>
    <s v="6052-Marcia Lima Peixoto"/>
    <m/>
    <m/>
    <n v="2744595774"/>
    <n v="177982295650721"/>
    <s v="(21) 2038-4382"/>
    <s v="(21) 96477-2797"/>
    <s v="Sainte"/>
    <s v="Não Atendeu"/>
    <m/>
    <m/>
    <s v="Agente"/>
    <n v="19"/>
    <m/>
    <m/>
    <d v="1899-12-30T00:00:26"/>
    <s v="---"/>
    <s v=""/>
    <x v="3"/>
  </r>
  <r>
    <d v="2026-05-26T16:16:02"/>
    <s v="3003 - FirjanAtivo"/>
    <s v="6044-Roseli Honorato Dos Santos"/>
    <m/>
    <m/>
    <n v="1813087412"/>
    <n v="177982296250741"/>
    <s v="(21) 2038-4382"/>
    <s v="(24) 3326-4426"/>
    <s v="Sainte"/>
    <s v="Atendido"/>
    <s v="Enviar E-mail"/>
    <m/>
    <s v="Agente"/>
    <n v="16"/>
    <m/>
    <m/>
    <d v="1899-12-30T00:06:14"/>
    <d v="1899-12-30T00:05:57"/>
    <n v="1"/>
    <x v="3"/>
  </r>
  <r>
    <d v="2026-05-26T16:16:43"/>
    <s v="3003 - FirjanAtivo"/>
    <s v="6052-Marcia Lima Peixoto"/>
    <m/>
    <m/>
    <n v="2778413105"/>
    <n v="177982300350771"/>
    <s v="(21) 2038-4382"/>
    <s v="(21) 99859-0081"/>
    <s v="Sainte"/>
    <s v="Não Atendeu"/>
    <m/>
    <m/>
    <s v="Agente"/>
    <n v="19"/>
    <m/>
    <m/>
    <d v="1899-12-30T00:00:07"/>
    <s v="---"/>
    <s v=""/>
    <x v="3"/>
  </r>
  <r>
    <d v="2026-05-26T16:17:20"/>
    <s v="3003 - FirjanAtivo"/>
    <s v="6052-Marcia Lima Peixoto"/>
    <m/>
    <m/>
    <n v="2779808036"/>
    <n v="177982304050801"/>
    <s v="(21) 2038-4382"/>
    <s v="(24) 99998-4972"/>
    <s v="Sainte"/>
    <s v="Não Atendeu"/>
    <m/>
    <m/>
    <s v="Agente"/>
    <n v="19"/>
    <m/>
    <m/>
    <d v="1899-12-30T00:00:09"/>
    <s v="---"/>
    <s v=""/>
    <x v="3"/>
  </r>
  <r>
    <d v="2026-05-26T16:18:03"/>
    <s v="3003 - FirjanAtivo"/>
    <s v="6052-Marcia Lima Peixoto"/>
    <m/>
    <m/>
    <n v="2750115088"/>
    <n v="177982308350891"/>
    <s v="(21) 2038-4382"/>
    <s v="(21) 97029-1984"/>
    <s v="Sainte"/>
    <s v="Atendido"/>
    <s v="Não tem interesse"/>
    <m/>
    <s v="Cliente"/>
    <n v="16"/>
    <m/>
    <m/>
    <d v="1899-12-30T00:01:31"/>
    <d v="1899-12-30T00:01:14"/>
    <s v=""/>
    <x v="3"/>
  </r>
  <r>
    <d v="2026-05-26T16:23:43"/>
    <s v="3003 - FirjanAtivo"/>
    <s v="6044-Roseli Honorato Dos Santos"/>
    <m/>
    <m/>
    <n v="2712692070"/>
    <n v="177982342351491"/>
    <s v="(21) 2038-4382"/>
    <s v="(11) 93286-8636"/>
    <s v="Sainte"/>
    <s v="Atendido"/>
    <s v="Tel Não Atende / Ocupado"/>
    <m/>
    <s v="Cliente"/>
    <n v="16"/>
    <m/>
    <m/>
    <d v="1899-12-30T00:01:24"/>
    <d v="1899-12-30T00:00:42"/>
    <s v=""/>
    <x v="3"/>
  </r>
  <r>
    <d v="2026-05-26T16:25:29"/>
    <s v="3003 - FirjanAtivo"/>
    <s v="6052-Marcia Lima Peixoto"/>
    <m/>
    <m/>
    <n v="2768399448"/>
    <n v="177982352951701"/>
    <s v="(21) 2038-4382"/>
    <s v="(21) 98857-5898"/>
    <s v="Sainte"/>
    <s v="Atendido"/>
    <s v="Enviar E-mail"/>
    <m/>
    <s v="Cliente"/>
    <n v="16"/>
    <m/>
    <m/>
    <d v="1899-12-30T00:03:15"/>
    <d v="1899-12-30T00:03:03"/>
    <n v="1"/>
    <x v="3"/>
  </r>
  <r>
    <d v="2026-05-26T16:31:32"/>
    <s v="3003 - FirjanAtivo"/>
    <s v="6044-Roseli Honorato Dos Santos"/>
    <m/>
    <m/>
    <n v="2768106848"/>
    <n v="177982389252041"/>
    <s v="(21) 2038-4382"/>
    <s v="(24) 98828-2932"/>
    <s v="Sainte"/>
    <s v="Atendido"/>
    <s v="Tel Não Atende / Ocupado"/>
    <m/>
    <s v="Cliente"/>
    <n v="16"/>
    <m/>
    <m/>
    <d v="1899-12-30T00:00:55"/>
    <d v="1899-12-30T00:00:14"/>
    <s v=""/>
    <x v="3"/>
  </r>
  <r>
    <d v="2026-05-26T16:33:25"/>
    <s v="3003 - FirjanAtivo"/>
    <s v="6044-Roseli Honorato Dos Santos"/>
    <m/>
    <m/>
    <n v="2779385636"/>
    <n v="177982400552071"/>
    <s v="(21) 2038-4382"/>
    <s v="(24) 99956-1607"/>
    <s v="Sainte"/>
    <s v="Atendido"/>
    <s v="Fora de Area / Cx de Mensagens"/>
    <m/>
    <s v="Agente"/>
    <n v="16"/>
    <m/>
    <m/>
    <d v="1899-12-30T00:00:42"/>
    <d v="1899-12-30T00:00:20"/>
    <s v=""/>
    <x v="3"/>
  </r>
  <r>
    <d v="2026-05-26T16:38:02"/>
    <s v="3003 - FirjanAtivo"/>
    <s v="6044-Roseli Honorato Dos Santos"/>
    <m/>
    <m/>
    <n v="2779385913"/>
    <n v="177982428252301"/>
    <s v="(21) 2038-4382"/>
    <s v="(24) 99956-1607"/>
    <s v="Sainte"/>
    <s v="Atendido"/>
    <s v="Fora de Area / Cx de Mensagens"/>
    <m/>
    <s v="Agente"/>
    <n v="16"/>
    <m/>
    <m/>
    <d v="1899-12-30T00:01:03"/>
    <d v="1899-12-30T00:00:39"/>
    <s v=""/>
    <x v="3"/>
  </r>
  <r>
    <d v="2026-05-26T16:39:03"/>
    <s v="3003 - FirjanAtivo"/>
    <s v="6052-Marcia Lima Peixoto"/>
    <m/>
    <m/>
    <n v="2771402228"/>
    <n v="177982434352321"/>
    <s v="(21) 2038-4382"/>
    <s v="(21) 99157-7864"/>
    <s v="Sainte"/>
    <s v="Atendido"/>
    <s v="Enviar E-mail"/>
    <m/>
    <s v="Cliente"/>
    <n v="16"/>
    <m/>
    <m/>
    <d v="1899-12-30T00:02:28"/>
    <d v="1899-12-30T00:02:09"/>
    <n v="1"/>
    <x v="3"/>
  </r>
  <r>
    <d v="2026-05-26T16:48:59"/>
    <s v="3003 - FirjanAtivo"/>
    <s v="6044-Roseli Honorato Dos Santos"/>
    <m/>
    <m/>
    <n v="2751960069"/>
    <n v="177982493953061"/>
    <s v="(21) 2038-4382"/>
    <s v="(21) 97213-5109"/>
    <s v="Sainte"/>
    <s v="Atendido"/>
    <s v="Fora de Area / Cx de Mensagens"/>
    <m/>
    <s v="Cliente"/>
    <n v="16"/>
    <m/>
    <m/>
    <d v="1899-12-30T00:02:04"/>
    <d v="1899-12-30T00:02:02"/>
    <s v=""/>
    <x v="3"/>
  </r>
  <r>
    <d v="2026-05-26T16:50:15"/>
    <s v="3003 - FirjanAtivo"/>
    <s v="6052-Marcia Lima Peixoto"/>
    <m/>
    <m/>
    <n v="2761258082"/>
    <n v="177982501553221"/>
    <s v="(21) 2038-4382"/>
    <s v="(24) 98143-3043"/>
    <s v="Sainte"/>
    <s v="Não Atendeu"/>
    <m/>
    <m/>
    <s v="Agente"/>
    <n v="19"/>
    <m/>
    <m/>
    <d v="1899-12-30T00:00:46"/>
    <s v="---"/>
    <s v=""/>
    <x v="3"/>
  </r>
  <r>
    <d v="2026-05-26T16:51:57"/>
    <s v="3003 - FirjanAtivo"/>
    <s v="6052-Marcia Lima Peixoto"/>
    <m/>
    <m/>
    <n v="2756552040"/>
    <n v="177982511753451"/>
    <s v="(21) 2038-4382"/>
    <s v="(21) 97672-6902"/>
    <s v="Sainte"/>
    <s v="Atendido"/>
    <s v="INFORMADO"/>
    <m/>
    <s v="Agente"/>
    <n v="16"/>
    <m/>
    <m/>
    <d v="1899-12-30T00:01:57"/>
    <d v="1899-12-30T00:01:51"/>
    <s v=""/>
    <x v="3"/>
  </r>
  <r>
    <d v="2026-05-26T16:55:22"/>
    <s v="3003 - FirjanAtivo"/>
    <s v="6044-Roseli Honorato Dos Santos"/>
    <m/>
    <m/>
    <n v="2763893486"/>
    <n v="177982532253661"/>
    <s v="(21) 2038-4382"/>
    <s v="(32) 98406-8132"/>
    <s v="Sainte"/>
    <s v="Atendido"/>
    <s v="Enviar E-mail"/>
    <m/>
    <s v="Agente"/>
    <n v="16"/>
    <m/>
    <m/>
    <d v="1899-12-30T00:05:06"/>
    <d v="1899-12-30T00:04:37"/>
    <n v="1"/>
    <x v="3"/>
  </r>
  <r>
    <d v="2026-05-26T17:01:17"/>
    <s v="3003 - FirjanAtivo"/>
    <s v="6044-Roseli Honorato Dos Santos"/>
    <m/>
    <m/>
    <n v="2771908604"/>
    <n v="177982567754121"/>
    <s v="(21) 2038-4382"/>
    <s v="(22) 99208-2905"/>
    <s v="Sainte"/>
    <s v="Atendido"/>
    <s v="Tel Não Atende / Ocupado"/>
    <m/>
    <s v="Cliente"/>
    <n v="16"/>
    <m/>
    <m/>
    <d v="1899-12-30T00:00:46"/>
    <d v="1899-12-30T00:00:19"/>
    <s v=""/>
    <x v="3"/>
  </r>
  <r>
    <d v="2026-05-26T17:05:25"/>
    <s v="3003 - FirjanAtivo"/>
    <s v="6052-Marcia Lima Peixoto"/>
    <m/>
    <m/>
    <n v="2771255954"/>
    <n v="177982592554371"/>
    <s v="(21) 2038-4382"/>
    <s v="(21) 99143-0008"/>
    <s v="Sainte"/>
    <s v="Não Atendeu"/>
    <m/>
    <m/>
    <s v="Agente"/>
    <n v="19"/>
    <m/>
    <m/>
    <d v="1899-12-30T00:00:08"/>
    <s v="---"/>
    <s v=""/>
    <x v="3"/>
  </r>
  <r>
    <d v="2026-05-27T09:07:46"/>
    <s v="3003 - FirjanAtivo"/>
    <s v="6044-Roseli Honorato Dos Santos"/>
    <m/>
    <m/>
    <n v="2779850456"/>
    <n v="17798836663161"/>
    <s v="(21) 2038-4382"/>
    <s v="(24) 99996-6765"/>
    <s v="Sainte"/>
    <s v="Atendido"/>
    <s v="Enviar E-mail"/>
    <m/>
    <s v="Cliente"/>
    <n v="16"/>
    <m/>
    <m/>
    <d v="1899-12-30T00:02:52"/>
    <d v="1899-12-30T00:02:33"/>
    <n v="1"/>
    <x v="4"/>
  </r>
  <r>
    <d v="2026-05-27T09:09:40"/>
    <s v="3003 - FirjanAtivo"/>
    <s v="6052-Marcia Lima Peixoto"/>
    <m/>
    <m/>
    <n v="2761482587"/>
    <n v="17798837803411"/>
    <s v="(21) 2038-4382"/>
    <s v="(24) 98159-8783"/>
    <s v="Sainte"/>
    <s v="Não Atendeu"/>
    <m/>
    <m/>
    <s v="Agente"/>
    <n v="19"/>
    <m/>
    <m/>
    <d v="1899-12-30T00:00:16"/>
    <s v="---"/>
    <s v=""/>
    <x v="4"/>
  </r>
  <r>
    <d v="2026-05-27T09:11:57"/>
    <s v="3003 - FirjanAtivo"/>
    <s v="6052-Marcia Lima Peixoto"/>
    <m/>
    <m/>
    <n v="2779044036"/>
    <n v="17798839173521"/>
    <s v="(21) 2038-4382"/>
    <s v="(22) 99916-0097"/>
    <s v="Sainte"/>
    <s v="Não Atendeu"/>
    <m/>
    <m/>
    <s v="Agente"/>
    <n v="19"/>
    <m/>
    <m/>
    <d v="1899-12-30T00:00:10"/>
    <s v="---"/>
    <s v=""/>
    <x v="4"/>
  </r>
  <r>
    <d v="2026-05-27T09:13:47"/>
    <s v="3003 - FirjanAtivo"/>
    <s v="6052-Marcia Lima Peixoto"/>
    <m/>
    <m/>
    <n v="2761338493"/>
    <n v="17798840273801"/>
    <s v="(21) 2038-4382"/>
    <s v="(24) 98145-4441"/>
    <s v="Sainte"/>
    <s v="Atendido"/>
    <s v="Fora de Area / Cx de Mensagens"/>
    <m/>
    <s v="Agente"/>
    <n v="16"/>
    <m/>
    <m/>
    <d v="1899-12-30T00:00:19"/>
    <d v="1899-12-30T00:00:03"/>
    <s v=""/>
    <x v="4"/>
  </r>
  <r>
    <d v="2026-05-27T09:15:11"/>
    <s v="3003 - FirjanAtivo"/>
    <s v="6052-Marcia Lima Peixoto"/>
    <m/>
    <m/>
    <n v="2771929932"/>
    <n v="17798841114111"/>
    <s v="(21) 2038-4382"/>
    <s v="(21) 99204-5800"/>
    <s v="Sainte"/>
    <s v="Atendido"/>
    <s v="Tel Não Atende / Ocupado"/>
    <m/>
    <s v="Agente"/>
    <n v="16"/>
    <m/>
    <m/>
    <d v="1899-12-30T00:00:23"/>
    <d v="1899-12-30T00:00:01"/>
    <s v=""/>
    <x v="4"/>
  </r>
  <r>
    <d v="2026-05-27T09:16:34"/>
    <s v="3003 - FirjanAtivo"/>
    <s v="6044-Roseli Honorato Dos Santos"/>
    <m/>
    <m/>
    <n v="2761239520"/>
    <n v="17798841454211"/>
    <s v="(21) 2038-4382"/>
    <s v="(24) 98135-5351"/>
    <s v="Sainte"/>
    <s v="Ocupado"/>
    <m/>
    <m/>
    <s v="Cliente"/>
    <n v="19"/>
    <m/>
    <m/>
    <d v="1899-12-30T00:00:01"/>
    <s v="---"/>
    <s v=""/>
    <x v="4"/>
  </r>
  <r>
    <d v="2026-05-27T09:16:53"/>
    <s v="3003 - FirjanAtivo"/>
    <s v="6052-Marcia Lima Peixoto"/>
    <m/>
    <m/>
    <n v="2779317055"/>
    <n v="17798842134421"/>
    <s v="(21) 2038-4382"/>
    <s v="(22) 99943-2820"/>
    <s v="Sainte"/>
    <s v="Não Atendeu"/>
    <m/>
    <m/>
    <s v="Agente"/>
    <n v="19"/>
    <m/>
    <m/>
    <d v="1899-12-30T00:00:09"/>
    <s v="---"/>
    <s v=""/>
    <x v="4"/>
  </r>
  <r>
    <d v="2026-05-27T09:17:07"/>
    <s v="3003 - FirjanAtivo"/>
    <s v="6052-Marcia Lima Peixoto"/>
    <m/>
    <m/>
    <n v="2779317069"/>
    <n v="17798842274491"/>
    <s v="(21) 2038-4382"/>
    <s v="(22) 99943-2820"/>
    <s v="Sainte"/>
    <s v="Não Atendeu"/>
    <m/>
    <m/>
    <s v="Agente"/>
    <n v="19"/>
    <m/>
    <m/>
    <d v="1899-12-30T00:00:05"/>
    <s v="---"/>
    <s v=""/>
    <x v="4"/>
  </r>
  <r>
    <d v="2026-05-27T09:17:10"/>
    <s v="3003 - FirjanAtivo"/>
    <s v="6044-Roseli Honorato Dos Santos"/>
    <m/>
    <m/>
    <n v="2761239605"/>
    <n v="17798842304511"/>
    <s v="(21) 2038-4382"/>
    <s v="(24) 98135-5351"/>
    <s v="Sainte"/>
    <s v="Não Atendeu"/>
    <m/>
    <m/>
    <s v="Agente"/>
    <n v="19"/>
    <m/>
    <m/>
    <d v="1899-12-30T00:00:43"/>
    <s v="---"/>
    <s v=""/>
    <x v="4"/>
  </r>
  <r>
    <d v="2026-05-27T09:17:43"/>
    <s v="3003 - FirjanAtivo"/>
    <s v="6052-Marcia Lima Peixoto"/>
    <m/>
    <m/>
    <n v="2764041130"/>
    <n v="17798842634581"/>
    <s v="(21) 2038-4382"/>
    <s v="(21) 98415-6846"/>
    <s v="Sainte"/>
    <s v="Não Atendeu"/>
    <m/>
    <m/>
    <s v="Agente"/>
    <n v="19"/>
    <m/>
    <m/>
    <d v="1899-12-30T00:00:34"/>
    <s v="---"/>
    <s v=""/>
    <x v="4"/>
  </r>
  <r>
    <d v="2026-05-27T09:18:50"/>
    <s v="3003 - FirjanAtivo"/>
    <s v="6044-Roseli Honorato Dos Santos"/>
    <m/>
    <m/>
    <n v="2761239656"/>
    <n v="17798842814611"/>
    <s v="(21) 2038-4382"/>
    <s v="(24) 98135-5351"/>
    <s v="Sainte"/>
    <s v="Ocupado"/>
    <m/>
    <m/>
    <s v="Cliente"/>
    <n v="19"/>
    <m/>
    <m/>
    <d v="1899-12-30T00:00:01"/>
    <s v="---"/>
    <s v=""/>
    <x v="4"/>
  </r>
  <r>
    <d v="2026-05-27T09:19:52"/>
    <s v="3003 - FirjanAtivo"/>
    <s v="6052-Marcia Lima Peixoto"/>
    <m/>
    <m/>
    <n v="1853412229"/>
    <n v="17798843924721"/>
    <s v="(21) 2038-4382"/>
    <s v="(21) 97352-7818"/>
    <s v="Sainte"/>
    <s v="Não Atendeu"/>
    <m/>
    <m/>
    <s v="Cliente"/>
    <n v="1"/>
    <m/>
    <m/>
    <d v="1899-12-30T00:00:01"/>
    <s v="---"/>
    <s v=""/>
    <x v="4"/>
  </r>
  <r>
    <d v="2026-05-27T09:20:00"/>
    <s v="3003 - FirjanAtivo"/>
    <s v="6052-Marcia Lima Peixoto"/>
    <m/>
    <m/>
    <n v="2753412239"/>
    <n v="17798844004821"/>
    <s v="(21) 2038-4382"/>
    <s v="(21) 97352-7818"/>
    <s v="Sainte"/>
    <s v="Falhou"/>
    <m/>
    <m/>
    <s v="Agente"/>
    <n v="16"/>
    <m/>
    <m/>
    <d v="1899-12-30T00:00:00"/>
    <s v="---"/>
    <s v=""/>
    <x v="4"/>
  </r>
  <r>
    <d v="2026-05-27T09:20:44"/>
    <s v="3003 - FirjanAtivo"/>
    <s v="6052-Marcia Lima Peixoto"/>
    <m/>
    <m/>
    <n v="2778216288"/>
    <n v="17798844444841"/>
    <s v="(21) 2038-4382"/>
    <s v="(24) 99833-1820"/>
    <s v="Sainte"/>
    <s v="Atendido"/>
    <s v="Fora de Area / Cx de Mensagens"/>
    <m/>
    <s v="Agente"/>
    <n v="16"/>
    <m/>
    <m/>
    <d v="1899-12-30T00:00:09"/>
    <d v="1899-12-30T00:00:01"/>
    <s v=""/>
    <x v="4"/>
  </r>
  <r>
    <d v="2026-05-27T09:21:04"/>
    <s v="3003 - FirjanAtivo"/>
    <s v="6044-Roseli Honorato Dos Santos"/>
    <m/>
    <m/>
    <n v="2761257649"/>
    <n v="17798844534861"/>
    <s v="(21) 2038-4382"/>
    <s v="(22) 98137-3174"/>
    <s v="Sainte"/>
    <s v="Ocupado"/>
    <m/>
    <m/>
    <s v="Cliente"/>
    <n v="17"/>
    <m/>
    <m/>
    <d v="1899-12-30T00:00:01"/>
    <s v="---"/>
    <s v=""/>
    <x v="4"/>
  </r>
  <r>
    <d v="2026-05-27T09:21:34"/>
    <s v="3003 - FirjanAtivo"/>
    <s v="6044-Roseli Honorato Dos Santos"/>
    <m/>
    <m/>
    <n v="2761257681"/>
    <n v="17798844854951"/>
    <s v="(21) 2038-4382"/>
    <s v="(22) 98137-3174"/>
    <s v="Sainte"/>
    <s v="Ocupado"/>
    <m/>
    <m/>
    <s v="Cliente"/>
    <n v="17"/>
    <m/>
    <m/>
    <d v="1899-12-30T00:00:01"/>
    <s v="---"/>
    <s v=""/>
    <x v="4"/>
  </r>
  <r>
    <d v="2026-05-27T09:21:52"/>
    <s v="3003 - FirjanAtivo"/>
    <s v="6052-Marcia Lima Peixoto"/>
    <m/>
    <m/>
    <n v="2744657330"/>
    <n v="17798845124991"/>
    <s v="(21) 2038-4382"/>
    <s v="(21) 96477-2797"/>
    <s v="Sainte"/>
    <s v="Atendido"/>
    <s v="Fora de Area / Cx de Mensagens"/>
    <m/>
    <s v="Agente"/>
    <n v="16"/>
    <m/>
    <m/>
    <d v="1899-12-30T00:00:29"/>
    <d v="1899-12-30T00:00:02"/>
    <s v=""/>
    <x v="4"/>
  </r>
  <r>
    <d v="2026-05-27T09:22:23"/>
    <s v="3003 - FirjanAtivo"/>
    <s v="6044-Roseli Honorato Dos Santos"/>
    <m/>
    <m/>
    <n v="2761257731"/>
    <n v="17798845355051"/>
    <s v="(21) 2038-4382"/>
    <s v="(22) 98137-3174"/>
    <s v="Sainte"/>
    <s v="Ocupado"/>
    <m/>
    <m/>
    <s v="Cliente"/>
    <n v="17"/>
    <m/>
    <m/>
    <d v="1899-12-30T00:00:01"/>
    <s v="---"/>
    <s v=""/>
    <x v="4"/>
  </r>
  <r>
    <d v="2026-05-27T09:24:02"/>
    <s v="3003 - FirjanAtivo"/>
    <s v="6052-Marcia Lima Peixoto"/>
    <m/>
    <m/>
    <n v="2778474744"/>
    <n v="17798846425161"/>
    <s v="(21) 2038-4382"/>
    <s v="(21) 99859-0081"/>
    <s v="Sainte"/>
    <s v="Não Atendeu"/>
    <m/>
    <m/>
    <s v="Agente"/>
    <n v="19"/>
    <m/>
    <m/>
    <d v="1899-12-30T00:00:07"/>
    <s v="---"/>
    <s v=""/>
    <x v="4"/>
  </r>
  <r>
    <d v="2026-05-27T09:24:59"/>
    <s v="3003 - FirjanAtivo"/>
    <s v="6044-Roseli Honorato Dos Santos"/>
    <m/>
    <m/>
    <n v="2761257886"/>
    <n v="17798846905191"/>
    <s v="(21) 2038-4382"/>
    <s v="(22) 98137-3174"/>
    <s v="Sainte"/>
    <s v="Ocupado"/>
    <m/>
    <m/>
    <s v="Cliente"/>
    <n v="17"/>
    <m/>
    <m/>
    <d v="1899-12-30T00:00:01"/>
    <s v="---"/>
    <s v=""/>
    <x v="4"/>
  </r>
  <r>
    <d v="2026-05-27T09:25:11"/>
    <s v="3003 - FirjanAtivo"/>
    <s v="6052-Marcia Lima Peixoto"/>
    <m/>
    <m/>
    <n v="2779869707"/>
    <n v="17798847115271"/>
    <s v="(21) 2038-4382"/>
    <s v="(24) 99998-4972"/>
    <s v="Sainte"/>
    <s v="Atendido"/>
    <s v="Fora de Area / Cx de Mensagens"/>
    <m/>
    <s v="Agente"/>
    <n v="16"/>
    <m/>
    <m/>
    <d v="1899-12-30T00:00:07"/>
    <d v="1899-12-30T00:00:01"/>
    <s v=""/>
    <x v="4"/>
  </r>
  <r>
    <d v="2026-05-27T09:26:13"/>
    <s v="3003 - FirjanAtivo"/>
    <s v="6052-Marcia Lima Peixoto"/>
    <m/>
    <m/>
    <n v="2747745076"/>
    <n v="17798847735361"/>
    <s v="(21) 2038-4382"/>
    <s v="(21) 96786-0282"/>
    <s v="Sainte"/>
    <s v="Atendido"/>
    <s v="Enviar E-mail"/>
    <m/>
    <s v="Agente"/>
    <n v="16"/>
    <m/>
    <m/>
    <d v="1899-12-30T00:05:55"/>
    <d v="1899-12-30T00:05:42"/>
    <n v="1"/>
    <x v="4"/>
  </r>
  <r>
    <d v="2026-05-27T09:26:18"/>
    <s v="3003 - FirjanAtivo"/>
    <s v="6044-Roseli Honorato Dos Santos"/>
    <m/>
    <m/>
    <n v="2767277617"/>
    <n v="17798847785381"/>
    <s v="(21) 2038-4382"/>
    <s v="(21) 98739-2818"/>
    <s v="Sainte"/>
    <s v="Atendido"/>
    <s v="Ligação Muda"/>
    <m/>
    <s v="Agente"/>
    <n v="16"/>
    <m/>
    <m/>
    <d v="1899-12-30T00:01:14"/>
    <d v="1899-12-30T00:00:39"/>
    <s v=""/>
    <x v="4"/>
  </r>
  <r>
    <d v="2026-05-27T09:29:40"/>
    <s v="3003 - FirjanAtivo"/>
    <s v="6044-Roseli Honorato Dos Santos"/>
    <m/>
    <m/>
    <n v="2747246114"/>
    <n v="17798849805751"/>
    <s v="(21) 2038-4382"/>
    <s v="(21) 96736-1113"/>
    <s v="Sainte"/>
    <s v="Atendido"/>
    <s v="Fora de Area / Cx de Mensagens"/>
    <m/>
    <s v="Agente"/>
    <n v="16"/>
    <m/>
    <m/>
    <d v="1899-12-30T00:00:58"/>
    <d v="1899-12-30T00:00:55"/>
    <s v=""/>
    <x v="4"/>
  </r>
  <r>
    <d v="2026-05-27T09:31:29"/>
    <s v="3003 - FirjanAtivo"/>
    <s v="6044-Roseli Honorato Dos Santos"/>
    <m/>
    <m/>
    <n v="2761689986"/>
    <n v="17798850895781"/>
    <s v="(21) 2038-4382"/>
    <s v="(21) 98180-4876"/>
    <s v="Sainte"/>
    <s v="Atendido"/>
    <s v="Fora de Area / Cx de Mensagens"/>
    <m/>
    <s v="Agente"/>
    <n v="16"/>
    <m/>
    <m/>
    <d v="1899-12-30T00:00:43"/>
    <d v="1899-12-30T00:00:22"/>
    <s v=""/>
    <x v="4"/>
  </r>
  <r>
    <d v="2026-05-27T09:33:27"/>
    <s v="3003 - FirjanAtivo"/>
    <s v="6044-Roseli Honorato Dos Santos"/>
    <m/>
    <m/>
    <n v="2779416756"/>
    <n v="17798852075951"/>
    <s v="(21) 2038-4382"/>
    <s v="(21) 99953-1528"/>
    <s v="Sainte"/>
    <s v="Atendido"/>
    <s v="Fora de Area / Cx de Mensagens"/>
    <m/>
    <s v="Agente"/>
    <n v="16"/>
    <m/>
    <m/>
    <d v="1899-12-30T00:01:41"/>
    <d v="1899-12-30T00:01:20"/>
    <s v=""/>
    <x v="4"/>
  </r>
  <r>
    <d v="2026-05-27T09:36:02"/>
    <s v="3003 - FirjanAtivo"/>
    <s v="6044-Roseli Honorato Dos Santos"/>
    <m/>
    <m/>
    <n v="2744410090"/>
    <n v="17798853626081"/>
    <s v="(21) 2038-4382"/>
    <s v="(21) 96452-4707"/>
    <s v="Sainte"/>
    <s v="Atendido"/>
    <s v="Fora de Area / Cx de Mensagens"/>
    <m/>
    <s v="Cliente"/>
    <n v="16"/>
    <m/>
    <m/>
    <d v="1899-12-30T00:03:40"/>
    <d v="1899-12-30T00:03:03"/>
    <s v=""/>
    <x v="4"/>
  </r>
  <r>
    <d v="2026-05-27T09:36:45"/>
    <s v="3003 - FirjanAtivo"/>
    <s v="6052-Marcia Lima Peixoto"/>
    <m/>
    <m/>
    <n v="2772763877"/>
    <n v="17798854056261"/>
    <s v="(21) 2038-4382"/>
    <s v="(22) 99287-8450"/>
    <s v="Sainte"/>
    <s v="Atendido"/>
    <s v="Formulário Preenchido"/>
    <m/>
    <s v="Cliente"/>
    <n v="16"/>
    <m/>
    <m/>
    <d v="1899-12-30T00:04:00"/>
    <d v="1899-12-30T00:03:42"/>
    <s v=""/>
    <x v="4"/>
  </r>
  <r>
    <d v="2026-05-27T09:45:46"/>
    <s v="3003 - FirjanAtivo"/>
    <s v="6044-Roseli Honorato Dos Santos"/>
    <m/>
    <m/>
    <n v="2761458129"/>
    <n v="17798859467181"/>
    <s v="(21) 2038-4382"/>
    <s v="(22) 98157-2161"/>
    <s v="Sainte"/>
    <s v="Atendido"/>
    <s v="Fora de Area / Cx de Mensagens"/>
    <m/>
    <s v="Agente"/>
    <n v="16"/>
    <m/>
    <m/>
    <d v="1899-12-30T00:00:45"/>
    <d v="1899-12-30T00:00:31"/>
    <s v=""/>
    <x v="4"/>
  </r>
  <r>
    <d v="2026-05-27T09:46:34"/>
    <s v="3003 - FirjanAtivo"/>
    <s v="6052-Marcia Lima Peixoto"/>
    <m/>
    <m/>
    <n v="2778220316"/>
    <n v="17798859947211"/>
    <s v="(21) 2038-4382"/>
    <s v="(22) 99833-4300"/>
    <s v="Sainte"/>
    <s v="Não Atendeu"/>
    <m/>
    <m/>
    <s v="Agente"/>
    <n v="19"/>
    <m/>
    <m/>
    <d v="1899-12-30T00:00:36"/>
    <s v="---"/>
    <s v=""/>
    <x v="4"/>
  </r>
  <r>
    <d v="2026-05-27T09:47:33"/>
    <s v="3003 - FirjanAtivo"/>
    <s v="6044-Roseli Honorato Dos Santos"/>
    <m/>
    <m/>
    <n v="2712754650"/>
    <n v="17798860037231"/>
    <s v="(21) 2038-4382"/>
    <s v="(11) 93286-8636"/>
    <s v="Sainte"/>
    <s v="Ocupado"/>
    <m/>
    <m/>
    <s v="Cliente"/>
    <n v="19"/>
    <m/>
    <m/>
    <d v="1899-12-30T00:00:01"/>
    <s v="---"/>
    <s v=""/>
    <x v="4"/>
  </r>
  <r>
    <d v="2026-05-27T09:47:48"/>
    <s v="3003 - FirjanAtivo"/>
    <s v="6044-Roseli Honorato Dos Santos"/>
    <m/>
    <m/>
    <n v="2712754715"/>
    <n v="17798860687411"/>
    <s v="(21) 2038-4382"/>
    <s v="(11) 93286-8636"/>
    <s v="Sainte"/>
    <s v="Atendido"/>
    <s v="Fora de Area / Cx de Mensagens"/>
    <m/>
    <s v="Cliente"/>
    <n v="16"/>
    <m/>
    <m/>
    <d v="1899-12-30T00:00:45"/>
    <d v="1899-12-30T00:00:05"/>
    <s v=""/>
    <x v="4"/>
  </r>
  <r>
    <d v="2026-05-27T09:47:55"/>
    <s v="3003 - FirjanAtivo"/>
    <s v="6052-Marcia Lima Peixoto"/>
    <m/>
    <m/>
    <n v="2768132116"/>
    <n v="17798860757431"/>
    <s v="(21) 2038-4382"/>
    <s v="(22) 98824-6019"/>
    <s v="Sainte"/>
    <s v="Não Atendeu"/>
    <m/>
    <m/>
    <s v="Agente"/>
    <n v="19"/>
    <m/>
    <m/>
    <d v="1899-12-30T00:00:10"/>
    <s v="---"/>
    <s v=""/>
    <x v="4"/>
  </r>
  <r>
    <d v="2026-05-27T09:49:05"/>
    <s v="3003 - FirjanAtivo"/>
    <s v="6052-Marcia Lima Peixoto"/>
    <m/>
    <m/>
    <n v="2775013291"/>
    <n v="17798861457731"/>
    <s v="(21) 2038-4382"/>
    <s v="(27) 99512-7119"/>
    <s v="Sainte"/>
    <s v="Atendido"/>
    <s v="Formulário Preenchido"/>
    <m/>
    <s v="Agente"/>
    <n v="16"/>
    <m/>
    <m/>
    <d v="1899-12-30T00:03:03"/>
    <d v="1899-12-30T00:02:55"/>
    <s v=""/>
    <x v="4"/>
  </r>
  <r>
    <d v="2026-05-27T09:49:24"/>
    <s v="3003 - FirjanAtivo"/>
    <s v="6044-Roseli Honorato Dos Santos"/>
    <m/>
    <m/>
    <n v="2768169120"/>
    <n v="17798861647751"/>
    <s v="(21) 2038-4382"/>
    <s v="(24) 98828-2932"/>
    <s v="Sainte"/>
    <s v="Atendido"/>
    <s v="INFORMADO"/>
    <m/>
    <s v="Cliente"/>
    <n v="16"/>
    <m/>
    <m/>
    <d v="1899-12-30T00:01:28"/>
    <d v="1899-12-30T00:01:17"/>
    <s v=""/>
    <x v="4"/>
  </r>
  <r>
    <d v="2026-05-27T09:53:28"/>
    <s v="3003 - FirjanAtivo"/>
    <s v="6044-Roseli Honorato Dos Santos"/>
    <m/>
    <m/>
    <n v="2779448039"/>
    <n v="17798864088161"/>
    <s v="(21) 2038-4382"/>
    <s v="(24) 99956-1607"/>
    <s v="Sainte"/>
    <s v="Atendido"/>
    <s v="Fora de Area / Cx de Mensagens"/>
    <m/>
    <s v="Agente"/>
    <n v="16"/>
    <m/>
    <m/>
    <d v="1899-12-30T00:01:28"/>
    <d v="1899-12-30T00:01:04"/>
    <s v=""/>
    <x v="4"/>
  </r>
  <r>
    <d v="2026-05-27T09:55:53"/>
    <s v="3003 - FirjanAtivo"/>
    <s v="6044-Roseli Honorato Dos Santos"/>
    <m/>
    <m/>
    <n v="2752021683"/>
    <n v="17798865538311"/>
    <s v="(21) 2038-4382"/>
    <s v="(21) 97213-5109"/>
    <s v="Sainte"/>
    <s v="Atendido"/>
    <s v="Enviar E-mail"/>
    <m/>
    <s v="Cliente"/>
    <n v="16"/>
    <m/>
    <m/>
    <d v="1899-12-30T00:03:23"/>
    <d v="1899-12-30T00:03:19"/>
    <n v="1"/>
    <x v="4"/>
  </r>
  <r>
    <d v="2026-05-27T09:58:10"/>
    <s v="3003 - FirjanAtivo"/>
    <s v="6052-Marcia Lima Peixoto"/>
    <m/>
    <m/>
    <n v="2779128845"/>
    <n v="17798866908431"/>
    <s v="(21) 2038-4382"/>
    <s v="(22) 99924-2133"/>
    <s v="Sainte"/>
    <s v="Atendido"/>
    <s v="Formulário Preenchido"/>
    <m/>
    <s v="Cliente"/>
    <n v="16"/>
    <m/>
    <m/>
    <d v="1899-12-30T00:03:44"/>
    <d v="1899-12-30T00:03:30"/>
    <s v=""/>
    <x v="4"/>
  </r>
  <r>
    <d v="2026-05-27T10:06:00"/>
    <s v="3003 - FirjanAtivo"/>
    <s v="6044-Roseli Honorato Dos Santos"/>
    <m/>
    <m/>
    <n v="2771970087"/>
    <n v="17798871608611"/>
    <s v="(21) 2038-4382"/>
    <s v="(22) 99208-2905"/>
    <s v="Sainte"/>
    <s v="Atendido"/>
    <s v="Fora de Area / Cx de Mensagens"/>
    <m/>
    <s v="Cliente"/>
    <n v="16"/>
    <m/>
    <m/>
    <d v="1899-12-30T00:00:11"/>
    <d v="1899-12-30T00:00:03"/>
    <s v=""/>
    <x v="4"/>
  </r>
  <r>
    <d v="2026-05-27T10:10:58"/>
    <s v="3003 - FirjanAtivo"/>
    <s v="6044-Roseli Honorato Dos Santos"/>
    <m/>
    <m/>
    <n v="2779664577"/>
    <n v="17798874589011"/>
    <s v="(21) 2038-4382"/>
    <s v="(22) 99977-7097"/>
    <s v="Sainte"/>
    <s v="Atendido"/>
    <s v="INFORMADO"/>
    <m/>
    <s v="Cliente"/>
    <n v="16"/>
    <m/>
    <m/>
    <d v="1899-12-30T00:03:21"/>
    <d v="1899-12-30T00:03:06"/>
    <s v=""/>
    <x v="4"/>
  </r>
  <r>
    <d v="2026-05-27T10:11:46"/>
    <s v="3003 - FirjanAtivo"/>
    <s v="6052-Marcia Lima Peixoto"/>
    <m/>
    <m/>
    <n v="2779437483"/>
    <n v="17798875069071"/>
    <s v="(21) 2038-4382"/>
    <s v="(21) 99954-9956"/>
    <s v="Sainte"/>
    <s v="Atendido"/>
    <s v="Tel Não Atende / Ocupado"/>
    <m/>
    <s v="Agente"/>
    <n v="16"/>
    <m/>
    <m/>
    <d v="1899-12-30T00:00:35"/>
    <d v="1899-12-30T00:00:02"/>
    <s v=""/>
    <x v="4"/>
  </r>
  <r>
    <d v="2026-05-27T10:16:11"/>
    <s v="3003 - FirjanAtivo"/>
    <s v="6052-Marcia Lima Peixoto"/>
    <m/>
    <m/>
    <n v="2772766243"/>
    <n v="17798877719381"/>
    <s v="(21) 2038-4382"/>
    <s v="(22) 99287-8450"/>
    <s v="Sainte"/>
    <s v="Atendido"/>
    <s v="INFORMADO"/>
    <m/>
    <s v="Cliente"/>
    <n v="16"/>
    <m/>
    <m/>
    <d v="1899-12-30T00:04:20"/>
    <d v="1899-12-30T00:04:10"/>
    <s v=""/>
    <x v="4"/>
  </r>
  <r>
    <d v="2026-05-27T10:18:29"/>
    <s v="3003 - FirjanAtivo"/>
    <s v="6044-Roseli Honorato Dos Santos"/>
    <m/>
    <m/>
    <n v="2778982791"/>
    <n v="17798879099681"/>
    <s v="(21) 2038-4382"/>
    <s v="(22) 99909-4860"/>
    <s v="Sainte"/>
    <s v="Atendido"/>
    <s v="Fora de Area / Cx de Mensagens"/>
    <m/>
    <s v="Cliente"/>
    <n v="16"/>
    <m/>
    <m/>
    <d v="1899-12-30T00:00:57"/>
    <d v="1899-12-30T00:00:20"/>
    <s v=""/>
    <x v="4"/>
  </r>
  <r>
    <d v="2026-05-27T10:20:46"/>
    <s v="3003 - FirjanAtivo"/>
    <s v="6044-Roseli Honorato Dos Santos"/>
    <m/>
    <m/>
    <n v="2779306063"/>
    <n v="17798880469941"/>
    <s v="(21) 2038-4382"/>
    <s v="(22) 99941-7995"/>
    <s v="Sainte"/>
    <s v="Atendido"/>
    <s v="Fora de Area / Cx de Mensagens"/>
    <m/>
    <s v="Cliente"/>
    <n v="16"/>
    <m/>
    <m/>
    <d v="1899-12-30T00:00:49"/>
    <d v="1899-12-30T00:00:12"/>
    <s v=""/>
    <x v="4"/>
  </r>
  <r>
    <d v="2026-05-27T10:22:27"/>
    <s v="3003 - FirjanAtivo"/>
    <s v="6044-Roseli Honorato Dos Santos"/>
    <m/>
    <m/>
    <n v="2778345912"/>
    <n v="177988814710011"/>
    <s v="(21) 2038-4382"/>
    <s v="(22) 99845-7743"/>
    <s v="Sainte"/>
    <s v="Atendido"/>
    <s v="INFORMADO"/>
    <m/>
    <s v="Agente"/>
    <n v="16"/>
    <m/>
    <m/>
    <d v="1899-12-30T00:03:16"/>
    <d v="1899-12-30T00:03:04"/>
    <s v=""/>
    <x v="4"/>
  </r>
  <r>
    <d v="2026-05-27T10:27:59"/>
    <s v="3003 - FirjanAtivo"/>
    <s v="6044-Roseli Honorato Dos Santos"/>
    <m/>
    <m/>
    <n v="2778245736"/>
    <n v="177988847910551"/>
    <s v="(21) 2038-4382"/>
    <s v="(24) 99835-7233"/>
    <s v="Sainte"/>
    <s v="Atendido"/>
    <s v="Fora de Area / Cx de Mensagens"/>
    <m/>
    <s v="Cliente"/>
    <n v="16"/>
    <m/>
    <m/>
    <d v="1899-12-30T00:00:17"/>
    <d v="1899-12-30T00:00:05"/>
    <s v=""/>
    <x v="4"/>
  </r>
  <r>
    <d v="2026-05-27T10:29:12"/>
    <s v="3003 - FirjanAtivo"/>
    <s v="6044-Roseli Honorato Dos Santos"/>
    <m/>
    <m/>
    <n v="2761709370"/>
    <n v="177988855210681"/>
    <s v="(21) 2038-4382"/>
    <s v="(24) 98182-0794"/>
    <s v="Sainte"/>
    <s v="Atendido"/>
    <s v="Fora de Area / Cx de Mensagens"/>
    <m/>
    <s v="Agente"/>
    <n v="16"/>
    <m/>
    <m/>
    <d v="1899-12-30T00:01:09"/>
    <d v="1899-12-30T00:00:52"/>
    <s v=""/>
    <x v="4"/>
  </r>
  <r>
    <d v="2026-05-27T10:30:48"/>
    <s v="3003 - FirjanAtivo"/>
    <s v="6044-Roseli Honorato Dos Santos"/>
    <m/>
    <m/>
    <n v="2772321443"/>
    <n v="177988864810971"/>
    <s v="(21) 2038-4382"/>
    <s v="(21) 99243-2774"/>
    <s v="Sainte"/>
    <s v="Atendido"/>
    <s v="INFORMADO"/>
    <m/>
    <s v="Cliente"/>
    <n v="16"/>
    <m/>
    <m/>
    <d v="1899-12-30T00:03:56"/>
    <d v="1899-12-30T00:03:47"/>
    <s v=""/>
    <x v="4"/>
  </r>
  <r>
    <d v="2026-05-27T10:44:14"/>
    <s v="3003 - FirjanAtivo"/>
    <s v="6044-Roseli Honorato Dos Santos"/>
    <m/>
    <m/>
    <n v="2768100651"/>
    <n v="177988945412091"/>
    <s v="(21) 2038-4382"/>
    <s v="(24) 98821-1173"/>
    <s v="Sainte"/>
    <s v="Atendido"/>
    <s v="INFORMADO"/>
    <m/>
    <s v="Agente"/>
    <n v="16"/>
    <m/>
    <m/>
    <d v="1899-12-30T00:02:30"/>
    <d v="1899-12-30T00:02:24"/>
    <s v=""/>
    <x v="4"/>
  </r>
  <r>
    <d v="2026-05-27T10:48:15"/>
    <s v="3003 - FirjanAtivo"/>
    <s v="6052-Marcia Lima Peixoto"/>
    <m/>
    <m/>
    <n v="2761322711"/>
    <n v="177988964412521"/>
    <s v="(21) 2038-4382"/>
    <s v="(24) 98143-3043"/>
    <s v="Sainte"/>
    <s v="Ocupado"/>
    <m/>
    <m/>
    <s v="Cliente"/>
    <n v="19"/>
    <m/>
    <m/>
    <d v="1899-12-30T00:00:01"/>
    <s v="---"/>
    <s v=""/>
    <x v="4"/>
  </r>
  <r>
    <d v="2026-05-27T10:53:53"/>
    <s v="3003 - FirjanAtivo"/>
    <s v="6052-Marcia Lima Peixoto"/>
    <m/>
    <m/>
    <n v="1806495806"/>
    <n v="177988998813321"/>
    <s v="(21) 2038-4382"/>
    <s v="(21) 2660-5797"/>
    <s v="Sainte"/>
    <s v="Ocupado"/>
    <m/>
    <m/>
    <s v="Cliente"/>
    <n v="19"/>
    <m/>
    <m/>
    <d v="1899-12-30T00:00:01"/>
    <s v="---"/>
    <s v=""/>
    <x v="4"/>
  </r>
  <r>
    <d v="2026-05-27T10:55:14"/>
    <s v="3003 - FirjanAtivo"/>
    <s v="6052-Marcia Lima Peixoto"/>
    <m/>
    <m/>
    <n v="2778193022"/>
    <n v="177989011413831"/>
    <s v="(21) 2038-4382"/>
    <s v="(22) 99830-2885"/>
    <s v="Sainte"/>
    <s v="Atendido"/>
    <s v="Tel Não Atende / Ocupado"/>
    <m/>
    <s v="Agente"/>
    <n v="16"/>
    <m/>
    <m/>
    <d v="1899-12-30T00:04:31"/>
    <d v="1899-12-30T00:04:19"/>
    <s v=""/>
    <x v="4"/>
  </r>
  <r>
    <d v="2026-05-27T11:00:41"/>
    <s v="3003 - FirjanAtivo"/>
    <s v="6044-Roseli Honorato Dos Santos"/>
    <m/>
    <m/>
    <n v="2761761075"/>
    <n v="177989043314771"/>
    <s v="(21) 2038-4382"/>
    <s v="(21) 98187-0621"/>
    <s v="Sainte"/>
    <s v="Ocupado"/>
    <m/>
    <m/>
    <s v="Cliente"/>
    <n v="21"/>
    <m/>
    <m/>
    <d v="1899-12-30T00:00:01"/>
    <s v="---"/>
    <s v=""/>
    <x v="4"/>
  </r>
  <r>
    <d v="2026-05-27T11:02:27"/>
    <s v="3003 - FirjanAtivo"/>
    <s v="6052-Marcia Lima Peixoto"/>
    <m/>
    <m/>
    <n v="2771320576"/>
    <n v="177989054714851"/>
    <s v="(21) 2038-4382"/>
    <s v="(21) 99143-0008"/>
    <s v="Sainte"/>
    <s v="Não Atendeu"/>
    <m/>
    <m/>
    <s v="Agente"/>
    <n v="19"/>
    <m/>
    <m/>
    <d v="1899-12-30T00:00:07"/>
    <s v="---"/>
    <s v=""/>
    <x v="4"/>
  </r>
  <r>
    <d v="2026-05-27T11:03:27"/>
    <s v="3003 - FirjanAtivo"/>
    <s v="6052-Marcia Lima Peixoto"/>
    <m/>
    <m/>
    <n v="2778619911"/>
    <n v="177989060714881"/>
    <s v="(21) 2038-4382"/>
    <s v="(21) 99872-9283"/>
    <s v="Sainte"/>
    <s v="Atendido"/>
    <s v="Ligação Muda"/>
    <m/>
    <s v="Agente"/>
    <n v="16"/>
    <m/>
    <m/>
    <d v="1899-12-30T00:00:42"/>
    <d v="1899-12-30T00:00:29"/>
    <s v=""/>
    <x v="4"/>
  </r>
  <r>
    <d v="2026-05-27T11:04:47"/>
    <s v="3003 - FirjanAtivo"/>
    <s v="6052-Marcia Lima Peixoto"/>
    <m/>
    <m/>
    <n v="2778619991"/>
    <n v="177989068714981"/>
    <s v="(21) 2038-4382"/>
    <s v="(21) 99872-9283"/>
    <s v="Sainte"/>
    <s v="Não Atendeu"/>
    <m/>
    <m/>
    <s v="Agente"/>
    <n v="19"/>
    <m/>
    <m/>
    <d v="1899-12-30T00:00:07"/>
    <s v="---"/>
    <s v=""/>
    <x v="4"/>
  </r>
  <r>
    <d v="2026-05-27T11:05:50"/>
    <s v="3003 - FirjanAtivo"/>
    <s v="6052-Marcia Lima Peixoto"/>
    <m/>
    <m/>
    <n v="2761348659"/>
    <n v="177989075015031"/>
    <s v="(21) 2038-4382"/>
    <s v="(22) 98145-7887"/>
    <s v="Sainte"/>
    <s v="Atendido"/>
    <s v="Fora de Area / Cx de Mensagens"/>
    <m/>
    <s v="Agente"/>
    <n v="16"/>
    <m/>
    <m/>
    <d v="1899-12-30T00:00:33"/>
    <d v="1899-12-30T00:00:21"/>
    <s v=""/>
    <x v="4"/>
  </r>
  <r>
    <d v="2026-05-27T11:06:39"/>
    <s v="3003 - FirjanAtivo"/>
    <s v="6052-Marcia Lima Peixoto"/>
    <m/>
    <m/>
    <n v="2761348708"/>
    <n v="177989079915301"/>
    <s v="(21) 2038-4382"/>
    <s v="(22) 98145-7887"/>
    <s v="Sainte"/>
    <s v="Não Atendeu"/>
    <m/>
    <m/>
    <s v="Agente"/>
    <n v="19"/>
    <m/>
    <m/>
    <d v="1899-12-30T00:00:08"/>
    <s v="---"/>
    <s v=""/>
    <x v="4"/>
  </r>
  <r>
    <d v="2026-05-27T11:07:11"/>
    <s v="3003 - FirjanAtivo"/>
    <s v="6044-Roseli Honorato Dos Santos"/>
    <m/>
    <m/>
    <n v="2761761467"/>
    <n v="177989082515341"/>
    <s v="(21) 2038-4382"/>
    <s v="(21) 98187-0621"/>
    <s v="Sainte"/>
    <s v="Ocupado"/>
    <m/>
    <m/>
    <s v="Cliente"/>
    <n v="21"/>
    <m/>
    <m/>
    <d v="1899-12-30T00:00:01"/>
    <s v="---"/>
    <s v=""/>
    <x v="4"/>
  </r>
  <r>
    <d v="2026-05-27T11:07:57"/>
    <s v="3003 - FirjanAtivo"/>
    <s v="6052-Marcia Lima Peixoto"/>
    <m/>
    <m/>
    <n v="2761761510"/>
    <n v="177989086815491"/>
    <s v="(21) 2038-4382"/>
    <s v="(21) 98187-0621"/>
    <s v="Sainte"/>
    <s v="Ocupado"/>
    <m/>
    <m/>
    <s v="Cliente"/>
    <n v="21"/>
    <m/>
    <m/>
    <d v="1899-12-30T00:00:01"/>
    <s v="---"/>
    <s v=""/>
    <x v="4"/>
  </r>
  <r>
    <d v="2026-05-27T11:08:05"/>
    <s v="3003 - FirjanAtivo"/>
    <s v="6052-Marcia Lima Peixoto"/>
    <m/>
    <m/>
    <n v="2761761527"/>
    <n v="177989088515571"/>
    <s v="(21) 2038-4382"/>
    <s v="(21) 98187-0621"/>
    <s v="Sainte"/>
    <s v="Não Atendeu"/>
    <m/>
    <m/>
    <s v="Agente"/>
    <n v="19"/>
    <m/>
    <m/>
    <d v="1899-12-30T00:00:29"/>
    <s v="---"/>
    <s v=""/>
    <x v="4"/>
  </r>
  <r>
    <d v="2026-05-27T11:09:01"/>
    <s v="3003 - FirjanAtivo"/>
    <s v="6044-Roseli Honorato Dos Santos"/>
    <m/>
    <m/>
    <n v="2761761573"/>
    <n v="177989093115701"/>
    <s v="(21) 2038-4382"/>
    <s v="(21) 98187-0621"/>
    <s v="Sainte"/>
    <s v="Ocupado"/>
    <m/>
    <m/>
    <s v="Cliente"/>
    <n v="21"/>
    <m/>
    <m/>
    <d v="1899-12-30T00:00:01"/>
    <s v="---"/>
    <s v=""/>
    <x v="4"/>
  </r>
  <r>
    <d v="2026-05-27T11:09:26"/>
    <s v="3003 - FirjanAtivo"/>
    <s v="6052-Marcia Lima Peixoto"/>
    <m/>
    <m/>
    <n v="2772003917"/>
    <n v="177989096615741"/>
    <s v="(21) 2038-4382"/>
    <s v="(22) 99211-2929"/>
    <s v="Sainte"/>
    <s v="Atendido"/>
    <s v="Não tem interesse"/>
    <m/>
    <s v="Agente"/>
    <n v="16"/>
    <m/>
    <m/>
    <d v="1899-12-30T00:01:04"/>
    <d v="1899-12-30T00:00:46"/>
    <s v=""/>
    <x v="4"/>
  </r>
  <r>
    <d v="2026-05-27T11:10:01"/>
    <s v="3003 - FirjanAtivo"/>
    <s v="6044-Roseli Honorato Dos Santos"/>
    <m/>
    <m/>
    <n v="2761761637"/>
    <n v="177989099515831"/>
    <s v="(21) 2038-4382"/>
    <s v="(21) 98187-0621"/>
    <s v="Sainte"/>
    <s v="Ocupado"/>
    <m/>
    <m/>
    <s v="Cliente"/>
    <n v="21"/>
    <m/>
    <m/>
    <d v="1899-12-30T00:00:01"/>
    <s v="---"/>
    <s v=""/>
    <x v="4"/>
  </r>
  <r>
    <d v="2026-05-27T14:01:55"/>
    <s v="3003 - FirjanAtivo"/>
    <s v="6044-Roseli Honorato Dos Santos"/>
    <m/>
    <m/>
    <n v="2761256690"/>
    <n v="177990131529651"/>
    <s v="(21) 2038-4382"/>
    <s v="(24) 98135-5351"/>
    <s v="Sainte"/>
    <s v="Não Atendeu"/>
    <m/>
    <m/>
    <s v="Agente"/>
    <n v="19"/>
    <m/>
    <m/>
    <d v="1899-12-30T00:00:31"/>
    <s v="---"/>
    <s v=""/>
    <x v="4"/>
  </r>
  <r>
    <d v="2026-05-27T14:02:56"/>
    <s v="3003 - FirjanAtivo"/>
    <s v="6044-Roseli Honorato Dos Santos"/>
    <m/>
    <m/>
    <n v="2761256739"/>
    <n v="177990136429811"/>
    <s v="(21) 2038-4382"/>
    <s v="(24) 98135-5351"/>
    <s v="Sainte"/>
    <s v="Falhou"/>
    <m/>
    <m/>
    <s v="Cliente"/>
    <n v="34"/>
    <m/>
    <m/>
    <d v="1899-12-30T00:00:01"/>
    <s v="---"/>
    <s v=""/>
    <x v="4"/>
  </r>
  <r>
    <d v="2026-05-27T14:04:25"/>
    <s v="3003 - FirjanAtivo"/>
    <s v="6052-Marcia Lima Peixoto"/>
    <m/>
    <m/>
    <n v="2761500272"/>
    <n v="177990146529991"/>
    <s v="(21) 2038-4382"/>
    <s v="(24) 98159-8783"/>
    <s v="Sainte"/>
    <s v="Atendido"/>
    <s v="Fora de Area / Cx de Mensagens"/>
    <m/>
    <s v="Agente"/>
    <n v="16"/>
    <m/>
    <m/>
    <d v="1899-12-30T00:00:37"/>
    <s v="---"/>
    <s v=""/>
    <x v="4"/>
  </r>
  <r>
    <d v="2026-05-27T14:04:46"/>
    <s v="3003 - FirjanAtivo"/>
    <s v="6044-Roseli Honorato Dos Santos"/>
    <m/>
    <m/>
    <n v="2761256813"/>
    <n v="177990143829971"/>
    <s v="(21) 2038-4382"/>
    <s v="(24) 98135-5351"/>
    <s v="Sainte"/>
    <s v="Ocupado"/>
    <m/>
    <m/>
    <s v="Cliente"/>
    <n v="19"/>
    <m/>
    <m/>
    <d v="1899-12-30T00:00:01"/>
    <s v="---"/>
    <s v=""/>
    <x v="4"/>
  </r>
  <r>
    <d v="2026-05-27T14:05:06"/>
    <s v="3003 - FirjanAtivo"/>
    <s v="6044-Roseli Honorato Dos Santos"/>
    <m/>
    <m/>
    <n v="2761274693"/>
    <n v="177990149730031"/>
    <s v="(21) 2038-4382"/>
    <s v="(22) 98137-3174"/>
    <s v="Sainte"/>
    <s v="Ocupado"/>
    <m/>
    <m/>
    <s v="Cliente"/>
    <n v="17"/>
    <m/>
    <m/>
    <d v="1899-12-30T00:00:01"/>
    <s v="---"/>
    <s v=""/>
    <x v="4"/>
  </r>
  <r>
    <d v="2026-05-27T14:05:53"/>
    <s v="3003 - FirjanAtivo"/>
    <s v="6052-Marcia Lima Peixoto"/>
    <m/>
    <m/>
    <n v="2779061672"/>
    <n v="177990155330201"/>
    <s v="(21) 2038-4382"/>
    <s v="(22) 99916-0097"/>
    <s v="Sainte"/>
    <s v="Não Atendeu"/>
    <m/>
    <m/>
    <s v="Agente"/>
    <n v="19"/>
    <m/>
    <m/>
    <d v="1899-12-30T00:00:36"/>
    <s v="---"/>
    <s v=""/>
    <x v="4"/>
  </r>
  <r>
    <d v="2026-05-27T14:06:58"/>
    <s v="3003 - FirjanAtivo"/>
    <s v="6044-Roseli Honorato Dos Santos"/>
    <m/>
    <m/>
    <n v="2761274805"/>
    <n v="177990160930301"/>
    <s v="(21) 2038-4382"/>
    <s v="(22) 98137-3174"/>
    <s v="Sainte"/>
    <s v="Ocupado"/>
    <m/>
    <m/>
    <s v="Cliente"/>
    <n v="17"/>
    <m/>
    <m/>
    <d v="1899-12-30T00:00:01"/>
    <s v="---"/>
    <s v=""/>
    <x v="4"/>
  </r>
  <r>
    <d v="2026-05-27T14:07:42"/>
    <s v="3003 - FirjanAtivo"/>
    <s v="6044-Roseli Honorato Dos Santos"/>
    <m/>
    <m/>
    <n v="2767294501"/>
    <n v="177990166230481"/>
    <s v="(21) 2038-4382"/>
    <s v="(21) 98739-2818"/>
    <s v="Sainte"/>
    <s v="Atendido"/>
    <s v="Fora de Area / Cx de Mensagens"/>
    <m/>
    <s v="Agente"/>
    <n v="16"/>
    <m/>
    <m/>
    <d v="1899-12-30T00:00:40"/>
    <d v="1899-12-30T00:00:05"/>
    <s v=""/>
    <x v="4"/>
  </r>
  <r>
    <d v="2026-05-27T14:07:53"/>
    <s v="3003 - FirjanAtivo"/>
    <s v="6052-Marcia Lima Peixoto"/>
    <m/>
    <m/>
    <n v="2761356138"/>
    <n v="177990167330501"/>
    <s v="(21) 2038-4382"/>
    <s v="(24) 98145-4441"/>
    <s v="Sainte"/>
    <s v="Não Atendeu"/>
    <m/>
    <m/>
    <s v="Agente"/>
    <n v="19"/>
    <m/>
    <m/>
    <d v="1899-12-30T00:00:10"/>
    <s v="---"/>
    <s v=""/>
    <x v="4"/>
  </r>
  <r>
    <d v="2026-05-27T14:13:01"/>
    <s v="3003 - FirjanAtivo"/>
    <s v="6044-Roseli Honorato Dos Santos"/>
    <m/>
    <m/>
    <n v="2747263115"/>
    <n v="177990198131071"/>
    <s v="(21) 2038-4382"/>
    <s v="(21) 96736-1113"/>
    <s v="Sainte"/>
    <s v="Atendido"/>
    <s v="Fora de Area / Cx de Mensagens"/>
    <m/>
    <s v="Cliente"/>
    <n v="16"/>
    <m/>
    <m/>
    <d v="1899-12-30T00:02:05"/>
    <d v="1899-12-30T00:02:03"/>
    <s v=""/>
    <x v="4"/>
  </r>
  <r>
    <d v="2026-05-27T14:15:55"/>
    <s v="3003 - FirjanAtivo"/>
    <s v="6044-Roseli Honorato Dos Santos"/>
    <m/>
    <m/>
    <n v="2761707052"/>
    <n v="177990215531461"/>
    <s v="(21) 2038-4382"/>
    <s v="(21) 98180-4876"/>
    <s v="Sainte"/>
    <s v="Atendido"/>
    <s v="Fora de Area / Cx de Mensagens"/>
    <m/>
    <s v="Agente"/>
    <n v="16"/>
    <m/>
    <m/>
    <d v="1899-12-30T00:00:36"/>
    <d v="1899-12-30T00:00:19"/>
    <s v=""/>
    <x v="4"/>
  </r>
  <r>
    <d v="2026-05-27T14:19:01"/>
    <s v="3003 - FirjanAtivo"/>
    <s v="6052-Marcia Lima Peixoto"/>
    <m/>
    <m/>
    <n v="2771948162"/>
    <n v="177990234131881"/>
    <s v="(21) 2038-4382"/>
    <s v="(21) 99204-5800"/>
    <s v="Sainte"/>
    <s v="Não Atendeu"/>
    <m/>
    <m/>
    <s v="Agente"/>
    <n v="19"/>
    <m/>
    <m/>
    <d v="1899-12-30T00:00:18"/>
    <s v="---"/>
    <s v=""/>
    <x v="4"/>
  </r>
  <r>
    <d v="2026-05-27T14:20:20"/>
    <s v="3003 - FirjanAtivo"/>
    <s v="6052-Marcia Lima Peixoto"/>
    <m/>
    <m/>
    <n v="2779335262"/>
    <n v="177990242031971"/>
    <s v="(21) 2038-4382"/>
    <s v="(22) 99943-2820"/>
    <s v="Sainte"/>
    <s v="Não Atendeu"/>
    <m/>
    <m/>
    <s v="Agente"/>
    <n v="19"/>
    <m/>
    <m/>
    <d v="1899-12-30T00:00:06"/>
    <s v="---"/>
    <s v=""/>
    <x v="4"/>
  </r>
  <r>
    <d v="2026-05-27T14:22:54"/>
    <s v="3003 - FirjanAtivo"/>
    <s v="6052-Marcia Lima Peixoto"/>
    <m/>
    <m/>
    <n v="2764059441"/>
    <n v="177990257432291"/>
    <s v="(21) 2038-4382"/>
    <s v="(21) 98415-6846"/>
    <s v="Sainte"/>
    <s v="Atendido"/>
    <s v="Enviar E-mail"/>
    <m/>
    <s v="Cliente"/>
    <n v="16"/>
    <m/>
    <m/>
    <d v="1899-12-30T00:03:36"/>
    <d v="1899-12-30T00:03:25"/>
    <n v="1"/>
    <x v="4"/>
  </r>
  <r>
    <d v="2026-05-27T14:24:59"/>
    <s v="3003 - FirjanAtivo"/>
    <s v="6044-Roseli Honorato Dos Santos"/>
    <m/>
    <m/>
    <n v="2779434248"/>
    <n v="177990269932511"/>
    <s v="(21) 2038-4382"/>
    <s v="(21) 99953-1528"/>
    <s v="Sainte"/>
    <s v="Atendido"/>
    <s v="Fora de Area / Cx de Mensagens"/>
    <m/>
    <s v="Cliente"/>
    <n v="16"/>
    <m/>
    <m/>
    <d v="1899-12-30T00:01:01"/>
    <d v="1899-12-30T00:00:19"/>
    <s v=""/>
    <x v="4"/>
  </r>
  <r>
    <d v="2026-05-27T14:26:56"/>
    <s v="3003 - FirjanAtivo"/>
    <s v="6044-Roseli Honorato Dos Santos"/>
    <m/>
    <m/>
    <n v="2744427544"/>
    <n v="177990281632681"/>
    <s v="(21) 2038-4382"/>
    <s v="(21) 96452-4707"/>
    <s v="Sainte"/>
    <s v="Atendido"/>
    <s v="INFORMADO"/>
    <m/>
    <s v="Cliente"/>
    <n v="16"/>
    <m/>
    <m/>
    <d v="1899-12-30T00:03:08"/>
    <d v="1899-12-30T00:03:03"/>
    <s v=""/>
    <x v="4"/>
  </r>
  <r>
    <d v="2026-05-27T14:32:55"/>
    <s v="3003 - FirjanAtivo"/>
    <s v="6052-Marcia Lima Peixoto"/>
    <m/>
    <m/>
    <n v="2753431014"/>
    <n v="177990317533491"/>
    <s v="(21) 2038-4382"/>
    <s v="(21) 97352-7818"/>
    <s v="Sainte"/>
    <s v="Atendido"/>
    <s v="Tel Não Atende / Ocupado"/>
    <m/>
    <s v="Agente"/>
    <n v="16"/>
    <m/>
    <m/>
    <d v="1899-12-30T00:00:30"/>
    <d v="1899-12-30T00:00:04"/>
    <s v=""/>
    <x v="4"/>
  </r>
  <r>
    <d v="2026-05-27T14:34:11"/>
    <s v="3003 - FirjanAtivo"/>
    <s v="6052-Marcia Lima Peixoto"/>
    <m/>
    <m/>
    <n v="2778235095"/>
    <n v="177990325133561"/>
    <s v="(21) 2038-4382"/>
    <s v="(24) 99833-1820"/>
    <s v="Sainte"/>
    <s v="Atendido"/>
    <s v="Fora de Area / Cx de Mensagens"/>
    <m/>
    <s v="Agente"/>
    <n v="16"/>
    <m/>
    <m/>
    <d v="1899-12-30T00:00:46"/>
    <d v="1899-12-30T00:00:06"/>
    <s v=""/>
    <x v="4"/>
  </r>
  <r>
    <d v="2026-05-27T14:36:05"/>
    <s v="3003 - FirjanAtivo"/>
    <s v="6044-Roseli Honorato Dos Santos"/>
    <m/>
    <m/>
    <n v="2761475548"/>
    <n v="177990336533751"/>
    <s v="(21) 2038-4382"/>
    <s v="(22) 98157-2161"/>
    <s v="Sainte"/>
    <s v="Atendido"/>
    <s v="Fora de Area / Cx de Mensagens"/>
    <m/>
    <s v="Cliente"/>
    <n v="16"/>
    <m/>
    <m/>
    <d v="1899-12-30T00:00:55"/>
    <d v="1899-12-30T00:00:32"/>
    <s v=""/>
    <x v="4"/>
  </r>
  <r>
    <d v="2026-05-27T14:36:51"/>
    <s v="3003 - FirjanAtivo"/>
    <s v="6052-Marcia Lima Peixoto"/>
    <m/>
    <m/>
    <n v="2744676229"/>
    <n v="177990341133851"/>
    <s v="(21) 2038-4382"/>
    <s v="(21) 96477-2797"/>
    <s v="Sainte"/>
    <s v="Atendido"/>
    <s v="Fora de Area / Cx de Mensagens"/>
    <m/>
    <s v="Agente"/>
    <n v="16"/>
    <m/>
    <m/>
    <d v="1899-12-30T00:00:27"/>
    <d v="1899-12-30T00:00:01"/>
    <s v=""/>
    <x v="4"/>
  </r>
  <r>
    <d v="2026-05-27T14:41:54"/>
    <s v="3003 - FirjanAtivo"/>
    <s v="6044-Roseli Honorato Dos Santos"/>
    <m/>
    <m/>
    <n v="2712772361"/>
    <n v="177990371434351"/>
    <s v="(21) 2038-4382"/>
    <s v="(11) 93286-8636"/>
    <s v="Sainte"/>
    <s v="Atendido"/>
    <s v="Cliente Desligou"/>
    <m/>
    <s v="Cliente"/>
    <n v="16"/>
    <m/>
    <m/>
    <d v="1899-12-30T00:00:33"/>
    <d v="1899-12-30T00:00:19"/>
    <s v=""/>
    <x v="4"/>
  </r>
  <r>
    <d v="2026-05-27T14:42:16"/>
    <s v="3003 - FirjanAtivo"/>
    <s v="6052-Marcia Lima Peixoto"/>
    <m/>
    <m/>
    <n v="2778493838"/>
    <n v="177990373634381"/>
    <s v="(21) 2038-4382"/>
    <s v="(21) 99859-0081"/>
    <s v="Sainte"/>
    <s v="Não Atendeu"/>
    <m/>
    <m/>
    <s v="Agente"/>
    <n v="19"/>
    <m/>
    <m/>
    <d v="1899-12-30T00:00:06"/>
    <s v="---"/>
    <s v=""/>
    <x v="4"/>
  </r>
  <r>
    <d v="2026-05-27T14:44:18"/>
    <s v="3003 - FirjanAtivo"/>
    <s v="6052-Marcia Lima Peixoto"/>
    <m/>
    <m/>
    <n v="2779888854"/>
    <n v="177990385834571"/>
    <s v="(21) 2038-4382"/>
    <s v="(24) 99998-4972"/>
    <s v="Sainte"/>
    <s v="Não Atendeu"/>
    <m/>
    <m/>
    <s v="Agente"/>
    <n v="19"/>
    <m/>
    <m/>
    <d v="1899-12-30T00:00:05"/>
    <s v="---"/>
    <s v=""/>
    <x v="4"/>
  </r>
  <r>
    <d v="2026-05-27T14:44:32"/>
    <s v="3003 - FirjanAtivo"/>
    <s v="6052-Marcia Lima Peixoto"/>
    <m/>
    <m/>
    <n v="2779888868"/>
    <n v="177990387234601"/>
    <s v="(21) 2038-4382"/>
    <s v="(24) 99998-4972"/>
    <s v="Sainte"/>
    <s v="Atendido"/>
    <s v="Fora de Area / Cx de Mensagens"/>
    <m/>
    <s v="Cliente"/>
    <n v="16"/>
    <m/>
    <m/>
    <d v="1899-12-30T00:00:16"/>
    <d v="1899-12-30T00:00:10"/>
    <s v=""/>
    <x v="4"/>
  </r>
  <r>
    <d v="2026-05-27T14:46:24"/>
    <s v="3003 - FirjanAtivo"/>
    <s v="6044-Roseli Honorato Dos Santos"/>
    <m/>
    <m/>
    <n v="2779465615"/>
    <n v="177990398434701"/>
    <s v="(21) 2038-4382"/>
    <s v="(24) 99956-1607"/>
    <s v="Sainte"/>
    <s v="Atendido"/>
    <s v="Fora de Area / Cx de Mensagens"/>
    <m/>
    <s v="Agente"/>
    <n v="16"/>
    <m/>
    <m/>
    <d v="1899-12-30T00:00:58"/>
    <d v="1899-12-30T00:00:39"/>
    <s v=""/>
    <x v="4"/>
  </r>
  <r>
    <d v="2026-05-27T14:47:58"/>
    <s v="3003 - FirjanAtivo"/>
    <s v="6052-Marcia Lima Peixoto"/>
    <m/>
    <m/>
    <n v="2778238400"/>
    <n v="177990407834951"/>
    <s v="(21) 2038-4382"/>
    <s v="(22) 99833-4300"/>
    <s v="Sainte"/>
    <s v="Não Atendeu"/>
    <m/>
    <m/>
    <s v="Agente"/>
    <n v="19"/>
    <m/>
    <m/>
    <d v="1899-12-30T00:00:37"/>
    <s v="---"/>
    <s v=""/>
    <x v="4"/>
  </r>
  <r>
    <d v="2026-05-27T14:49:51"/>
    <s v="3003 - FirjanAtivo"/>
    <s v="6052-Marcia Lima Peixoto"/>
    <m/>
    <m/>
    <n v="2768150232"/>
    <n v="177990419135121"/>
    <s v="(21) 2038-4382"/>
    <s v="(22) 98824-6019"/>
    <s v="Sainte"/>
    <s v="Não Atendeu"/>
    <m/>
    <m/>
    <s v="Agente"/>
    <n v="19"/>
    <m/>
    <m/>
    <d v="1899-12-30T00:00:17"/>
    <s v="---"/>
    <s v=""/>
    <x v="4"/>
  </r>
  <r>
    <d v="2026-05-27T14:52:07"/>
    <s v="3003 - FirjanAtivo"/>
    <s v="6052-Marcia Lima Peixoto"/>
    <m/>
    <m/>
    <n v="2779454304"/>
    <n v="177990432735491"/>
    <s v="(21) 2038-4382"/>
    <s v="(21) 99954-9956"/>
    <s v="Sainte"/>
    <s v="Não Atendeu"/>
    <m/>
    <m/>
    <s v="Agente"/>
    <n v="19"/>
    <m/>
    <m/>
    <d v="1899-12-30T00:00:38"/>
    <s v="---"/>
    <s v=""/>
    <x v="4"/>
  </r>
  <r>
    <d v="2026-05-27T14:53:50"/>
    <s v="3003 - FirjanAtivo"/>
    <s v="6052-Marcia Lima Peixoto"/>
    <m/>
    <m/>
    <n v="2761337497"/>
    <n v="177990443035731"/>
    <s v="(21) 2038-4382"/>
    <s v="(24) 98143-3043"/>
    <s v="Sainte"/>
    <s v="Atendido"/>
    <s v="Enviar E-mail"/>
    <m/>
    <s v="Cliente"/>
    <n v="16"/>
    <m/>
    <m/>
    <d v="1899-12-30T00:02:16"/>
    <d v="1899-12-30T00:02:02"/>
    <n v="1"/>
    <x v="4"/>
  </r>
  <r>
    <d v="2026-05-27T14:58:37"/>
    <s v="3003 - FirjanAtivo"/>
    <s v="6044-Roseli Honorato Dos Santos"/>
    <m/>
    <m/>
    <n v="2771987644"/>
    <n v="177990471736121"/>
    <s v="(21) 2038-4382"/>
    <s v="(22) 99208-2905"/>
    <s v="Sainte"/>
    <s v="Atendido"/>
    <s v="Retornar"/>
    <m/>
    <s v="Cliente"/>
    <n v="16"/>
    <m/>
    <m/>
    <d v="1899-12-30T00:00:50"/>
    <d v="1899-12-30T00:00:32"/>
    <s v=""/>
    <x v="4"/>
  </r>
  <r>
    <d v="2026-05-27T15:06:55"/>
    <s v="3003 - FirjanAtivo"/>
    <s v="6044-Roseli Honorato Dos Santos"/>
    <m/>
    <m/>
    <n v="2779000098"/>
    <n v="177990521537501"/>
    <s v="(21) 2038-4382"/>
    <s v="(22) 99909-4860"/>
    <s v="Sainte"/>
    <s v="Atendido"/>
    <s v="Fora de Area / Cx de Mensagens"/>
    <m/>
    <s v="Agente"/>
    <n v="16"/>
    <m/>
    <m/>
    <d v="1899-12-30T00:00:27"/>
    <d v="1899-12-30T00:00:13"/>
    <s v=""/>
    <x v="4"/>
  </r>
  <r>
    <d v="2026-05-27T15:15:52"/>
    <s v="3003 - FirjanAtivo"/>
    <s v="6044-Roseli Honorato Dos Santos"/>
    <m/>
    <m/>
    <n v="2779323769"/>
    <n v="177990575238501"/>
    <s v="(21) 2038-4382"/>
    <s v="(22) 99941-7995"/>
    <s v="Sainte"/>
    <s v="Atendido"/>
    <m/>
    <m/>
    <s v="Cliente"/>
    <n v="16"/>
    <m/>
    <m/>
    <d v="1899-12-30T00:00:47"/>
    <d v="1899-12-30T00:00:07"/>
    <s v=""/>
    <x v="4"/>
  </r>
  <r>
    <d v="2026-05-27T15:18:01"/>
    <s v="3003 - FirjanAtivo"/>
    <s v="6044-Roseli Honorato Dos Santos"/>
    <m/>
    <m/>
    <n v="2779323898"/>
    <n v="177990588139131"/>
    <s v="(21) 2038-4382"/>
    <s v="(22) 99941-7995"/>
    <s v="Sainte"/>
    <s v="Atendido"/>
    <s v="Tel Não Atende / Ocupado"/>
    <m/>
    <s v="Agente"/>
    <n v="16"/>
    <m/>
    <m/>
    <d v="1899-12-30T00:01:03"/>
    <d v="1899-12-30T00:00:40"/>
    <s v=""/>
    <x v="4"/>
  </r>
  <r>
    <d v="2026-05-27T15:22:08"/>
    <s v="3003 - FirjanAtivo"/>
    <s v="6052-Marcia Lima Peixoto"/>
    <m/>
    <m/>
    <n v="1806511946"/>
    <n v="177990612839901"/>
    <s v="(21) 2038-4382"/>
    <s v="(21) 2660-5797"/>
    <s v="Sainte"/>
    <s v="Atendido"/>
    <s v="Enviar E-mail"/>
    <m/>
    <s v="Cliente"/>
    <n v="16"/>
    <m/>
    <m/>
    <d v="1899-12-30T00:07:02"/>
    <d v="1899-12-30T00:06:24"/>
    <n v="1"/>
    <x v="4"/>
  </r>
  <r>
    <d v="2026-05-27T15:26:35"/>
    <s v="3003 - FirjanAtivo"/>
    <s v="6044-Roseli Honorato Dos Santos"/>
    <m/>
    <m/>
    <n v="2778263652"/>
    <n v="177990639540351"/>
    <s v="(21) 2038-4382"/>
    <s v="(24) 99835-7233"/>
    <s v="Sainte"/>
    <s v="Atendido"/>
    <s v="Fora de Area / Cx de Mensagens"/>
    <m/>
    <s v="Agente"/>
    <n v="16"/>
    <m/>
    <m/>
    <d v="1899-12-30T00:00:30"/>
    <d v="1899-12-30T00:00:22"/>
    <s v=""/>
    <x v="4"/>
  </r>
  <r>
    <d v="2026-05-27T15:52:10"/>
    <s v="3003 - FirjanAtivo"/>
    <s v="6052-Marcia Lima Peixoto"/>
    <m/>
    <m/>
    <n v="2771337959"/>
    <n v="177990793042461"/>
    <s v="(21) 2038-4382"/>
    <s v="(21) 99143-0008"/>
    <s v="Sainte"/>
    <s v="Atendido"/>
    <s v="Fora de Area / Cx de Mensagens"/>
    <m/>
    <s v="Agente"/>
    <n v="16"/>
    <m/>
    <m/>
    <d v="1899-12-30T00:00:08"/>
    <s v="---"/>
    <s v=""/>
    <x v="4"/>
  </r>
  <r>
    <d v="2026-05-27T15:54:11"/>
    <s v="3003 - FirjanAtivo"/>
    <s v="6052-Marcia Lima Peixoto"/>
    <m/>
    <m/>
    <n v="2778637355"/>
    <n v="177990805142621"/>
    <s v="(21) 2038-4382"/>
    <s v="(21) 99872-9283"/>
    <s v="Sainte"/>
    <s v="Atendido"/>
    <s v="Ligação Muda"/>
    <m/>
    <s v="Agente"/>
    <n v="16"/>
    <m/>
    <m/>
    <d v="1899-12-30T00:00:21"/>
    <d v="1899-12-30T00:00:14"/>
    <s v=""/>
    <x v="4"/>
  </r>
  <r>
    <d v="2026-05-27T16:02:38"/>
    <s v="3003 - FirjanAtivo"/>
    <s v="6052-Marcia Lima Peixoto"/>
    <m/>
    <m/>
    <n v="2761366467"/>
    <n v="177990855843221"/>
    <s v="(21) 2038-4382"/>
    <s v="(22) 98145-7887"/>
    <s v="Sainte"/>
    <s v="Não Atendeu"/>
    <m/>
    <m/>
    <s v="Agente"/>
    <n v="19"/>
    <m/>
    <m/>
    <d v="1899-12-30T00:00:10"/>
    <s v="---"/>
    <s v=""/>
    <x v="4"/>
  </r>
  <r>
    <d v="2026-05-27T16:03:30"/>
    <s v="3003 - FirjanAtivo"/>
    <s v="6044-Roseli Honorato Dos Santos"/>
    <m/>
    <m/>
    <n v="2761729428"/>
    <n v="177990861043441"/>
    <s v="(21) 2038-4382"/>
    <s v="(24) 98182-0794"/>
    <s v="Sainte"/>
    <s v="Atendido"/>
    <s v="Tel Não Atende / Ocupado"/>
    <m/>
    <s v="Cliente"/>
    <n v="16"/>
    <m/>
    <m/>
    <d v="1899-12-30T00:00:11"/>
    <d v="1899-12-30T00:00:04"/>
    <s v=""/>
    <x v="4"/>
  </r>
  <r>
    <d v="2026-05-27T16:04:09"/>
    <s v="3003 - FirjanAtivo"/>
    <s v="6052-Marcia Lima Peixoto"/>
    <m/>
    <m/>
    <n v="2761779285"/>
    <n v="177990864343471"/>
    <s v="(21) 2038-4382"/>
    <s v="(21) 98187-0621"/>
    <s v="Sainte"/>
    <s v="Ocupado"/>
    <m/>
    <m/>
    <s v="Cliente"/>
    <n v="21"/>
    <m/>
    <m/>
    <d v="1899-12-30T00:00:01"/>
    <s v="---"/>
    <s v=""/>
    <x v="4"/>
  </r>
  <r>
    <d v="2026-05-27T16:04:49"/>
    <s v="3003 - FirjanAtivo"/>
    <s v="6044-Roseli Honorato Dos Santos"/>
    <m/>
    <m/>
    <n v="2761779326"/>
    <n v="177990868443571"/>
    <s v="(21) 2038-4382"/>
    <s v="(21) 98187-0621"/>
    <s v="Sainte"/>
    <s v="Ocupado"/>
    <m/>
    <m/>
    <s v="Cliente"/>
    <n v="21"/>
    <m/>
    <m/>
    <d v="1899-12-30T00:00:01"/>
    <s v="---"/>
    <s v=""/>
    <x v="4"/>
  </r>
  <r>
    <d v="2026-05-27T16:05:29"/>
    <s v="3003 - FirjanAtivo"/>
    <s v="6044-Roseli Honorato Dos Santos"/>
    <m/>
    <m/>
    <n v="2761779365"/>
    <n v="177990872343771"/>
    <s v="(21) 2038-4382"/>
    <s v="(21) 98187-0621"/>
    <s v="Sainte"/>
    <s v="Ocupado"/>
    <m/>
    <m/>
    <s v="Cliente"/>
    <n v="21"/>
    <m/>
    <m/>
    <d v="1899-12-30T00:00:01"/>
    <s v="---"/>
    <s v=""/>
    <x v="4"/>
  </r>
  <r>
    <d v="2026-05-28T09:06:02"/>
    <s v="3003 - FirjanAtivo"/>
    <s v="6052-Marcia Lima Peixoto"/>
    <m/>
    <m/>
    <n v="2761568769"/>
    <n v="17799699623351"/>
    <s v="(21) 2038-4382"/>
    <s v="(24) 98159-8783"/>
    <s v="Sainte"/>
    <s v="Não Atendeu"/>
    <m/>
    <m/>
    <s v="Agente"/>
    <n v="19"/>
    <m/>
    <m/>
    <d v="1899-12-30T00:00:06"/>
    <s v="---"/>
    <s v=""/>
    <x v="5"/>
  </r>
  <r>
    <d v="2026-05-28T09:06:15"/>
    <s v="3003 - FirjanAtivo"/>
    <s v="6052-Marcia Lima Peixoto"/>
    <m/>
    <m/>
    <n v="2761568782"/>
    <n v="17799699753401"/>
    <s v="(21) 2038-4382"/>
    <s v="(24) 98159-8783"/>
    <s v="Sainte"/>
    <s v="Não Atendeu"/>
    <m/>
    <m/>
    <s v="Agente"/>
    <n v="19"/>
    <m/>
    <m/>
    <d v="1899-12-30T00:00:05"/>
    <s v="---"/>
    <s v=""/>
    <x v="5"/>
  </r>
  <r>
    <d v="2026-05-28T09:12:33"/>
    <s v="3003 - FirjanAtivo"/>
    <s v="6052-Marcia Lima Peixoto"/>
    <m/>
    <m/>
    <n v="2761569160"/>
    <n v="17799703534481"/>
    <s v="(21) 2038-4382"/>
    <s v="(24) 98159-8783"/>
    <s v="Sainte"/>
    <s v="Não Atendeu"/>
    <m/>
    <m/>
    <s v="Agente"/>
    <n v="19"/>
    <m/>
    <m/>
    <d v="1899-12-30T00:00:04"/>
    <s v="---"/>
    <s v=""/>
    <x v="5"/>
  </r>
  <r>
    <d v="2026-05-28T09:13:12"/>
    <s v="3003 - FirjanAtivo"/>
    <s v="6052-Marcia Lima Peixoto"/>
    <m/>
    <m/>
    <n v="2779130511"/>
    <n v="17799703924601"/>
    <s v="(21) 2038-4382"/>
    <s v="(22) 99916-0097"/>
    <s v="Sainte"/>
    <s v="Não Atendeu"/>
    <m/>
    <m/>
    <s v="Agente"/>
    <n v="19"/>
    <m/>
    <m/>
    <d v="1899-12-30T00:00:35"/>
    <s v="---"/>
    <s v=""/>
    <x v="5"/>
  </r>
  <r>
    <d v="2026-05-28T09:15:24"/>
    <s v="3003 - FirjanAtivo"/>
    <s v="6052-Marcia Lima Peixoto"/>
    <m/>
    <m/>
    <n v="2761424989"/>
    <n v="17799705244761"/>
    <s v="(21) 2038-4382"/>
    <s v="(24) 98145-4441"/>
    <s v="Sainte"/>
    <s v="Não Atendeu"/>
    <m/>
    <m/>
    <s v="Agente"/>
    <n v="19"/>
    <m/>
    <m/>
    <d v="1899-12-30T00:00:08"/>
    <s v="---"/>
    <s v=""/>
    <x v="5"/>
  </r>
  <r>
    <d v="2026-05-28T09:15:39"/>
    <s v="3003 - FirjanAtivo"/>
    <s v="6052-Marcia Lima Peixoto"/>
    <m/>
    <m/>
    <n v="2761425004"/>
    <n v="17799705394791"/>
    <s v="(21) 2038-4382"/>
    <s v="(24) 98145-4441"/>
    <s v="Sainte"/>
    <s v="Não Atendeu"/>
    <m/>
    <m/>
    <s v="Agente"/>
    <n v="19"/>
    <m/>
    <m/>
    <d v="1899-12-30T00:00:18"/>
    <s v="---"/>
    <s v=""/>
    <x v="5"/>
  </r>
  <r>
    <d v="2026-05-28T09:16:32"/>
    <s v="3003 - FirjanAtivo"/>
    <s v="6052-Marcia Lima Peixoto"/>
    <m/>
    <m/>
    <n v="2772016413"/>
    <n v="17799705924921"/>
    <s v="(21) 2038-4382"/>
    <s v="(21) 99204-5800"/>
    <s v="Sainte"/>
    <s v="Atendido"/>
    <s v="Retornar"/>
    <m/>
    <s v="Cliente"/>
    <n v="16"/>
    <m/>
    <m/>
    <d v="1899-12-30T00:01:39"/>
    <d v="1899-12-30T00:01:12"/>
    <s v=""/>
    <x v="5"/>
  </r>
  <r>
    <d v="2026-05-28T09:19:21"/>
    <s v="3003 - FirjanAtivo"/>
    <s v="6052-Marcia Lima Peixoto"/>
    <m/>
    <m/>
    <n v="2779403603"/>
    <n v="17799707615291"/>
    <s v="(21) 2038-4382"/>
    <s v="(22) 99943-2820"/>
    <s v="Sainte"/>
    <s v="Atendido"/>
    <s v="Tel Não Atende / Ocupado"/>
    <m/>
    <s v="Agente"/>
    <n v="16"/>
    <m/>
    <m/>
    <d v="1899-12-30T00:00:21"/>
    <s v="---"/>
    <s v=""/>
    <x v="5"/>
  </r>
  <r>
    <d v="2026-05-28T09:19:25"/>
    <s v="3003 - FirjanAtivo"/>
    <s v="6044-Roseli Honorato Dos Santos"/>
    <m/>
    <m/>
    <n v="2761326118"/>
    <n v="17799707435261"/>
    <s v="(21) 2038-4382"/>
    <s v="(24) 98135-5351"/>
    <s v="Sainte"/>
    <s v="Falhou"/>
    <m/>
    <m/>
    <s v="Cliente"/>
    <n v="34"/>
    <m/>
    <m/>
    <d v="1899-12-30T00:00:01"/>
    <s v="---"/>
    <s v=""/>
    <x v="5"/>
  </r>
  <r>
    <d v="2026-05-28T09:19:51"/>
    <s v="3003 - FirjanAtivo"/>
    <s v="6052-Marcia Lima Peixoto"/>
    <m/>
    <m/>
    <n v="2779403633"/>
    <n v="17799707915401"/>
    <s v="(21) 2038-4382"/>
    <s v="(22) 99943-2820"/>
    <s v="Sainte"/>
    <s v="Não Atendeu"/>
    <m/>
    <m/>
    <s v="Agente"/>
    <n v="19"/>
    <m/>
    <m/>
    <d v="1899-12-30T00:00:06"/>
    <s v="---"/>
    <s v=""/>
    <x v="5"/>
  </r>
  <r>
    <d v="2026-05-28T09:19:58"/>
    <s v="3003 - FirjanAtivo"/>
    <s v="6044-Roseli Honorato Dos Santos"/>
    <m/>
    <m/>
    <n v="2761326150"/>
    <n v="17799707755371"/>
    <s v="(21) 2038-4382"/>
    <s v="(24) 98135-5351"/>
    <s v="Sainte"/>
    <s v="Falhou"/>
    <m/>
    <m/>
    <s v="Cliente"/>
    <n v="34"/>
    <m/>
    <m/>
    <d v="1899-12-30T00:00:01"/>
    <s v="---"/>
    <s v=""/>
    <x v="5"/>
  </r>
  <r>
    <d v="2026-05-28T09:20:32"/>
    <s v="3003 - FirjanAtivo"/>
    <s v="6044-Roseli Honorato Dos Santos"/>
    <m/>
    <m/>
    <n v="2761344019"/>
    <n v="17799708235511"/>
    <s v="(21) 2038-4382"/>
    <s v="(22) 98137-3174"/>
    <s v="Sainte"/>
    <s v="Ocupado"/>
    <m/>
    <m/>
    <s v="Cliente"/>
    <n v="17"/>
    <m/>
    <m/>
    <d v="1899-12-30T00:00:01"/>
    <s v="---"/>
    <s v=""/>
    <x v="5"/>
  </r>
  <r>
    <d v="2026-05-28T09:20:57"/>
    <s v="3003 - FirjanAtivo"/>
    <s v="6044-Roseli Honorato Dos Santos"/>
    <m/>
    <m/>
    <n v="2761344045"/>
    <n v="17799708495561"/>
    <s v="(21) 2038-4382"/>
    <s v="(22) 98137-3174"/>
    <s v="Sainte"/>
    <s v="Ocupado"/>
    <m/>
    <m/>
    <s v="Cliente"/>
    <n v="17"/>
    <m/>
    <m/>
    <d v="1899-12-30T00:00:01"/>
    <s v="---"/>
    <s v=""/>
    <x v="5"/>
  </r>
  <r>
    <d v="2026-05-28T09:21:14"/>
    <s v="3003 - FirjanAtivo"/>
    <s v="6052-Marcia Lima Peixoto"/>
    <m/>
    <m/>
    <n v="2753498713"/>
    <n v="17799708745641"/>
    <s v="(21) 2038-4382"/>
    <s v="(21) 97352-7818"/>
    <s v="Sainte"/>
    <s v="Atendido"/>
    <s v="Fora de Area / Cx de Mensagens"/>
    <m/>
    <s v="Agente"/>
    <n v="16"/>
    <m/>
    <m/>
    <d v="1899-12-30T00:00:27"/>
    <s v="---"/>
    <s v=""/>
    <x v="5"/>
  </r>
  <r>
    <d v="2026-05-28T09:22:26"/>
    <s v="3003 - FirjanAtivo"/>
    <s v="6044-Roseli Honorato Dos Santos"/>
    <m/>
    <m/>
    <n v="2761344133"/>
    <n v="17799709375671"/>
    <s v="(21) 2038-4382"/>
    <s v="(22) 98137-3174"/>
    <s v="Sainte"/>
    <s v="Ocupado"/>
    <m/>
    <m/>
    <s v="Cliente"/>
    <n v="17"/>
    <m/>
    <m/>
    <d v="1899-12-30T00:00:01"/>
    <s v="---"/>
    <s v=""/>
    <x v="5"/>
  </r>
  <r>
    <d v="2026-05-28T09:22:36"/>
    <s v="3003 - FirjanAtivo"/>
    <s v="6052-Marcia Lima Peixoto"/>
    <m/>
    <m/>
    <n v="2778302800"/>
    <n v="17799709565711"/>
    <s v="(21) 2038-4382"/>
    <s v="(24) 99833-1820"/>
    <s v="Sainte"/>
    <s v="Não Atendeu"/>
    <m/>
    <m/>
    <s v="Agente"/>
    <n v="19"/>
    <m/>
    <m/>
    <d v="1899-12-30T00:00:04"/>
    <s v="---"/>
    <s v=""/>
    <x v="5"/>
  </r>
  <r>
    <d v="2026-05-28T09:22:46"/>
    <s v="3003 - FirjanAtivo"/>
    <s v="6052-Marcia Lima Peixoto"/>
    <m/>
    <m/>
    <n v="2778302810"/>
    <n v="17799709665741"/>
    <s v="(21) 2038-4382"/>
    <s v="(24) 99833-1820"/>
    <s v="Sainte"/>
    <s v="Atendido"/>
    <s v="Fora de Area / Cx de Mensagens"/>
    <m/>
    <s v="Agente"/>
    <n v="16"/>
    <m/>
    <m/>
    <d v="1899-12-30T00:00:10"/>
    <d v="1899-12-30T00:00:01"/>
    <s v=""/>
    <x v="5"/>
  </r>
  <r>
    <d v="2026-05-28T09:22:51"/>
    <s v="3003 - FirjanAtivo"/>
    <s v="6044-Roseli Honorato Dos Santos"/>
    <m/>
    <m/>
    <n v="2767363810"/>
    <n v="17799709715761"/>
    <s v="(21) 2038-4382"/>
    <s v="(21) 98739-2818"/>
    <s v="Sainte"/>
    <s v="Atendido"/>
    <s v="INFORMADO"/>
    <m/>
    <s v="Cliente"/>
    <n v="16"/>
    <m/>
    <m/>
    <d v="1899-12-30T00:01:16"/>
    <d v="1899-12-30T00:01:07"/>
    <s v=""/>
    <x v="5"/>
  </r>
  <r>
    <d v="2026-05-28T09:23:42"/>
    <s v="3003 - FirjanAtivo"/>
    <s v="6052-Marcia Lima Peixoto"/>
    <m/>
    <m/>
    <n v="2744743840"/>
    <n v="17799710225851"/>
    <s v="(21) 2038-4382"/>
    <s v="(21) 96477-2797"/>
    <s v="Sainte"/>
    <s v="Não Atendeu"/>
    <m/>
    <m/>
    <s v="Agente"/>
    <n v="19"/>
    <m/>
    <m/>
    <d v="1899-12-30T00:00:26"/>
    <s v="---"/>
    <s v=""/>
    <x v="5"/>
  </r>
  <r>
    <d v="2026-05-28T09:24:13"/>
    <s v="3003 - FirjanAtivo"/>
    <s v="6052-Marcia Lima Peixoto"/>
    <m/>
    <m/>
    <n v="2744743871"/>
    <n v="17799710535891"/>
    <s v="(21) 2038-4382"/>
    <s v="(21) 96477-2797"/>
    <s v="Sainte"/>
    <s v="Não Atendeu"/>
    <m/>
    <m/>
    <s v="Agente"/>
    <n v="19"/>
    <m/>
    <m/>
    <d v="1899-12-30T00:00:25"/>
    <s v="---"/>
    <s v=""/>
    <x v="5"/>
  </r>
  <r>
    <d v="2026-05-28T09:25:10"/>
    <s v="3003 - FirjanAtivo"/>
    <s v="6052-Marcia Lima Peixoto"/>
    <m/>
    <m/>
    <n v="2778561212"/>
    <n v="17799711106041"/>
    <s v="(21) 2038-4382"/>
    <s v="(21) 99859-0081"/>
    <s v="Sainte"/>
    <s v="Atendido"/>
    <s v="Fora de Area / Cx de Mensagens"/>
    <m/>
    <s v="Agente"/>
    <n v="16"/>
    <m/>
    <m/>
    <d v="1899-12-30T00:00:12"/>
    <d v="1899-12-30T00:00:01"/>
    <s v=""/>
    <x v="5"/>
  </r>
  <r>
    <d v="2026-05-28T09:25:33"/>
    <s v="3003 - FirjanAtivo"/>
    <s v="6052-Marcia Lima Peixoto"/>
    <m/>
    <m/>
    <n v="2778561235"/>
    <n v="17799711336081"/>
    <s v="(21) 2038-4382"/>
    <s v="(21) 99859-0081"/>
    <s v="Sainte"/>
    <s v="Atendido"/>
    <s v="Fora de Area / Cx de Mensagens"/>
    <m/>
    <s v="Cliente"/>
    <n v="16"/>
    <m/>
    <m/>
    <d v="1899-12-30T00:00:20"/>
    <d v="1899-12-30T00:00:09"/>
    <s v=""/>
    <x v="5"/>
  </r>
  <r>
    <d v="2026-05-28T09:26:25"/>
    <s v="3003 - FirjanAtivo"/>
    <s v="6044-Roseli Honorato Dos Santos"/>
    <m/>
    <m/>
    <n v="2747332319"/>
    <n v="17799711856171"/>
    <s v="(21) 2038-4382"/>
    <s v="(21) 96736-1113"/>
    <s v="Sainte"/>
    <s v="Atendido"/>
    <s v="Fora de Area / Cx de Mensagens"/>
    <m/>
    <s v="Cliente"/>
    <n v="16"/>
    <m/>
    <m/>
    <d v="1899-12-30T00:02:04"/>
    <d v="1899-12-30T00:02:02"/>
    <s v=""/>
    <x v="5"/>
  </r>
  <r>
    <d v="2026-05-28T09:32:17"/>
    <s v="3003 - FirjanAtivo"/>
    <s v="6052-Marcia Lima Peixoto"/>
    <m/>
    <m/>
    <n v="2779956533"/>
    <n v="17799715377131"/>
    <s v="(21) 2038-4382"/>
    <s v="(24) 99998-4972"/>
    <s v="Sainte"/>
    <s v="Atendido"/>
    <s v="Fora de Area / Cx de Mensagens"/>
    <m/>
    <s v="Agente"/>
    <n v="16"/>
    <m/>
    <m/>
    <d v="1899-12-30T00:00:09"/>
    <d v="1899-12-30T00:00:02"/>
    <s v=""/>
    <x v="5"/>
  </r>
  <r>
    <d v="2026-05-28T09:32:41"/>
    <s v="3003 - FirjanAtivo"/>
    <s v="6052-Marcia Lima Peixoto"/>
    <m/>
    <m/>
    <n v="2779956557"/>
    <n v="17799715617171"/>
    <s v="(21) 2038-4382"/>
    <s v="(24) 99998-4972"/>
    <s v="Sainte"/>
    <s v="Não Atendeu"/>
    <m/>
    <m/>
    <s v="Agente"/>
    <n v="19"/>
    <m/>
    <m/>
    <d v="1899-12-30T00:00:05"/>
    <s v="---"/>
    <s v=""/>
    <x v="5"/>
  </r>
  <r>
    <d v="2026-05-28T09:34:25"/>
    <s v="3003 - FirjanAtivo"/>
    <s v="6044-Roseli Honorato Dos Santos"/>
    <m/>
    <m/>
    <n v="2761776562"/>
    <n v="17799716657351"/>
    <s v="(21) 2038-4382"/>
    <s v="(21) 98180-4876"/>
    <s v="Sainte"/>
    <s v="Atendido"/>
    <s v="Enviar E-mail"/>
    <m/>
    <s v="Cliente"/>
    <n v="16"/>
    <m/>
    <m/>
    <d v="1899-12-30T00:02:15"/>
    <d v="1899-12-30T00:02:04"/>
    <n v="1"/>
    <x v="5"/>
  </r>
  <r>
    <d v="2026-05-28T09:40:52"/>
    <s v="3003 - FirjanAtivo"/>
    <s v="6052-Marcia Lima Peixoto"/>
    <m/>
    <m/>
    <n v="2778306374"/>
    <n v="17799720527921"/>
    <s v="(21) 2038-4382"/>
    <s v="(22) 99833-4300"/>
    <s v="Sainte"/>
    <s v="Não Atendeu"/>
    <m/>
    <m/>
    <s v="Agente"/>
    <n v="19"/>
    <m/>
    <m/>
    <d v="1899-12-30T00:00:36"/>
    <s v="---"/>
    <s v=""/>
    <x v="5"/>
  </r>
  <r>
    <d v="2026-05-28T09:41:36"/>
    <s v="3003 - FirjanAtivo"/>
    <s v="6052-Marcia Lima Peixoto"/>
    <m/>
    <m/>
    <n v="2778306418"/>
    <n v="17799720968051"/>
    <s v="(21) 2038-4382"/>
    <s v="(22) 99833-4300"/>
    <s v="Sainte"/>
    <s v="Atendido"/>
    <s v="Retornar"/>
    <m/>
    <s v="Cliente"/>
    <n v="16"/>
    <m/>
    <m/>
    <d v="1899-12-30T00:00:57"/>
    <d v="1899-12-30T00:00:35"/>
    <s v=""/>
    <x v="5"/>
  </r>
  <r>
    <d v="2026-05-28T09:45:11"/>
    <s v="3003 - FirjanAtivo"/>
    <s v="6044-Roseli Honorato Dos Santos"/>
    <m/>
    <m/>
    <n v="2779503860"/>
    <n v="17799723118461"/>
    <s v="(21) 2038-4382"/>
    <s v="(21) 99953-1528"/>
    <s v="Sainte"/>
    <s v="Atendido"/>
    <s v="Fora de Area / Cx de Mensagens"/>
    <m/>
    <s v="Agente"/>
    <n v="16"/>
    <m/>
    <m/>
    <d v="1899-12-30T00:00:48"/>
    <d v="1899-12-30T00:00:26"/>
    <s v=""/>
    <x v="5"/>
  </r>
  <r>
    <d v="2026-05-28T09:45:34"/>
    <s v="3003 - FirjanAtivo"/>
    <s v="6052-Marcia Lima Peixoto"/>
    <m/>
    <m/>
    <n v="2768218375"/>
    <n v="17799723348481"/>
    <s v="(21) 2038-4382"/>
    <s v="(22) 98824-6019"/>
    <s v="Sainte"/>
    <s v="Não Atendeu"/>
    <m/>
    <m/>
    <s v="Agente"/>
    <n v="19"/>
    <m/>
    <m/>
    <d v="1899-12-30T00:00:10"/>
    <s v="---"/>
    <s v=""/>
    <x v="5"/>
  </r>
  <r>
    <d v="2026-05-28T09:45:51"/>
    <s v="3003 - FirjanAtivo"/>
    <s v="6052-Marcia Lima Peixoto"/>
    <m/>
    <m/>
    <n v="2768218392"/>
    <n v="17799723518511"/>
    <s v="(21) 2038-4382"/>
    <s v="(22) 98824-6019"/>
    <s v="Sainte"/>
    <s v="Não Atendeu"/>
    <m/>
    <m/>
    <s v="Agente"/>
    <n v="19"/>
    <m/>
    <m/>
    <d v="1899-12-30T00:00:34"/>
    <s v="---"/>
    <s v=""/>
    <x v="5"/>
  </r>
  <r>
    <d v="2026-05-28T09:46:45"/>
    <s v="3003 - FirjanAtivo"/>
    <s v="6044-Roseli Honorato Dos Santos"/>
    <m/>
    <m/>
    <n v="2761544588"/>
    <n v="17799724058671"/>
    <s v="(21) 2038-4382"/>
    <s v="(22) 98157-2161"/>
    <s v="Sainte"/>
    <s v="Atendido"/>
    <s v="Enviar E-mail"/>
    <m/>
    <s v="Cliente"/>
    <n v="16"/>
    <m/>
    <m/>
    <d v="1899-12-30T00:03:02"/>
    <d v="1899-12-30T00:02:46"/>
    <n v="1"/>
    <x v="5"/>
  </r>
  <r>
    <d v="2026-05-28T09:50:24"/>
    <s v="3003 - FirjanAtivo"/>
    <s v="6052-Marcia Lima Peixoto"/>
    <m/>
    <m/>
    <n v="2779522601"/>
    <n v="17799726248971"/>
    <s v="(21) 2038-4382"/>
    <s v="(21) 99954-9956"/>
    <s v="Sainte"/>
    <s v="Atendido"/>
    <s v="Enviar E-mail"/>
    <m/>
    <s v="Agente"/>
    <n v="16"/>
    <m/>
    <m/>
    <d v="1899-12-30T00:03:28"/>
    <d v="1899-12-30T00:03:22"/>
    <n v="1"/>
    <x v="5"/>
  </r>
  <r>
    <d v="2026-05-28T09:55:47"/>
    <s v="3003 - FirjanAtivo"/>
    <s v="6044-Roseli Honorato Dos Santos"/>
    <m/>
    <m/>
    <n v="2712841594"/>
    <n v="17799729479301"/>
    <s v="(21) 2038-4382"/>
    <s v="(11) 93286-8636"/>
    <s v="Sainte"/>
    <s v="Não Atendeu"/>
    <m/>
    <m/>
    <s v="Agente"/>
    <n v="19"/>
    <m/>
    <m/>
    <d v="1899-12-30T00:00:14"/>
    <s v="---"/>
    <s v=""/>
    <x v="5"/>
  </r>
  <r>
    <d v="2026-05-28T09:59:37"/>
    <s v="3003 - FirjanAtivo"/>
    <s v="6044-Roseli Honorato Dos Santos"/>
    <m/>
    <m/>
    <n v="2779534808"/>
    <n v="17799731779791"/>
    <s v="(21) 2038-4382"/>
    <s v="(24) 99956-1607"/>
    <s v="Sainte"/>
    <s v="Atendido"/>
    <s v="Fora de Area / Cx de Mensagens"/>
    <m/>
    <s v="Agente"/>
    <n v="16"/>
    <m/>
    <m/>
    <d v="1899-12-30T00:01:03"/>
    <d v="1899-12-30T00:00:46"/>
    <s v=""/>
    <x v="5"/>
  </r>
  <r>
    <d v="2026-05-28T09:59:44"/>
    <s v="3003 - FirjanAtivo"/>
    <s v="6052-Marcia Lima Peixoto"/>
    <m/>
    <m/>
    <n v="2771403213"/>
    <n v="17799731849921"/>
    <s v="(21) 2038-4382"/>
    <s v="(21) 99143-0008"/>
    <s v="Sainte"/>
    <s v="Não Atendeu"/>
    <m/>
    <m/>
    <s v="Agente"/>
    <n v="19"/>
    <m/>
    <m/>
    <d v="1899-12-30T00:00:08"/>
    <s v="---"/>
    <s v=""/>
    <x v="5"/>
  </r>
  <r>
    <d v="2026-05-28T09:59:59"/>
    <s v="3003 - FirjanAtivo"/>
    <s v="6052-Marcia Lima Peixoto"/>
    <m/>
    <m/>
    <n v="2771403228"/>
    <n v="17799731999951"/>
    <s v="(21) 2038-4382"/>
    <s v="(21) 99143-0008"/>
    <s v="Sainte"/>
    <s v="Atendido"/>
    <s v="Fora de Area / Cx de Mensagens"/>
    <m/>
    <s v="Agente"/>
    <n v="16"/>
    <m/>
    <m/>
    <d v="1899-12-30T00:00:10"/>
    <d v="1899-12-30T00:00:03"/>
    <s v=""/>
    <x v="5"/>
  </r>
  <r>
    <d v="2026-05-28T10:00:50"/>
    <s v="3003 - FirjanAtivo"/>
    <s v="6044-Roseli Honorato Dos Santos"/>
    <m/>
    <m/>
    <n v="2772056177"/>
    <n v="177997325010061"/>
    <s v="(21) 2038-4382"/>
    <s v="(22) 99208-2905"/>
    <s v="Sainte"/>
    <s v="Atendido"/>
    <s v="Fora de Area / Cx de Mensagens"/>
    <m/>
    <s v="Agente"/>
    <n v="16"/>
    <m/>
    <m/>
    <d v="1899-12-30T00:00:44"/>
    <d v="1899-12-30T00:00:18"/>
    <s v=""/>
    <x v="5"/>
  </r>
  <r>
    <d v="2026-05-28T10:04:01"/>
    <s v="3003 - FirjanAtivo"/>
    <s v="6044-Roseli Honorato Dos Santos"/>
    <m/>
    <m/>
    <n v="2779068323"/>
    <n v="177997344110131"/>
    <s v="(21) 2038-4382"/>
    <s v="(22) 99909-4860"/>
    <s v="Sainte"/>
    <s v="Atendido"/>
    <s v="Fora de Area / Cx de Mensagens"/>
    <m/>
    <s v="Cliente"/>
    <n v="16"/>
    <m/>
    <m/>
    <d v="1899-12-30T00:00:56"/>
    <d v="1899-12-30T00:00:20"/>
    <s v=""/>
    <x v="5"/>
  </r>
  <r>
    <d v="2026-05-28T10:08:33"/>
    <s v="3003 - FirjanAtivo"/>
    <s v="6052-Marcia Lima Peixoto"/>
    <m/>
    <m/>
    <n v="2778703017"/>
    <n v="177997371310381"/>
    <s v="(21) 2038-4382"/>
    <s v="(21) 99872-9283"/>
    <s v="Sainte"/>
    <s v="Não Atendeu"/>
    <m/>
    <m/>
    <s v="Agente"/>
    <n v="19"/>
    <m/>
    <m/>
    <d v="1899-12-30T00:00:08"/>
    <s v="---"/>
    <s v=""/>
    <x v="5"/>
  </r>
  <r>
    <d v="2026-05-28T10:08:47"/>
    <s v="3003 - FirjanAtivo"/>
    <s v="6052-Marcia Lima Peixoto"/>
    <m/>
    <m/>
    <n v="2778703031"/>
    <n v="177997372710411"/>
    <s v="(21) 2038-4382"/>
    <s v="(21) 99872-9283"/>
    <s v="Sainte"/>
    <s v="Não Atendeu"/>
    <m/>
    <m/>
    <s v="Agente"/>
    <n v="19"/>
    <m/>
    <m/>
    <d v="1899-12-30T00:00:04"/>
    <s v="---"/>
    <s v=""/>
    <x v="5"/>
  </r>
  <r>
    <d v="2026-05-28T10:10:39"/>
    <s v="3003 - FirjanAtivo"/>
    <s v="6052-Marcia Lima Peixoto"/>
    <m/>
    <m/>
    <n v="2761431748"/>
    <n v="177997383910471"/>
    <s v="(21) 2038-4382"/>
    <s v="(22) 98145-7887"/>
    <s v="Sainte"/>
    <s v="Não Atendeu"/>
    <m/>
    <m/>
    <s v="Agente"/>
    <n v="19"/>
    <m/>
    <m/>
    <d v="1899-12-30T00:00:18"/>
    <s v="---"/>
    <s v=""/>
    <x v="5"/>
  </r>
  <r>
    <d v="2026-05-28T10:11:03"/>
    <s v="3003 - FirjanAtivo"/>
    <s v="6052-Marcia Lima Peixoto"/>
    <m/>
    <m/>
    <n v="2761431772"/>
    <n v="177997386310511"/>
    <s v="(21) 2038-4382"/>
    <s v="(22) 98145-7887"/>
    <s v="Sainte"/>
    <s v="Atendido"/>
    <s v="Enviar E-mail"/>
    <m/>
    <s v="Cliente"/>
    <n v="16"/>
    <m/>
    <m/>
    <d v="1899-12-30T00:06:21"/>
    <d v="1899-12-30T00:06:00"/>
    <n v="1"/>
    <x v="5"/>
  </r>
  <r>
    <d v="2026-05-28T10:12:01"/>
    <s v="3003 - FirjanAtivo"/>
    <s v="6044-Roseli Honorato Dos Santos"/>
    <m/>
    <m/>
    <n v="2779391938"/>
    <n v="177997392110681"/>
    <s v="(21) 2038-4382"/>
    <s v="(22) 99941-7995"/>
    <s v="Sainte"/>
    <s v="Atendido"/>
    <s v="Fora de Area / Cx de Mensagens"/>
    <m/>
    <s v="Agente"/>
    <n v="16"/>
    <m/>
    <m/>
    <d v="1899-12-30T00:00:23"/>
    <d v="1899-12-30T00:00:06"/>
    <s v=""/>
    <x v="5"/>
  </r>
  <r>
    <d v="2026-05-28T10:16:17"/>
    <s v="3003 - FirjanAtivo"/>
    <s v="6044-Roseli Honorato Dos Santos"/>
    <m/>
    <m/>
    <n v="2761794995"/>
    <n v="177997417711231"/>
    <s v="(21) 2038-4382"/>
    <s v="(24) 98182-0794"/>
    <s v="Sainte"/>
    <s v="Atendido"/>
    <s v="Fora de Area / Cx de Mensagens"/>
    <m/>
    <s v="Agente"/>
    <n v="16"/>
    <m/>
    <m/>
    <d v="1899-12-30T00:01:22"/>
    <d v="1899-12-30T00:01:17"/>
    <s v=""/>
    <x v="5"/>
  </r>
  <r>
    <d v="2026-05-28T10:18:18"/>
    <s v="3003 - FirjanAtivo"/>
    <s v="6044-Roseli Honorato Dos Santos"/>
    <m/>
    <m/>
    <n v="2761844923"/>
    <n v="177997428111441"/>
    <s v="(21) 2038-4382"/>
    <s v="(21) 98187-0621"/>
    <s v="Sainte"/>
    <s v="Ocupado"/>
    <m/>
    <m/>
    <s v="Cliente"/>
    <n v="21"/>
    <m/>
    <m/>
    <d v="1899-12-30T00:00:01"/>
    <s v="---"/>
    <s v=""/>
    <x v="5"/>
  </r>
  <r>
    <d v="2026-05-28T10:20:59"/>
    <s v="3003 - FirjanAtivo"/>
    <s v="6052-Marcia Lima Peixoto"/>
    <m/>
    <m/>
    <n v="2761845083"/>
    <n v="177997444111731"/>
    <s v="(21) 2038-4382"/>
    <s v="(21) 98187-0621"/>
    <s v="Sainte"/>
    <s v="Ocupado"/>
    <m/>
    <m/>
    <s v="Cliente"/>
    <n v="21"/>
    <m/>
    <m/>
    <d v="1899-12-30T00:00:01"/>
    <s v="---"/>
    <s v=""/>
    <x v="5"/>
  </r>
  <r>
    <d v="2026-05-28T10:21:15"/>
    <s v="3003 - FirjanAtivo"/>
    <s v="6052-Marcia Lima Peixoto"/>
    <m/>
    <m/>
    <n v="2761845110"/>
    <n v="177997446811771"/>
    <s v="(21) 2038-4382"/>
    <s v="(21) 98187-0621"/>
    <s v="Sainte"/>
    <s v="Ocupado"/>
    <m/>
    <m/>
    <s v="Cliente"/>
    <n v="21"/>
    <m/>
    <m/>
    <d v="1899-12-30T00:00:01"/>
    <s v="---"/>
    <s v=""/>
    <x v="5"/>
  </r>
  <r>
    <d v="2026-05-28T10:21:25"/>
    <s v="3003 - FirjanAtivo"/>
    <s v="6044-Roseli Honorato Dos Santos"/>
    <m/>
    <m/>
    <n v="2761845115"/>
    <n v="177997447211801"/>
    <s v="(21) 2038-4382"/>
    <s v="(21) 98187-0621"/>
    <s v="Sainte"/>
    <s v="Ocupado"/>
    <m/>
    <m/>
    <s v="Cliente"/>
    <n v="21"/>
    <m/>
    <m/>
    <d v="1899-12-30T00:00:01"/>
    <s v="---"/>
    <s v=""/>
    <x v="5"/>
  </r>
  <r>
    <d v="2026-05-28T11:03:48"/>
    <s v="3003 - FirjanAtivo"/>
    <s v="6052-Marcia Lima Peixoto"/>
    <m/>
    <m/>
    <n v="2778311350"/>
    <n v="177997702815081"/>
    <s v="(21) 2038-4382"/>
    <s v="(22) 99833-4300"/>
    <s v="Sainte"/>
    <s v="Não Atendeu"/>
    <m/>
    <m/>
    <s v="Agente"/>
    <n v="19"/>
    <m/>
    <m/>
    <d v="1899-12-30T00:00:36"/>
    <s v="---"/>
    <s v=""/>
    <x v="5"/>
  </r>
  <r>
    <d v="2026-05-28T11:04:31"/>
    <s v="3003 - FirjanAtivo"/>
    <s v="6052-Marcia Lima Peixoto"/>
    <m/>
    <m/>
    <n v="2778311393"/>
    <n v="177997707115111"/>
    <s v="(21) 2038-4382"/>
    <s v="(22) 99833-4300"/>
    <s v="Sainte"/>
    <s v="Atendido"/>
    <s v="Enviar E-mail"/>
    <m/>
    <s v="Cliente"/>
    <n v="16"/>
    <m/>
    <m/>
    <d v="1899-12-30T00:02:37"/>
    <d v="1899-12-30T00:02:19"/>
    <n v="1"/>
    <x v="5"/>
  </r>
  <r>
    <d v="2026-05-28T11:37:53"/>
    <s v="3003 - FirjanAtivo"/>
    <s v="6044-Roseli Honorato Dos Santos"/>
    <m/>
    <m/>
    <n v="2761849710"/>
    <n v="177997906818791"/>
    <s v="(21) 2038-4382"/>
    <s v="(21) 98187-0621"/>
    <s v="Sainte"/>
    <s v="Ocupado"/>
    <m/>
    <m/>
    <s v="Cliente"/>
    <n v="21"/>
    <m/>
    <m/>
    <d v="1899-12-30T00:00:01"/>
    <s v="---"/>
    <s v=""/>
    <x v="5"/>
  </r>
  <r>
    <d v="2026-05-28T14:07:14"/>
    <s v="3003 - FirjanAtivo"/>
    <s v="6044-Roseli Honorato Dos Santos"/>
    <m/>
    <m/>
    <n v="2761343409"/>
    <n v="177998803430331"/>
    <s v="(21) 2038-4382"/>
    <s v="(24) 98135-5351"/>
    <s v="Sainte"/>
    <s v="Atendido"/>
    <s v="Ligação Muda"/>
    <m/>
    <s v="Agente"/>
    <n v="16"/>
    <m/>
    <m/>
    <d v="1899-12-30T00:00:50"/>
    <d v="1899-12-30T00:00:24"/>
    <s v=""/>
    <x v="5"/>
  </r>
  <r>
    <d v="2026-05-28T14:09:16"/>
    <s v="3003 - FirjanAtivo"/>
    <s v="6052-Marcia Lima Peixoto"/>
    <m/>
    <m/>
    <n v="2761586963"/>
    <n v="177998815630541"/>
    <s v="(21) 2038-4382"/>
    <s v="(24) 98159-8783"/>
    <s v="Sainte"/>
    <s v="Atendido"/>
    <s v="Tel Não Atende / Ocupado"/>
    <m/>
    <s v="Agente"/>
    <n v="16"/>
    <m/>
    <m/>
    <d v="1899-12-30T00:00:34"/>
    <d v="1899-12-30T00:00:18"/>
    <s v=""/>
    <x v="5"/>
  </r>
  <r>
    <d v="2026-05-28T14:10:02"/>
    <s v="3003 - FirjanAtivo"/>
    <s v="6052-Marcia Lima Peixoto"/>
    <m/>
    <m/>
    <n v="2761587009"/>
    <n v="177998820230621"/>
    <s v="(21) 2038-4382"/>
    <s v="(24) 98159-8783"/>
    <s v="Sainte"/>
    <s v="Não Atendeu"/>
    <m/>
    <m/>
    <s v="Agente"/>
    <n v="19"/>
    <m/>
    <m/>
    <d v="1899-12-30T00:00:35"/>
    <s v="---"/>
    <s v=""/>
    <x v="5"/>
  </r>
  <r>
    <d v="2026-05-28T14:10:21"/>
    <s v="3003 - FirjanAtivo"/>
    <s v="6044-Roseli Honorato Dos Santos"/>
    <m/>
    <m/>
    <n v="2761361409"/>
    <n v="177998821230701"/>
    <s v="(21) 2038-4382"/>
    <s v="(22) 98137-3174"/>
    <s v="Sainte"/>
    <s v="Ocupado"/>
    <m/>
    <m/>
    <s v="Cliente"/>
    <n v="17"/>
    <m/>
    <m/>
    <d v="1899-12-30T00:00:01"/>
    <s v="---"/>
    <s v=""/>
    <x v="5"/>
  </r>
  <r>
    <d v="2026-05-28T14:11:11"/>
    <s v="3003 - FirjanAtivo"/>
    <s v="6052-Marcia Lima Peixoto"/>
    <m/>
    <m/>
    <n v="2779148390"/>
    <n v="177998827130751"/>
    <s v="(21) 2038-4382"/>
    <s v="(22) 99916-0097"/>
    <s v="Sainte"/>
    <s v="Não Atendeu"/>
    <m/>
    <m/>
    <s v="Agente"/>
    <n v="19"/>
    <m/>
    <m/>
    <d v="1899-12-30T00:00:36"/>
    <s v="---"/>
    <s v=""/>
    <x v="5"/>
  </r>
  <r>
    <d v="2026-05-28T14:11:52"/>
    <s v="3003 - FirjanAtivo"/>
    <s v="6052-Marcia Lima Peixoto"/>
    <m/>
    <m/>
    <n v="2779148431"/>
    <n v="177998831230821"/>
    <s v="(21) 2038-4382"/>
    <s v="(22) 99916-0097"/>
    <s v="Sainte"/>
    <s v="Não Atendeu"/>
    <m/>
    <m/>
    <s v="Agente"/>
    <n v="19"/>
    <m/>
    <m/>
    <d v="1899-12-30T00:00:34"/>
    <s v="---"/>
    <s v=""/>
    <x v="5"/>
  </r>
  <r>
    <d v="2026-05-28T14:13:03"/>
    <s v="3003 - FirjanAtivo"/>
    <s v="6052-Marcia Lima Peixoto"/>
    <m/>
    <m/>
    <n v="2761442849"/>
    <n v="177998838331011"/>
    <s v="(21) 2038-4382"/>
    <s v="(24) 98145-4441"/>
    <s v="Sainte"/>
    <s v="Atendido"/>
    <s v="Fora de Area / Cx de Mensagens"/>
    <m/>
    <s v="Agente"/>
    <n v="16"/>
    <m/>
    <m/>
    <d v="1899-12-30T00:00:21"/>
    <d v="1899-12-30T00:00:04"/>
    <s v=""/>
    <x v="5"/>
  </r>
  <r>
    <d v="2026-05-28T14:13:26"/>
    <s v="3003 - FirjanAtivo"/>
    <s v="6044-Roseli Honorato Dos Santos"/>
    <m/>
    <m/>
    <n v="2761361593"/>
    <n v="177998839731031"/>
    <s v="(21) 2038-4382"/>
    <s v="(22) 98137-3174"/>
    <s v="Sainte"/>
    <s v="Ocupado"/>
    <m/>
    <m/>
    <s v="Cliente"/>
    <n v="17"/>
    <m/>
    <m/>
    <d v="1899-12-30T00:00:01"/>
    <s v="---"/>
    <s v=""/>
    <x v="5"/>
  </r>
  <r>
    <d v="2026-05-28T14:13:35"/>
    <s v="3003 - FirjanAtivo"/>
    <s v="6052-Marcia Lima Peixoto"/>
    <m/>
    <m/>
    <n v="2761442880"/>
    <n v="177998841531081"/>
    <s v="(21) 2038-4382"/>
    <s v="(24) 98145-4441"/>
    <s v="Sainte"/>
    <s v="Atendido"/>
    <s v="Fora de Area / Cx de Mensagens"/>
    <m/>
    <s v="Agente"/>
    <n v="16"/>
    <m/>
    <m/>
    <d v="1899-12-30T00:00:21"/>
    <d v="1899-12-30T00:00:03"/>
    <s v=""/>
    <x v="5"/>
  </r>
  <r>
    <d v="2026-05-28T14:13:55"/>
    <s v="3003 - FirjanAtivo"/>
    <s v="6044-Roseli Honorato Dos Santos"/>
    <m/>
    <m/>
    <n v="2747349569"/>
    <n v="177998843531141"/>
    <s v="(21) 2038-4382"/>
    <s v="(21) 96736-1113"/>
    <s v="Sainte"/>
    <s v="Atendido"/>
    <s v="Fora de Area / Cx de Mensagens"/>
    <m/>
    <s v="Cliente"/>
    <n v="16"/>
    <m/>
    <m/>
    <d v="1899-12-30T00:02:14"/>
    <d v="1899-12-30T00:02:10"/>
    <s v=""/>
    <x v="5"/>
  </r>
  <r>
    <d v="2026-05-28T14:14:53"/>
    <s v="3003 - FirjanAtivo"/>
    <s v="6052-Marcia Lima Peixoto"/>
    <m/>
    <m/>
    <n v="2779421335"/>
    <n v="177998849331291"/>
    <s v="(21) 2038-4382"/>
    <s v="(22) 99943-2820"/>
    <s v="Sainte"/>
    <s v="Não Atendeu"/>
    <m/>
    <m/>
    <s v="Agente"/>
    <n v="19"/>
    <m/>
    <m/>
    <d v="1899-12-30T00:00:10"/>
    <s v="---"/>
    <s v=""/>
    <x v="5"/>
  </r>
  <r>
    <d v="2026-05-28T14:15:09"/>
    <s v="3003 - FirjanAtivo"/>
    <s v="6052-Marcia Lima Peixoto"/>
    <m/>
    <m/>
    <n v="2779421351"/>
    <n v="177998850931321"/>
    <s v="(21) 2038-4382"/>
    <s v="(22) 99943-2820"/>
    <s v="Sainte"/>
    <s v="Não Atendeu"/>
    <m/>
    <m/>
    <s v="Agente"/>
    <n v="19"/>
    <m/>
    <m/>
    <d v="1899-12-30T00:00:06"/>
    <s v="---"/>
    <s v=""/>
    <x v="5"/>
  </r>
  <r>
    <d v="2026-05-28T14:16:02"/>
    <s v="3003 - FirjanAtivo"/>
    <s v="6052-Marcia Lima Peixoto"/>
    <m/>
    <m/>
    <n v="2753516401"/>
    <n v="177998856231441"/>
    <s v="(21) 2038-4382"/>
    <s v="(21) 97352-7818"/>
    <s v="Sainte"/>
    <s v="Não Atendeu"/>
    <m/>
    <m/>
    <s v="Agente"/>
    <n v="19"/>
    <m/>
    <m/>
    <d v="1899-12-30T00:00:28"/>
    <s v="---"/>
    <s v=""/>
    <x v="5"/>
  </r>
  <r>
    <d v="2026-05-28T14:16:36"/>
    <s v="3003 - FirjanAtivo"/>
    <s v="6052-Marcia Lima Peixoto"/>
    <m/>
    <m/>
    <n v="2753516435"/>
    <n v="177998859631481"/>
    <s v="(21) 2038-4382"/>
    <s v="(21) 97352-7818"/>
    <s v="Sainte"/>
    <s v="Atendido"/>
    <s v="Enviar E-mail"/>
    <m/>
    <s v="Cliente"/>
    <n v="16"/>
    <m/>
    <m/>
    <d v="1899-12-30T00:11:04"/>
    <d v="1899-12-30T00:10:51"/>
    <n v="1"/>
    <x v="5"/>
  </r>
  <r>
    <d v="2026-05-28T14:17:03"/>
    <s v="3003 - FirjanAtivo"/>
    <s v="6044-Roseli Honorato Dos Santos"/>
    <m/>
    <m/>
    <n v="2779520172"/>
    <n v="177998862331501"/>
    <s v="(21) 2038-4382"/>
    <s v="(21) 99953-1528"/>
    <s v="Sainte"/>
    <s v="Atendido"/>
    <s v="Fora de Area / Cx de Mensagens"/>
    <m/>
    <s v="Agente"/>
    <n v="16"/>
    <m/>
    <m/>
    <d v="1899-12-30T00:00:17"/>
    <d v="1899-12-30T00:00:05"/>
    <s v=""/>
    <x v="5"/>
  </r>
  <r>
    <d v="2026-05-28T14:24:57"/>
    <s v="3003 - FirjanAtivo"/>
    <s v="6044-Roseli Honorato Dos Santos"/>
    <m/>
    <m/>
    <n v="2779520646"/>
    <n v="177998909732051"/>
    <s v="(21) 2038-4382"/>
    <s v="(21) 99953-1528"/>
    <s v="Sainte"/>
    <s v="Atendido"/>
    <s v="Fora de Area / Cx de Mensagens"/>
    <m/>
    <s v="Agente"/>
    <n v="16"/>
    <m/>
    <m/>
    <d v="1899-12-30T00:00:24"/>
    <d v="1899-12-30T00:00:08"/>
    <s v=""/>
    <x v="5"/>
  </r>
  <r>
    <d v="2026-05-28T14:26:02"/>
    <s v="3003 - FirjanAtivo"/>
    <s v="6044-Roseli Honorato Dos Santos"/>
    <m/>
    <m/>
    <n v="2712857809"/>
    <n v="177998916232081"/>
    <s v="(21) 2038-4382"/>
    <s v="(11) 93286-8636"/>
    <s v="Sainte"/>
    <s v="Não Atendeu"/>
    <m/>
    <m/>
    <s v="Agente"/>
    <n v="19"/>
    <m/>
    <m/>
    <d v="1899-12-30T00:00:45"/>
    <s v="---"/>
    <s v=""/>
    <x v="5"/>
  </r>
  <r>
    <d v="2026-05-28T14:29:09"/>
    <s v="3003 - FirjanAtivo"/>
    <s v="6044-Roseli Honorato Dos Santos"/>
    <m/>
    <m/>
    <n v="2779550980"/>
    <n v="177998934932221"/>
    <s v="(21) 2038-4382"/>
    <s v="(24) 99956-1607"/>
    <s v="Sainte"/>
    <s v="Atendido"/>
    <s v="Fora de Area / Cx de Mensagens"/>
    <m/>
    <s v="Agente"/>
    <n v="16"/>
    <m/>
    <m/>
    <d v="1899-12-30T00:00:41"/>
    <d v="1899-12-30T00:00:18"/>
    <s v=""/>
    <x v="5"/>
  </r>
  <r>
    <d v="2026-05-28T14:30:29"/>
    <s v="3003 - FirjanAtivo"/>
    <s v="6044-Roseli Honorato Dos Santos"/>
    <m/>
    <m/>
    <n v="2772072356"/>
    <n v="177998942932311"/>
    <s v="(21) 2038-4382"/>
    <s v="(22) 99208-2905"/>
    <s v="Sainte"/>
    <s v="Atendido"/>
    <s v="Fora de Area / Cx de Mensagens"/>
    <m/>
    <s v="Agente"/>
    <n v="16"/>
    <m/>
    <m/>
    <d v="1899-12-30T00:01:00"/>
    <d v="1899-12-30T00:00:16"/>
    <s v=""/>
    <x v="5"/>
  </r>
  <r>
    <d v="2026-05-28T14:30:58"/>
    <s v="3003 - FirjanAtivo"/>
    <s v="6052-Marcia Lima Peixoto"/>
    <m/>
    <m/>
    <n v="2778321303"/>
    <n v="177998945832461"/>
    <s v="(21) 2038-4382"/>
    <s v="(24) 99833-1820"/>
    <s v="Sainte"/>
    <s v="Não Atendeu"/>
    <m/>
    <m/>
    <s v="Agente"/>
    <n v="19"/>
    <m/>
    <m/>
    <d v="1899-12-30T00:00:16"/>
    <s v="---"/>
    <s v=""/>
    <x v="5"/>
  </r>
  <r>
    <d v="2026-05-28T14:31:21"/>
    <s v="3003 - FirjanAtivo"/>
    <s v="6052-Marcia Lima Peixoto"/>
    <m/>
    <m/>
    <n v="2778321325"/>
    <n v="177998948132551"/>
    <s v="(21) 2038-4382"/>
    <s v="(24) 99833-1820"/>
    <s v="Sainte"/>
    <s v="Não Atendeu"/>
    <m/>
    <m/>
    <s v="Agente"/>
    <n v="19"/>
    <m/>
    <m/>
    <d v="1899-12-30T00:00:11"/>
    <s v="---"/>
    <s v=""/>
    <x v="5"/>
  </r>
  <r>
    <d v="2026-05-28T14:32:16"/>
    <s v="3003 - FirjanAtivo"/>
    <s v="6052-Marcia Lima Peixoto"/>
    <m/>
    <m/>
    <n v="2744762354"/>
    <n v="177998953632651"/>
    <s v="(21) 2038-4382"/>
    <s v="(21) 96477-2797"/>
    <s v="Sainte"/>
    <s v="Atendido"/>
    <s v="Fora de Area / Cx de Mensagens"/>
    <m/>
    <s v="Agente"/>
    <n v="16"/>
    <m/>
    <m/>
    <d v="1899-12-30T00:00:27"/>
    <d v="1899-12-30T00:00:02"/>
    <s v=""/>
    <x v="5"/>
  </r>
  <r>
    <d v="2026-05-28T14:32:18"/>
    <s v="3003 - FirjanAtivo"/>
    <s v="6044-Roseli Honorato Dos Santos"/>
    <m/>
    <m/>
    <n v="2779084420"/>
    <n v="177998953832671"/>
    <s v="(21) 2038-4382"/>
    <s v="(22) 99909-4860"/>
    <s v="Sainte"/>
    <s v="Atendido"/>
    <s v="Fora de Area / Cx de Mensagens"/>
    <m/>
    <s v="Agente"/>
    <n v="16"/>
    <m/>
    <m/>
    <d v="1899-12-30T00:00:43"/>
    <d v="1899-12-30T00:00:06"/>
    <s v=""/>
    <x v="5"/>
  </r>
  <r>
    <d v="2026-05-28T14:32:53"/>
    <s v="3003 - FirjanAtivo"/>
    <s v="6052-Marcia Lima Peixoto"/>
    <m/>
    <m/>
    <n v="2744762391"/>
    <n v="177998957332701"/>
    <s v="(21) 2038-4382"/>
    <s v="(21) 96477-2797"/>
    <s v="Sainte"/>
    <s v="Não Atendeu"/>
    <m/>
    <m/>
    <s v="Agente"/>
    <n v="19"/>
    <m/>
    <m/>
    <d v="1899-12-30T00:00:25"/>
    <s v="---"/>
    <s v=""/>
    <x v="5"/>
  </r>
  <r>
    <d v="2026-05-28T14:34:04"/>
    <s v="3003 - FirjanAtivo"/>
    <s v="6052-Marcia Lima Peixoto"/>
    <m/>
    <m/>
    <n v="2778579746"/>
    <n v="177998964432741"/>
    <s v="(21) 2038-4382"/>
    <s v="(21) 99859-0081"/>
    <s v="Sainte"/>
    <s v="Não Atendeu"/>
    <m/>
    <m/>
    <s v="Agente"/>
    <n v="19"/>
    <m/>
    <m/>
    <d v="1899-12-30T00:00:09"/>
    <s v="---"/>
    <s v=""/>
    <x v="5"/>
  </r>
  <r>
    <d v="2026-05-28T14:34:22"/>
    <s v="3003 - FirjanAtivo"/>
    <s v="6052-Marcia Lima Peixoto"/>
    <m/>
    <m/>
    <n v="2778579764"/>
    <n v="177998966232831"/>
    <s v="(21) 2038-4382"/>
    <s v="(21) 99859-0081"/>
    <s v="Sainte"/>
    <s v="Não Atendeu"/>
    <m/>
    <m/>
    <s v="Agente"/>
    <n v="19"/>
    <m/>
    <m/>
    <d v="1899-12-30T00:00:09"/>
    <s v="---"/>
    <s v=""/>
    <x v="5"/>
  </r>
  <r>
    <d v="2026-05-28T14:35:06"/>
    <s v="3003 - FirjanAtivo"/>
    <s v="6052-Marcia Lima Peixoto"/>
    <m/>
    <m/>
    <n v="2779974702"/>
    <n v="177998970632921"/>
    <s v="(21) 2038-4382"/>
    <s v="(24) 99998-4972"/>
    <s v="Sainte"/>
    <s v="Não Atendeu"/>
    <m/>
    <m/>
    <s v="Agente"/>
    <n v="19"/>
    <m/>
    <m/>
    <d v="1899-12-30T00:00:06"/>
    <s v="---"/>
    <s v=""/>
    <x v="5"/>
  </r>
  <r>
    <d v="2026-05-28T14:35:17"/>
    <s v="3003 - FirjanAtivo"/>
    <s v="6052-Marcia Lima Peixoto"/>
    <m/>
    <m/>
    <n v="2779974713"/>
    <n v="177998971732971"/>
    <s v="(21) 2038-4382"/>
    <s v="(24) 99998-4972"/>
    <s v="Sainte"/>
    <s v="Não Atendeu"/>
    <m/>
    <m/>
    <s v="Agente"/>
    <n v="19"/>
    <m/>
    <m/>
    <d v="1899-12-30T00:00:04"/>
    <s v="---"/>
    <s v=""/>
    <x v="5"/>
  </r>
  <r>
    <d v="2026-05-28T14:36:11"/>
    <s v="3003 - FirjanAtivo"/>
    <s v="6052-Marcia Lima Peixoto"/>
    <m/>
    <m/>
    <n v="2768235812"/>
    <n v="177998977133091"/>
    <s v="(21) 2038-4382"/>
    <s v="(22) 98824-6019"/>
    <s v="Sainte"/>
    <s v="Não Atendeu"/>
    <m/>
    <m/>
    <s v="Agente"/>
    <n v="19"/>
    <m/>
    <m/>
    <d v="1899-12-30T00:00:35"/>
    <s v="---"/>
    <s v=""/>
    <x v="5"/>
  </r>
  <r>
    <d v="2026-05-28T14:38:01"/>
    <s v="3003 - FirjanAtivo"/>
    <s v="6044-Roseli Honorato Dos Santos"/>
    <m/>
    <m/>
    <n v="2779407898"/>
    <n v="177998988133331"/>
    <s v="(21) 2038-4382"/>
    <s v="(22) 99941-7995"/>
    <s v="Sainte"/>
    <s v="Atendido"/>
    <s v="Fora de Area / Cx de Mensagens"/>
    <m/>
    <s v="Agente"/>
    <n v="16"/>
    <m/>
    <m/>
    <d v="1899-12-30T00:00:43"/>
    <d v="1899-12-30T00:00:06"/>
    <s v=""/>
    <x v="5"/>
  </r>
  <r>
    <d v="2026-05-28T14:38:23"/>
    <s v="3003 - FirjanAtivo"/>
    <s v="6052-Marcia Lima Peixoto"/>
    <m/>
    <m/>
    <n v="2771419932"/>
    <n v="177998990333351"/>
    <s v="(21) 2038-4382"/>
    <s v="(21) 99143-0008"/>
    <s v="Sainte"/>
    <s v="Não Atendeu"/>
    <m/>
    <m/>
    <s v="Agente"/>
    <n v="19"/>
    <m/>
    <m/>
    <d v="1899-12-30T00:00:06"/>
    <s v="---"/>
    <s v=""/>
    <x v="5"/>
  </r>
  <r>
    <d v="2026-05-28T14:38:35"/>
    <s v="3003 - FirjanAtivo"/>
    <s v="6052-Marcia Lima Peixoto"/>
    <m/>
    <m/>
    <n v="2771419944"/>
    <n v="177998991533421"/>
    <s v="(21) 2038-4382"/>
    <s v="(21) 99143-0008"/>
    <s v="Sainte"/>
    <s v="Não Atendeu"/>
    <m/>
    <m/>
    <s v="Agente"/>
    <n v="19"/>
    <m/>
    <m/>
    <d v="1899-12-30T00:00:06"/>
    <s v="---"/>
    <s v=""/>
    <x v="5"/>
  </r>
  <r>
    <d v="2026-05-28T14:39:59"/>
    <s v="3003 - FirjanAtivo"/>
    <s v="6044-Roseli Honorato Dos Santos"/>
    <m/>
    <m/>
    <n v="2761810817"/>
    <n v="177998999933591"/>
    <s v="(21) 2038-4382"/>
    <s v="(24) 98182-0794"/>
    <s v="Sainte"/>
    <s v="Atendido"/>
    <s v="Fora de Area / Cx de Mensagens"/>
    <m/>
    <s v="Agente"/>
    <n v="16"/>
    <m/>
    <m/>
    <d v="1899-12-30T00:01:02"/>
    <d v="1899-12-30T00:00:44"/>
    <s v=""/>
    <x v="5"/>
  </r>
  <r>
    <d v="2026-05-28T14:41:43"/>
    <s v="3003 - FirjanAtivo"/>
    <s v="6044-Roseli Honorato Dos Santos"/>
    <m/>
    <m/>
    <n v="2761860740"/>
    <n v="177999009833661"/>
    <s v="(21) 2038-4382"/>
    <s v="(21) 98187-0621"/>
    <s v="Sainte"/>
    <s v="Ocupado"/>
    <m/>
    <m/>
    <s v="Cliente"/>
    <n v="21"/>
    <m/>
    <m/>
    <d v="1899-12-30T00:00:01"/>
    <s v="---"/>
    <s v=""/>
    <x v="5"/>
  </r>
  <r>
    <d v="2026-05-28T14:41:53"/>
    <s v="3003 - FirjanAtivo"/>
    <s v="6052-Marcia Lima Peixoto"/>
    <m/>
    <m/>
    <n v="2778719417"/>
    <n v="177999011333701"/>
    <s v="(21) 2038-4382"/>
    <s v="(21) 99872-9283"/>
    <s v="Sainte"/>
    <s v="Não Atendeu"/>
    <m/>
    <m/>
    <s v="Agente"/>
    <n v="19"/>
    <m/>
    <m/>
    <d v="1899-12-30T00:00:06"/>
    <s v="---"/>
    <s v=""/>
    <x v="5"/>
  </r>
  <r>
    <d v="2026-05-28T14:42:04"/>
    <s v="3003 - FirjanAtivo"/>
    <s v="6052-Marcia Lima Peixoto"/>
    <m/>
    <m/>
    <n v="2778719428"/>
    <n v="177999012433731"/>
    <s v="(21) 2038-4382"/>
    <s v="(21) 99872-9283"/>
    <s v="Sainte"/>
    <s v="Atendido"/>
    <s v="Fora de Area / Cx de Mensagens"/>
    <m/>
    <s v="Agente"/>
    <n v="16"/>
    <m/>
    <m/>
    <d v="1899-12-30T00:00:08"/>
    <d v="1899-12-30T00:00:01"/>
    <s v=""/>
    <x v="5"/>
  </r>
  <r>
    <d v="2026-05-28T14:42:39"/>
    <s v="3003 - FirjanAtivo"/>
    <s v="6044-Roseli Honorato Dos Santos"/>
    <m/>
    <m/>
    <n v="2761860775"/>
    <n v="177999013333821"/>
    <s v="(21) 2038-4382"/>
    <s v="(21) 98187-0621"/>
    <s v="Sainte"/>
    <s v="Falhou"/>
    <m/>
    <m/>
    <s v="Cliente"/>
    <n v="34"/>
    <m/>
    <m/>
    <d v="1899-12-30T00:00:01"/>
    <s v="---"/>
    <s v=""/>
    <x v="5"/>
  </r>
  <r>
    <d v="2026-05-28T14:43:27"/>
    <s v="3003 - FirjanAtivo"/>
    <s v="6052-Marcia Lima Peixoto"/>
    <m/>
    <m/>
    <n v="2761860845"/>
    <n v="177999020233871"/>
    <s v="(21) 2038-4382"/>
    <s v="(21) 98187-0621"/>
    <s v="Sainte"/>
    <s v="Ocupado"/>
    <m/>
    <m/>
    <s v="Cliente"/>
    <n v="21"/>
    <m/>
    <m/>
    <d v="1899-12-30T00:00:01"/>
    <s v="---"/>
    <s v=""/>
    <x v="5"/>
  </r>
  <r>
    <d v="2026-05-28T14:43:39"/>
    <s v="3003 - FirjanAtivo"/>
    <s v="6052-Marcia Lima Peixoto"/>
    <m/>
    <m/>
    <n v="2761860857"/>
    <n v="177999021533911"/>
    <s v="(21) 2038-4382"/>
    <s v="(21) 98187-0621"/>
    <s v="Sainte"/>
    <s v="Ocupado"/>
    <m/>
    <m/>
    <s v="Cliente"/>
    <n v="21"/>
    <m/>
    <m/>
    <d v="1899-12-30T00:00:01"/>
    <s v="---"/>
    <s v=""/>
    <x v="5"/>
  </r>
  <r>
    <d v="2026-05-28T14:44:21"/>
    <s v="3003 - FirjanAtivo"/>
    <s v="6044-Roseli Honorato Dos Santos"/>
    <m/>
    <m/>
    <n v="2761860898"/>
    <n v="177999025634011"/>
    <s v="(21) 2038-4382"/>
    <s v="(21) 98187-0621"/>
    <s v="Sainte"/>
    <s v="Ocupado"/>
    <m/>
    <m/>
    <s v="Cliente"/>
    <n v="21"/>
    <m/>
    <m/>
    <d v="1899-12-30T00:00:01"/>
    <s v="---"/>
    <s v=""/>
    <x v="5"/>
  </r>
  <r>
    <d v="2026-05-28T14:49:14"/>
    <s v="3003 - FirjanAtivo"/>
    <s v="6052-Marcia Lima Peixoto"/>
    <m/>
    <m/>
    <n v="2772036375"/>
    <n v="177999055434571"/>
    <s v="(21) 2038-4382"/>
    <s v="(21) 99204-5800"/>
    <s v="Sainte"/>
    <s v="Atendido"/>
    <s v="Fora de Area / Cx de Mensagens"/>
    <m/>
    <s v="Agente"/>
    <n v="16"/>
    <m/>
    <m/>
    <d v="1899-12-30T00:00:24"/>
    <d v="1899-12-30T00:00:02"/>
    <s v=""/>
    <x v="5"/>
  </r>
  <r>
    <d v="2026-05-28T14:49:48"/>
    <s v="3003 - FirjanAtivo"/>
    <s v="6052-Marcia Lima Peixoto"/>
    <m/>
    <m/>
    <n v="2772036409"/>
    <n v="177999058834611"/>
    <s v="(21) 2038-4382"/>
    <s v="(21) 99204-5800"/>
    <s v="Sainte"/>
    <s v="Não Atendeu"/>
    <m/>
    <m/>
    <s v="Agente"/>
    <n v="19"/>
    <m/>
    <m/>
    <d v="1899-12-30T00:00:21"/>
    <s v="---"/>
    <s v="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75B07-1A8C-4DD3-B612-E3E9925BA8B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ata">
  <location ref="A3:C10" firstHeaderRow="0" firstDataRow="1" firstDataCol="1"/>
  <pivotFields count="21">
    <pivotField numFmtId="22" showAll="0"/>
    <pivotField dataField="1"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1" showAll="0"/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entativas" fld="1" subtotal="count" baseField="0" baseItem="0"/>
    <dataField name="Conversões" fld="19" baseField="2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81990-276F-4022-B1B5-408C2303BAC7}" name="Tabela1" displayName="Tabela1" ref="A1:U3226" totalsRowShown="0" headerRowDxfId="5">
  <autoFilter ref="A1:U3226" xr:uid="{FF08AB1E-DFB7-4B14-BF79-988AAAECE980}"/>
  <tableColumns count="21">
    <tableColumn id="1" xr3:uid="{93B68F1A-C323-450E-AD9E-64008634096B}" name="DATA" dataDxfId="4"/>
    <tableColumn id="2" xr3:uid="{9283F5E3-DA70-4474-8648-94630931BD35}" name="FILA"/>
    <tableColumn id="3" xr3:uid="{159C9B44-042E-452E-B0AB-1F41BC28D25F}" name="AGENTE"/>
    <tableColumn id="4" xr3:uid="{FBE1A18F-4C6D-49F3-9814-0ECE18435D0B}" name="IDCRM"/>
    <tableColumn id="5" xr3:uid="{27A039CA-8D94-40AC-9DF8-8D733F49341C}" name="DOC"/>
    <tableColumn id="6" xr3:uid="{DB3DD3F0-1A11-4BD6-B584-1148FA7FE5E4}" name="IDDISCADOR"/>
    <tableColumn id="7" xr3:uid="{DCFC920D-A393-4552-8E1B-63CDAA99F80B}" name="UNIQUEID" dataDxfId="3"/>
    <tableColumn id="8" xr3:uid="{ABFC72D0-832F-49F7-B569-BF018439A549}" name="ORIGEM"/>
    <tableColumn id="9" xr3:uid="{3014D616-ECD8-4A13-B8D2-238AB2F9158E}" name="DESTINO"/>
    <tableColumn id="10" xr3:uid="{BB4CBB0C-0F51-4B0F-84C5-DDED1213B99E}" name="TIPO"/>
    <tableColumn id="11" xr3:uid="{680885C0-D503-43E1-BCBA-4C955616FD54}" name="STATUS"/>
    <tableColumn id="12" xr3:uid="{51958BCE-E61C-4FD2-A5F5-79A39EFB3C9E}" name="STATUS_NEGOCIO"/>
    <tableColumn id="13" xr3:uid="{458553A1-4657-493F-ABDA-20DB8A59017E}" name="MAILING"/>
    <tableColumn id="14" xr3:uid="{21998C60-269C-4076-B263-0FA965B47A7E}" name="DESLIGADOPOR"/>
    <tableColumn id="15" xr3:uid="{FCD8C2E0-A991-496D-A66F-E8FC431B6B71}" name="ISDN_CODE"/>
    <tableColumn id="16" xr3:uid="{FC92FD41-7010-4AFF-9A84-68C28FA3A0E1}" name="AGENDAMENTO"/>
    <tableColumn id="17" xr3:uid="{9FD0B817-0DE9-4BAA-A572-A814FB73E44E}" name="CPF/CNPJ COLETADO"/>
    <tableColumn id="18" xr3:uid="{45E3BC37-DC26-4099-8817-DC9F86E829EE}" name="TEMPO_CONECTADO" dataDxfId="2"/>
    <tableColumn id="19" xr3:uid="{12177661-252E-4810-8879-6A0015C48AB7}" name="TEMPO_DE_CONVERSACAO"/>
    <tableColumn id="20" xr3:uid="{A604DE24-FAD6-4A4A-8360-869A4D184003}" name="Interessado" dataDxfId="1">
      <calculatedColumnFormula>IF(Tabela1[[#This Row],[STATUS_NEGOCIO]]="Enviar E-mail",1,"")</calculatedColumnFormula>
    </tableColumn>
    <tableColumn id="21" xr3:uid="{BAC67119-BE2C-42D9-BC8E-84BA1C3C7F38}" name="Data2" dataDxfId="0">
      <calculatedColumnFormula>TEXT(Tabela1[[#This Row],[DATA]],"dd/mm/aaaa")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9BA8-C80B-43A9-B96B-2A0579E49D29}">
  <dimension ref="A3:C10"/>
  <sheetViews>
    <sheetView workbookViewId="0">
      <selection activeCell="C7" sqref="C7"/>
    </sheetView>
  </sheetViews>
  <sheetFormatPr defaultRowHeight="15" x14ac:dyDescent="0.25"/>
  <cols>
    <col min="1" max="1" width="18" bestFit="1" customWidth="1"/>
    <col min="2" max="2" width="17" bestFit="1" customWidth="1"/>
    <col min="3" max="3" width="19.7109375" bestFit="1" customWidth="1"/>
  </cols>
  <sheetData>
    <row r="3" spans="1:3" x14ac:dyDescent="0.25">
      <c r="A3" s="12" t="s">
        <v>649</v>
      </c>
      <c r="B3" t="s">
        <v>657</v>
      </c>
      <c r="C3" t="s">
        <v>658</v>
      </c>
    </row>
    <row r="4" spans="1:3" x14ac:dyDescent="0.25">
      <c r="A4" s="13" t="s">
        <v>651</v>
      </c>
      <c r="B4">
        <v>291</v>
      </c>
      <c r="C4">
        <v>48</v>
      </c>
    </row>
    <row r="5" spans="1:3" x14ac:dyDescent="0.25">
      <c r="A5" s="13" t="s">
        <v>652</v>
      </c>
      <c r="B5">
        <v>1846</v>
      </c>
      <c r="C5">
        <v>43</v>
      </c>
    </row>
    <row r="6" spans="1:3" x14ac:dyDescent="0.25">
      <c r="A6" s="13" t="s">
        <v>653</v>
      </c>
      <c r="B6">
        <v>724</v>
      </c>
      <c r="C6">
        <v>9</v>
      </c>
    </row>
    <row r="7" spans="1:3" x14ac:dyDescent="0.25">
      <c r="A7" s="13" t="s">
        <v>654</v>
      </c>
      <c r="B7">
        <v>164</v>
      </c>
      <c r="C7">
        <v>28</v>
      </c>
    </row>
    <row r="8" spans="1:3" x14ac:dyDescent="0.25">
      <c r="A8" s="13" t="s">
        <v>655</v>
      </c>
      <c r="B8">
        <v>106</v>
      </c>
      <c r="C8">
        <v>6</v>
      </c>
    </row>
    <row r="9" spans="1:3" x14ac:dyDescent="0.25">
      <c r="A9" s="13" t="s">
        <v>656</v>
      </c>
      <c r="B9">
        <v>94</v>
      </c>
      <c r="C9">
        <v>6</v>
      </c>
    </row>
    <row r="10" spans="1:3" x14ac:dyDescent="0.25">
      <c r="A10" s="13" t="s">
        <v>648</v>
      </c>
      <c r="B10">
        <v>3225</v>
      </c>
      <c r="C10">
        <v>140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AB1E-DFB7-4B14-BF79-988AAAECE980}">
  <dimension ref="A1:U3226"/>
  <sheetViews>
    <sheetView tabSelected="1" topLeftCell="I1" workbookViewId="0">
      <selection activeCell="L1" sqref="L1"/>
    </sheetView>
  </sheetViews>
  <sheetFormatPr defaultRowHeight="15" x14ac:dyDescent="0.25"/>
  <cols>
    <col min="1" max="1" width="15.7109375" bestFit="1" customWidth="1"/>
    <col min="2" max="2" width="15.28515625" bestFit="1" customWidth="1"/>
    <col min="3" max="3" width="28.7109375" bestFit="1" customWidth="1"/>
    <col min="4" max="4" width="26.42578125" bestFit="1" customWidth="1"/>
    <col min="5" max="5" width="15.140625" style="1" bestFit="1" customWidth="1"/>
    <col min="6" max="6" width="14.140625" customWidth="1"/>
    <col min="7" max="7" width="18.42578125" bestFit="1" customWidth="1"/>
    <col min="8" max="9" width="14.28515625" bestFit="1" customWidth="1"/>
    <col min="10" max="10" width="8.140625" bestFit="1" customWidth="1"/>
    <col min="11" max="11" width="11.7109375" bestFit="1" customWidth="1"/>
    <col min="12" max="12" width="29.85546875" bestFit="1" customWidth="1"/>
    <col min="13" max="13" width="18.7109375" bestFit="1" customWidth="1"/>
    <col min="14" max="14" width="17" customWidth="1"/>
    <col min="15" max="15" width="13.28515625" customWidth="1"/>
    <col min="16" max="16" width="17.5703125" customWidth="1"/>
    <col min="17" max="17" width="21.5703125" customWidth="1"/>
    <col min="18" max="18" width="21.7109375" customWidth="1"/>
    <col min="19" max="19" width="27.42578125" customWidth="1"/>
    <col min="20" max="20" width="11.42578125" bestFit="1" customWidth="1"/>
    <col min="21" max="21" width="10.710937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644</v>
      </c>
      <c r="U1" s="2" t="s">
        <v>650</v>
      </c>
    </row>
    <row r="2" spans="1:21" x14ac:dyDescent="0.25">
      <c r="A2" s="4">
        <v>46132.386041666665</v>
      </c>
      <c r="B2" s="5" t="s">
        <v>19</v>
      </c>
      <c r="C2" s="5" t="s">
        <v>20</v>
      </c>
      <c r="D2" s="5">
        <v>1</v>
      </c>
      <c r="E2" s="6">
        <v>1</v>
      </c>
      <c r="F2" s="5">
        <v>1</v>
      </c>
      <c r="G2" s="7">
        <v>17766873544641</v>
      </c>
      <c r="H2" s="5" t="s">
        <v>21</v>
      </c>
      <c r="I2" s="5">
        <v>3003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26</v>
      </c>
      <c r="O2" s="5">
        <v>16</v>
      </c>
      <c r="P2" s="5"/>
      <c r="Q2" s="5"/>
      <c r="R2" s="8">
        <v>2.199074074074074E-4</v>
      </c>
      <c r="S2" s="8">
        <v>1.8518518518518518E-4</v>
      </c>
      <c r="T2" t="str">
        <f>IF(Tabela1[[#This Row],[STATUS_NEGOCIO]]="Enviar E-mail",1,"")</f>
        <v/>
      </c>
      <c r="U2" t="str">
        <f>TEXT(Tabela1[[#This Row],[DATA]],"dd/mm/aaaa")</f>
        <v>20/04/2026</v>
      </c>
    </row>
    <row r="3" spans="1:21" x14ac:dyDescent="0.25">
      <c r="A3" s="4">
        <v>46132.399224537039</v>
      </c>
      <c r="B3" s="5" t="s">
        <v>19</v>
      </c>
      <c r="C3" s="5" t="s">
        <v>27</v>
      </c>
      <c r="D3" s="5"/>
      <c r="E3" s="6"/>
      <c r="F3" s="5">
        <v>2761431712</v>
      </c>
      <c r="G3" s="7">
        <v>17766884936461</v>
      </c>
      <c r="H3" s="5" t="s">
        <v>29</v>
      </c>
      <c r="I3" s="5" t="s">
        <v>28</v>
      </c>
      <c r="J3" s="5" t="s">
        <v>30</v>
      </c>
      <c r="K3" s="5" t="s">
        <v>23</v>
      </c>
      <c r="L3" s="5" t="s">
        <v>31</v>
      </c>
      <c r="M3" s="5"/>
      <c r="N3" s="5" t="s">
        <v>32</v>
      </c>
      <c r="O3" s="5">
        <v>16</v>
      </c>
      <c r="P3" s="5"/>
      <c r="Q3" s="5"/>
      <c r="R3" s="8">
        <v>7.407407407407407E-4</v>
      </c>
      <c r="S3" s="8">
        <v>4.861111111111111E-4</v>
      </c>
      <c r="T3" t="str">
        <f>IF(Tabela1[[#This Row],[STATUS_NEGOCIO]]="Enviar E-mail",1,"")</f>
        <v/>
      </c>
      <c r="U3" t="str">
        <f>TEXT(Tabela1[[#This Row],[DATA]],"dd/mm/aaaa")</f>
        <v>20/04/2026</v>
      </c>
    </row>
    <row r="4" spans="1:21" x14ac:dyDescent="0.25">
      <c r="A4" s="4">
        <v>46132.399502314816</v>
      </c>
      <c r="B4" s="5" t="s">
        <v>19</v>
      </c>
      <c r="C4" s="5" t="s">
        <v>20</v>
      </c>
      <c r="D4" s="5"/>
      <c r="E4" s="6"/>
      <c r="F4" s="5">
        <v>2776525487</v>
      </c>
      <c r="G4" s="7">
        <v>17766885176521</v>
      </c>
      <c r="H4" s="5" t="s">
        <v>33</v>
      </c>
      <c r="I4" s="5" t="s">
        <v>28</v>
      </c>
      <c r="J4" s="5" t="s">
        <v>30</v>
      </c>
      <c r="K4" s="5" t="s">
        <v>23</v>
      </c>
      <c r="L4" s="5" t="s">
        <v>24</v>
      </c>
      <c r="M4" s="5"/>
      <c r="N4" s="5" t="s">
        <v>32</v>
      </c>
      <c r="O4" s="5">
        <v>16</v>
      </c>
      <c r="P4" s="5"/>
      <c r="Q4" s="5"/>
      <c r="R4" s="8">
        <v>6.2500000000000001E-4</v>
      </c>
      <c r="S4" s="8">
        <v>3.0092592592592595E-4</v>
      </c>
      <c r="T4" t="str">
        <f>IF(Tabela1[[#This Row],[STATUS_NEGOCIO]]="Enviar E-mail",1,"")</f>
        <v/>
      </c>
      <c r="U4" t="str">
        <f>TEXT(Tabela1[[#This Row],[DATA]],"dd/mm/aaaa")</f>
        <v>20/04/2026</v>
      </c>
    </row>
    <row r="5" spans="1:21" x14ac:dyDescent="0.25">
      <c r="A5" s="4">
        <v>46132.400891203702</v>
      </c>
      <c r="B5" s="5" t="s">
        <v>19</v>
      </c>
      <c r="C5" s="5" t="s">
        <v>27</v>
      </c>
      <c r="D5" s="5"/>
      <c r="E5" s="6"/>
      <c r="F5" s="5">
        <v>2774907115</v>
      </c>
      <c r="G5" s="7">
        <v>17766886376691</v>
      </c>
      <c r="H5" s="5" t="s">
        <v>34</v>
      </c>
      <c r="I5" s="5" t="s">
        <v>28</v>
      </c>
      <c r="J5" s="5" t="s">
        <v>30</v>
      </c>
      <c r="K5" s="5" t="s">
        <v>23</v>
      </c>
      <c r="L5" s="5" t="s">
        <v>31</v>
      </c>
      <c r="M5" s="5"/>
      <c r="N5" s="5" t="s">
        <v>32</v>
      </c>
      <c r="O5" s="5">
        <v>16</v>
      </c>
      <c r="P5" s="5"/>
      <c r="Q5" s="5"/>
      <c r="R5" s="8">
        <v>6.2500000000000001E-4</v>
      </c>
      <c r="S5" s="8">
        <v>1.9675925925925926E-4</v>
      </c>
      <c r="T5" t="str">
        <f>IF(Tabela1[[#This Row],[STATUS_NEGOCIO]]="Enviar E-mail",1,"")</f>
        <v/>
      </c>
      <c r="U5" t="str">
        <f>TEXT(Tabela1[[#This Row],[DATA]],"dd/mm/aaaa")</f>
        <v>20/04/2026</v>
      </c>
    </row>
    <row r="6" spans="1:21" x14ac:dyDescent="0.25">
      <c r="A6" s="4">
        <v>46132.400972222225</v>
      </c>
      <c r="B6" s="5" t="s">
        <v>19</v>
      </c>
      <c r="C6" s="5" t="s">
        <v>20</v>
      </c>
      <c r="D6" s="5"/>
      <c r="E6" s="6"/>
      <c r="F6" s="5">
        <v>2746674497</v>
      </c>
      <c r="G6" s="7">
        <v>17766886446711</v>
      </c>
      <c r="H6" s="5" t="s">
        <v>35</v>
      </c>
      <c r="I6" s="5" t="s">
        <v>28</v>
      </c>
      <c r="J6" s="5" t="s">
        <v>30</v>
      </c>
      <c r="K6" s="5" t="s">
        <v>23</v>
      </c>
      <c r="L6" s="5" t="s">
        <v>24</v>
      </c>
      <c r="M6" s="5"/>
      <c r="N6" s="5" t="s">
        <v>32</v>
      </c>
      <c r="O6" s="5">
        <v>16</v>
      </c>
      <c r="P6" s="5"/>
      <c r="Q6" s="5"/>
      <c r="R6" s="8">
        <v>2.5462962962962961E-4</v>
      </c>
      <c r="S6" s="8">
        <v>1.5046296296296297E-4</v>
      </c>
      <c r="T6" t="str">
        <f>IF(Tabela1[[#This Row],[STATUS_NEGOCIO]]="Enviar E-mail",1,"")</f>
        <v/>
      </c>
      <c r="U6" t="str">
        <f>TEXT(Tabela1[[#This Row],[DATA]],"dd/mm/aaaa")</f>
        <v>20/04/2026</v>
      </c>
    </row>
    <row r="7" spans="1:21" x14ac:dyDescent="0.25">
      <c r="A7" s="4">
        <v>46132.401782407411</v>
      </c>
      <c r="B7" s="5" t="s">
        <v>19</v>
      </c>
      <c r="C7" s="5" t="s">
        <v>20</v>
      </c>
      <c r="D7" s="5"/>
      <c r="E7" s="6"/>
      <c r="F7" s="5">
        <v>2776525684</v>
      </c>
      <c r="G7" s="7">
        <v>17766887146851</v>
      </c>
      <c r="H7" s="5" t="s">
        <v>33</v>
      </c>
      <c r="I7" s="5" t="s">
        <v>28</v>
      </c>
      <c r="J7" s="5" t="s">
        <v>30</v>
      </c>
      <c r="K7" s="5" t="s">
        <v>36</v>
      </c>
      <c r="L7" s="5" t="s">
        <v>36</v>
      </c>
      <c r="M7" s="5"/>
      <c r="N7" s="5" t="s">
        <v>32</v>
      </c>
      <c r="O7" s="5">
        <v>19</v>
      </c>
      <c r="P7" s="5"/>
      <c r="Q7" s="5"/>
      <c r="R7" s="8">
        <v>2.6620370370370372E-4</v>
      </c>
      <c r="S7" s="5" t="s">
        <v>37</v>
      </c>
      <c r="T7" t="str">
        <f>IF(Tabela1[[#This Row],[STATUS_NEGOCIO]]="Enviar E-mail",1,"")</f>
        <v/>
      </c>
      <c r="U7" t="str">
        <f>TEXT(Tabela1[[#This Row],[DATA]],"dd/mm/aaaa")</f>
        <v>20/04/2026</v>
      </c>
    </row>
    <row r="8" spans="1:21" x14ac:dyDescent="0.25">
      <c r="A8" s="4">
        <v>46132.401932870373</v>
      </c>
      <c r="B8" s="5" t="s">
        <v>19</v>
      </c>
      <c r="C8" s="5" t="s">
        <v>27</v>
      </c>
      <c r="D8" s="5"/>
      <c r="E8" s="6"/>
      <c r="F8" s="5">
        <v>2776520152</v>
      </c>
      <c r="G8" s="7">
        <v>17766887276871</v>
      </c>
      <c r="H8" s="5" t="s">
        <v>38</v>
      </c>
      <c r="I8" s="5" t="s">
        <v>28</v>
      </c>
      <c r="J8" s="5" t="s">
        <v>30</v>
      </c>
      <c r="K8" s="5" t="s">
        <v>23</v>
      </c>
      <c r="L8" s="5" t="s">
        <v>31</v>
      </c>
      <c r="M8" s="5"/>
      <c r="N8" s="5" t="s">
        <v>32</v>
      </c>
      <c r="O8" s="5">
        <v>16</v>
      </c>
      <c r="P8" s="5"/>
      <c r="Q8" s="5"/>
      <c r="R8" s="8">
        <v>4.7453703703703704E-4</v>
      </c>
      <c r="S8" s="8">
        <v>5.7870370370370373E-5</v>
      </c>
      <c r="T8" t="str">
        <f>IF(Tabela1[[#This Row],[STATUS_NEGOCIO]]="Enviar E-mail",1,"")</f>
        <v/>
      </c>
      <c r="U8" t="str">
        <f>TEXT(Tabela1[[#This Row],[DATA]],"dd/mm/aaaa")</f>
        <v>20/04/2026</v>
      </c>
    </row>
    <row r="9" spans="1:21" x14ac:dyDescent="0.25">
      <c r="A9" s="4">
        <v>46132.403449074074</v>
      </c>
      <c r="B9" s="5" t="s">
        <v>19</v>
      </c>
      <c r="C9" s="5" t="s">
        <v>20</v>
      </c>
      <c r="D9" s="5"/>
      <c r="E9" s="6"/>
      <c r="F9" s="5">
        <v>2764934899</v>
      </c>
      <c r="G9" s="7">
        <v>17766888587201</v>
      </c>
      <c r="H9" s="5" t="s">
        <v>39</v>
      </c>
      <c r="I9" s="5" t="s">
        <v>28</v>
      </c>
      <c r="J9" s="5" t="s">
        <v>30</v>
      </c>
      <c r="K9" s="5" t="s">
        <v>23</v>
      </c>
      <c r="L9" s="5" t="s">
        <v>40</v>
      </c>
      <c r="M9" s="5"/>
      <c r="N9" s="5" t="s">
        <v>32</v>
      </c>
      <c r="O9" s="5">
        <v>16</v>
      </c>
      <c r="P9" s="5"/>
      <c r="Q9" s="5"/>
      <c r="R9" s="8">
        <v>2.3032407407407407E-3</v>
      </c>
      <c r="S9" s="8">
        <v>2.2453703703703702E-3</v>
      </c>
      <c r="T9">
        <f>IF(Tabela1[[#This Row],[STATUS_NEGOCIO]]="Enviar E-mail",1,"")</f>
        <v>1</v>
      </c>
      <c r="U9" t="str">
        <f>TEXT(Tabela1[[#This Row],[DATA]],"dd/mm/aaaa")</f>
        <v>20/04/2026</v>
      </c>
    </row>
    <row r="10" spans="1:21" x14ac:dyDescent="0.25">
      <c r="A10" s="4">
        <v>46132.405439814815</v>
      </c>
      <c r="B10" s="5" t="s">
        <v>19</v>
      </c>
      <c r="C10" s="5" t="s">
        <v>27</v>
      </c>
      <c r="D10" s="5"/>
      <c r="E10" s="6"/>
      <c r="F10" s="5">
        <v>2774938445</v>
      </c>
      <c r="G10" s="7">
        <v>17766890307491</v>
      </c>
      <c r="H10" s="5" t="s">
        <v>41</v>
      </c>
      <c r="I10" s="5" t="s">
        <v>28</v>
      </c>
      <c r="J10" s="5" t="s">
        <v>30</v>
      </c>
      <c r="K10" s="5" t="s">
        <v>23</v>
      </c>
      <c r="L10" s="5" t="s">
        <v>31</v>
      </c>
      <c r="M10" s="5"/>
      <c r="N10" s="5" t="s">
        <v>32</v>
      </c>
      <c r="O10" s="5">
        <v>16</v>
      </c>
      <c r="P10" s="5"/>
      <c r="Q10" s="5"/>
      <c r="R10" s="8">
        <v>5.3240740740740744E-4</v>
      </c>
      <c r="S10" s="8">
        <v>1.0416666666666667E-4</v>
      </c>
      <c r="T10" t="str">
        <f>IF(Tabela1[[#This Row],[STATUS_NEGOCIO]]="Enviar E-mail",1,"")</f>
        <v/>
      </c>
      <c r="U10" t="str">
        <f>TEXT(Tabela1[[#This Row],[DATA]],"dd/mm/aaaa")</f>
        <v>20/04/2026</v>
      </c>
    </row>
    <row r="11" spans="1:21" x14ac:dyDescent="0.25">
      <c r="A11" s="4">
        <v>46132.406354166669</v>
      </c>
      <c r="B11" s="5" t="s">
        <v>19</v>
      </c>
      <c r="C11" s="5" t="s">
        <v>27</v>
      </c>
      <c r="D11" s="5"/>
      <c r="E11" s="6"/>
      <c r="F11" s="5">
        <v>2758422530</v>
      </c>
      <c r="G11" s="7">
        <v>17766891097531</v>
      </c>
      <c r="H11" s="5" t="s">
        <v>42</v>
      </c>
      <c r="I11" s="5" t="s">
        <v>28</v>
      </c>
      <c r="J11" s="5" t="s">
        <v>30</v>
      </c>
      <c r="K11" s="5" t="s">
        <v>23</v>
      </c>
      <c r="L11" s="5" t="s">
        <v>40</v>
      </c>
      <c r="M11" s="5"/>
      <c r="N11" s="5" t="s">
        <v>32</v>
      </c>
      <c r="O11" s="5">
        <v>16</v>
      </c>
      <c r="P11" s="5"/>
      <c r="Q11" s="5"/>
      <c r="R11" s="8">
        <v>1.7476851851851852E-3</v>
      </c>
      <c r="S11" s="8">
        <v>1.6782407407407408E-3</v>
      </c>
      <c r="T11">
        <f>IF(Tabela1[[#This Row],[STATUS_NEGOCIO]]="Enviar E-mail",1,"")</f>
        <v>1</v>
      </c>
      <c r="U11" t="str">
        <f>TEXT(Tabela1[[#This Row],[DATA]],"dd/mm/aaaa")</f>
        <v>20/04/2026</v>
      </c>
    </row>
    <row r="12" spans="1:21" x14ac:dyDescent="0.25">
      <c r="A12" s="4">
        <v>46132.408136574071</v>
      </c>
      <c r="B12" s="5" t="s">
        <v>19</v>
      </c>
      <c r="C12" s="5" t="s">
        <v>20</v>
      </c>
      <c r="D12" s="5"/>
      <c r="E12" s="6"/>
      <c r="F12" s="5">
        <v>2776093403</v>
      </c>
      <c r="G12" s="7">
        <v>17766892637691</v>
      </c>
      <c r="H12" s="5" t="s">
        <v>43</v>
      </c>
      <c r="I12" s="5" t="s">
        <v>28</v>
      </c>
      <c r="J12" s="5" t="s">
        <v>30</v>
      </c>
      <c r="K12" s="5" t="s">
        <v>36</v>
      </c>
      <c r="L12" s="5" t="s">
        <v>36</v>
      </c>
      <c r="M12" s="5"/>
      <c r="N12" s="5" t="s">
        <v>32</v>
      </c>
      <c r="O12" s="5">
        <v>19</v>
      </c>
      <c r="P12" s="5"/>
      <c r="Q12" s="5"/>
      <c r="R12" s="8">
        <v>4.1666666666666669E-4</v>
      </c>
      <c r="S12" s="5" t="s">
        <v>37</v>
      </c>
      <c r="T12" t="str">
        <f>IF(Tabela1[[#This Row],[STATUS_NEGOCIO]]="Enviar E-mail",1,"")</f>
        <v/>
      </c>
      <c r="U12" t="str">
        <f>TEXT(Tabela1[[#This Row],[DATA]],"dd/mm/aaaa")</f>
        <v>20/04/2026</v>
      </c>
    </row>
    <row r="13" spans="1:21" x14ac:dyDescent="0.25">
      <c r="A13" s="4">
        <v>46132.408715277779</v>
      </c>
      <c r="B13" s="5" t="s">
        <v>19</v>
      </c>
      <c r="C13" s="5" t="s">
        <v>20</v>
      </c>
      <c r="D13" s="5"/>
      <c r="E13" s="6"/>
      <c r="F13" s="5">
        <v>2776093453</v>
      </c>
      <c r="G13" s="7">
        <v>17766893137721</v>
      </c>
      <c r="H13" s="5" t="s">
        <v>43</v>
      </c>
      <c r="I13" s="5" t="s">
        <v>28</v>
      </c>
      <c r="J13" s="5" t="s">
        <v>30</v>
      </c>
      <c r="K13" s="5" t="s">
        <v>23</v>
      </c>
      <c r="L13" s="5" t="s">
        <v>44</v>
      </c>
      <c r="M13" s="5"/>
      <c r="N13" s="5" t="s">
        <v>32</v>
      </c>
      <c r="O13" s="5">
        <v>16</v>
      </c>
      <c r="P13" s="5"/>
      <c r="Q13" s="5"/>
      <c r="R13" s="8">
        <v>5.2083333333333333E-4</v>
      </c>
      <c r="S13" s="8">
        <v>9.2592592592592588E-5</v>
      </c>
      <c r="T13" t="str">
        <f>IF(Tabela1[[#This Row],[STATUS_NEGOCIO]]="Enviar E-mail",1,"")</f>
        <v/>
      </c>
      <c r="U13" t="str">
        <f>TEXT(Tabela1[[#This Row],[DATA]],"dd/mm/aaaa")</f>
        <v>20/04/2026</v>
      </c>
    </row>
    <row r="14" spans="1:21" x14ac:dyDescent="0.25">
      <c r="A14" s="4">
        <v>46132.409594907411</v>
      </c>
      <c r="B14" s="5" t="s">
        <v>19</v>
      </c>
      <c r="C14" s="5" t="s">
        <v>20</v>
      </c>
      <c r="D14" s="5"/>
      <c r="E14" s="6"/>
      <c r="F14" s="5">
        <v>2774100613</v>
      </c>
      <c r="G14" s="7">
        <v>17766893897931</v>
      </c>
      <c r="H14" s="5" t="s">
        <v>45</v>
      </c>
      <c r="I14" s="5" t="s">
        <v>28</v>
      </c>
      <c r="J14" s="5" t="s">
        <v>30</v>
      </c>
      <c r="K14" s="5" t="s">
        <v>36</v>
      </c>
      <c r="L14" s="5" t="s">
        <v>36</v>
      </c>
      <c r="M14" s="5"/>
      <c r="N14" s="5" t="s">
        <v>32</v>
      </c>
      <c r="O14" s="5">
        <v>19</v>
      </c>
      <c r="P14" s="5"/>
      <c r="Q14" s="5"/>
      <c r="R14" s="8">
        <v>2.6620370370370372E-4</v>
      </c>
      <c r="S14" s="5" t="s">
        <v>37</v>
      </c>
      <c r="T14" t="str">
        <f>IF(Tabela1[[#This Row],[STATUS_NEGOCIO]]="Enviar E-mail",1,"")</f>
        <v/>
      </c>
      <c r="U14" t="str">
        <f>TEXT(Tabela1[[#This Row],[DATA]],"dd/mm/aaaa")</f>
        <v>20/04/2026</v>
      </c>
    </row>
    <row r="15" spans="1:21" x14ac:dyDescent="0.25">
      <c r="A15" s="4">
        <v>46132.410578703704</v>
      </c>
      <c r="B15" s="5" t="s">
        <v>19</v>
      </c>
      <c r="C15" s="5" t="s">
        <v>27</v>
      </c>
      <c r="D15" s="5"/>
      <c r="E15" s="6"/>
      <c r="F15" s="5">
        <v>2769608750</v>
      </c>
      <c r="G15" s="7">
        <v>17766894748151</v>
      </c>
      <c r="H15" s="5" t="s">
        <v>46</v>
      </c>
      <c r="I15" s="5" t="s">
        <v>28</v>
      </c>
      <c r="J15" s="5" t="s">
        <v>30</v>
      </c>
      <c r="K15" s="5" t="s">
        <v>23</v>
      </c>
      <c r="L15" s="5" t="s">
        <v>31</v>
      </c>
      <c r="M15" s="5"/>
      <c r="N15" s="5" t="s">
        <v>32</v>
      </c>
      <c r="O15" s="5">
        <v>16</v>
      </c>
      <c r="P15" s="5"/>
      <c r="Q15" s="5"/>
      <c r="R15" s="8">
        <v>4.9768518518518521E-4</v>
      </c>
      <c r="S15" s="8">
        <v>8.1018518518518516E-5</v>
      </c>
      <c r="T15" t="str">
        <f>IF(Tabela1[[#This Row],[STATUS_NEGOCIO]]="Enviar E-mail",1,"")</f>
        <v/>
      </c>
      <c r="U15" t="str">
        <f>TEXT(Tabela1[[#This Row],[DATA]],"dd/mm/aaaa")</f>
        <v>20/04/2026</v>
      </c>
    </row>
    <row r="16" spans="1:21" x14ac:dyDescent="0.25">
      <c r="A16" s="4">
        <v>46132.410613425927</v>
      </c>
      <c r="B16" s="5" t="s">
        <v>19</v>
      </c>
      <c r="C16" s="5" t="s">
        <v>20</v>
      </c>
      <c r="D16" s="5"/>
      <c r="E16" s="6"/>
      <c r="F16" s="5">
        <v>2774100700</v>
      </c>
      <c r="G16" s="7">
        <v>17766894778181</v>
      </c>
      <c r="H16" s="5" t="s">
        <v>45</v>
      </c>
      <c r="I16" s="5" t="s">
        <v>28</v>
      </c>
      <c r="J16" s="5" t="s">
        <v>30</v>
      </c>
      <c r="K16" s="5" t="s">
        <v>36</v>
      </c>
      <c r="L16" s="5" t="s">
        <v>36</v>
      </c>
      <c r="M16" s="5"/>
      <c r="N16" s="5" t="s">
        <v>32</v>
      </c>
      <c r="O16" s="5">
        <v>19</v>
      </c>
      <c r="P16" s="5"/>
      <c r="Q16" s="5"/>
      <c r="R16" s="8">
        <v>1.9675925925925926E-4</v>
      </c>
      <c r="S16" s="5" t="s">
        <v>37</v>
      </c>
      <c r="T16" t="str">
        <f>IF(Tabela1[[#This Row],[STATUS_NEGOCIO]]="Enviar E-mail",1,"")</f>
        <v/>
      </c>
      <c r="U16" t="str">
        <f>TEXT(Tabela1[[#This Row],[DATA]],"dd/mm/aaaa")</f>
        <v>20/04/2026</v>
      </c>
    </row>
    <row r="17" spans="1:21" x14ac:dyDescent="0.25">
      <c r="A17" s="4">
        <v>46132.412997685184</v>
      </c>
      <c r="B17" s="5" t="s">
        <v>19</v>
      </c>
      <c r="C17" s="5" t="s">
        <v>27</v>
      </c>
      <c r="D17" s="5"/>
      <c r="E17" s="6"/>
      <c r="F17" s="5">
        <v>2764931219</v>
      </c>
      <c r="G17" s="7">
        <v>17766896838341</v>
      </c>
      <c r="H17" s="5" t="s">
        <v>47</v>
      </c>
      <c r="I17" s="5" t="s">
        <v>28</v>
      </c>
      <c r="J17" s="5" t="s">
        <v>30</v>
      </c>
      <c r="K17" s="5" t="s">
        <v>23</v>
      </c>
      <c r="L17" s="5" t="s">
        <v>31</v>
      </c>
      <c r="M17" s="5"/>
      <c r="N17" s="5" t="s">
        <v>32</v>
      </c>
      <c r="O17" s="5">
        <v>16</v>
      </c>
      <c r="P17" s="5"/>
      <c r="Q17" s="5"/>
      <c r="R17" s="8">
        <v>5.5555555555555556E-4</v>
      </c>
      <c r="S17" s="8">
        <v>1.0416666666666667E-4</v>
      </c>
      <c r="T17" t="str">
        <f>IF(Tabela1[[#This Row],[STATUS_NEGOCIO]]="Enviar E-mail",1,"")</f>
        <v/>
      </c>
      <c r="U17" t="str">
        <f>TEXT(Tabela1[[#This Row],[DATA]],"dd/mm/aaaa")</f>
        <v>20/04/2026</v>
      </c>
    </row>
    <row r="18" spans="1:21" x14ac:dyDescent="0.25">
      <c r="A18" s="4">
        <v>46132.414131944446</v>
      </c>
      <c r="B18" s="5" t="s">
        <v>19</v>
      </c>
      <c r="C18" s="5" t="s">
        <v>27</v>
      </c>
      <c r="D18" s="5"/>
      <c r="E18" s="6"/>
      <c r="F18" s="5">
        <v>2776331224</v>
      </c>
      <c r="G18" s="7">
        <v>17766897818731</v>
      </c>
      <c r="H18" s="5" t="s">
        <v>48</v>
      </c>
      <c r="I18" s="5" t="s">
        <v>28</v>
      </c>
      <c r="J18" s="5" t="s">
        <v>30</v>
      </c>
      <c r="K18" s="5" t="s">
        <v>23</v>
      </c>
      <c r="L18" s="5" t="s">
        <v>31</v>
      </c>
      <c r="M18" s="5"/>
      <c r="N18" s="5" t="s">
        <v>26</v>
      </c>
      <c r="O18" s="5">
        <v>16</v>
      </c>
      <c r="P18" s="5"/>
      <c r="Q18" s="5"/>
      <c r="R18" s="8">
        <v>3.1250000000000001E-4</v>
      </c>
      <c r="S18" s="8">
        <v>1.1574074074074075E-4</v>
      </c>
      <c r="T18" t="str">
        <f>IF(Tabela1[[#This Row],[STATUS_NEGOCIO]]="Enviar E-mail",1,"")</f>
        <v/>
      </c>
      <c r="U18" t="str">
        <f>TEXT(Tabela1[[#This Row],[DATA]],"dd/mm/aaaa")</f>
        <v>20/04/2026</v>
      </c>
    </row>
    <row r="19" spans="1:21" x14ac:dyDescent="0.25">
      <c r="A19" s="4">
        <v>46132.414780092593</v>
      </c>
      <c r="B19" s="5" t="s">
        <v>19</v>
      </c>
      <c r="C19" s="5" t="s">
        <v>27</v>
      </c>
      <c r="D19" s="5"/>
      <c r="E19" s="6"/>
      <c r="F19" s="5">
        <v>2776521263</v>
      </c>
      <c r="G19" s="7">
        <v>17766898378861</v>
      </c>
      <c r="H19" s="5" t="s">
        <v>38</v>
      </c>
      <c r="I19" s="5" t="s">
        <v>28</v>
      </c>
      <c r="J19" s="5" t="s">
        <v>30</v>
      </c>
      <c r="K19" s="5" t="s">
        <v>23</v>
      </c>
      <c r="L19" s="5" t="s">
        <v>44</v>
      </c>
      <c r="M19" s="5"/>
      <c r="N19" s="5" t="s">
        <v>26</v>
      </c>
      <c r="O19" s="5">
        <v>16</v>
      </c>
      <c r="P19" s="5"/>
      <c r="Q19" s="5"/>
      <c r="R19" s="8">
        <v>5.3240740740740744E-4</v>
      </c>
      <c r="S19" s="8">
        <v>1.1574074074074075E-4</v>
      </c>
      <c r="T19" t="str">
        <f>IF(Tabela1[[#This Row],[STATUS_NEGOCIO]]="Enviar E-mail",1,"")</f>
        <v/>
      </c>
      <c r="U19" t="str">
        <f>TEXT(Tabela1[[#This Row],[DATA]],"dd/mm/aaaa")</f>
        <v>20/04/2026</v>
      </c>
    </row>
    <row r="20" spans="1:21" x14ac:dyDescent="0.25">
      <c r="A20" s="4">
        <v>46132.415833333333</v>
      </c>
      <c r="B20" s="5" t="s">
        <v>19</v>
      </c>
      <c r="C20" s="5" t="s">
        <v>27</v>
      </c>
      <c r="D20" s="5"/>
      <c r="E20" s="6"/>
      <c r="F20" s="5">
        <v>2761471803</v>
      </c>
      <c r="G20" s="7">
        <v>17766899289071</v>
      </c>
      <c r="H20" s="5" t="s">
        <v>49</v>
      </c>
      <c r="I20" s="5" t="s">
        <v>28</v>
      </c>
      <c r="J20" s="5" t="s">
        <v>30</v>
      </c>
      <c r="K20" s="5" t="s">
        <v>23</v>
      </c>
      <c r="L20" s="5" t="s">
        <v>44</v>
      </c>
      <c r="M20" s="5"/>
      <c r="N20" s="5" t="s">
        <v>26</v>
      </c>
      <c r="O20" s="5">
        <v>16</v>
      </c>
      <c r="P20" s="5"/>
      <c r="Q20" s="5"/>
      <c r="R20" s="8">
        <v>2.5462962962962961E-4</v>
      </c>
      <c r="S20" s="8">
        <v>1.5046296296296297E-4</v>
      </c>
      <c r="T20" t="str">
        <f>IF(Tabela1[[#This Row],[STATUS_NEGOCIO]]="Enviar E-mail",1,"")</f>
        <v/>
      </c>
      <c r="U20" t="str">
        <f>TEXT(Tabela1[[#This Row],[DATA]],"dd/mm/aaaa")</f>
        <v>20/04/2026</v>
      </c>
    </row>
    <row r="21" spans="1:21" x14ac:dyDescent="0.25">
      <c r="A21" s="4">
        <v>46132.416620370372</v>
      </c>
      <c r="B21" s="5" t="s">
        <v>19</v>
      </c>
      <c r="C21" s="5" t="s">
        <v>27</v>
      </c>
      <c r="D21" s="5"/>
      <c r="E21" s="6"/>
      <c r="F21" s="5">
        <v>2761471871</v>
      </c>
      <c r="G21" s="7">
        <v>17766899969171</v>
      </c>
      <c r="H21" s="5" t="s">
        <v>49</v>
      </c>
      <c r="I21" s="5" t="s">
        <v>28</v>
      </c>
      <c r="J21" s="5" t="s">
        <v>30</v>
      </c>
      <c r="K21" s="5" t="s">
        <v>23</v>
      </c>
      <c r="L21" s="5" t="s">
        <v>44</v>
      </c>
      <c r="M21" s="5"/>
      <c r="N21" s="5" t="s">
        <v>26</v>
      </c>
      <c r="O21" s="5">
        <v>16</v>
      </c>
      <c r="P21" s="5"/>
      <c r="Q21" s="5"/>
      <c r="R21" s="8">
        <v>3.4722222222222224E-4</v>
      </c>
      <c r="S21" s="8">
        <v>2.8935185185185184E-4</v>
      </c>
      <c r="T21" t="str">
        <f>IF(Tabela1[[#This Row],[STATUS_NEGOCIO]]="Enviar E-mail",1,"")</f>
        <v/>
      </c>
      <c r="U21" t="str">
        <f>TEXT(Tabela1[[#This Row],[DATA]],"dd/mm/aaaa")</f>
        <v>20/04/2026</v>
      </c>
    </row>
    <row r="22" spans="1:21" x14ac:dyDescent="0.25">
      <c r="A22" s="4">
        <v>46132.387488425928</v>
      </c>
      <c r="B22" s="5" t="s">
        <v>19</v>
      </c>
      <c r="C22" s="5" t="s">
        <v>37</v>
      </c>
      <c r="D22" s="5" t="s">
        <v>50</v>
      </c>
      <c r="E22" s="6">
        <v>59407605000144</v>
      </c>
      <c r="F22" s="5">
        <v>2</v>
      </c>
      <c r="G22" s="7">
        <v>17766873834671</v>
      </c>
      <c r="H22" s="5" t="s">
        <v>38</v>
      </c>
      <c r="I22" s="5">
        <v>3003</v>
      </c>
      <c r="J22" s="5" t="s">
        <v>22</v>
      </c>
      <c r="K22" s="5" t="s">
        <v>23</v>
      </c>
      <c r="L22" s="5" t="s">
        <v>31</v>
      </c>
      <c r="M22" s="5" t="s">
        <v>25</v>
      </c>
      <c r="N22" s="5" t="s">
        <v>32</v>
      </c>
      <c r="O22" s="5">
        <v>131</v>
      </c>
      <c r="P22" s="5"/>
      <c r="Q22" s="5"/>
      <c r="R22" s="8">
        <v>6.9444444444444447E-4</v>
      </c>
      <c r="S22" s="5" t="s">
        <v>37</v>
      </c>
      <c r="T22" t="str">
        <f>IF(Tabela1[[#This Row],[STATUS_NEGOCIO]]="Enviar E-mail",1,"")</f>
        <v/>
      </c>
      <c r="U22" t="str">
        <f>TEXT(Tabela1[[#This Row],[DATA]],"dd/mm/aaaa")</f>
        <v>20/04/2026</v>
      </c>
    </row>
    <row r="23" spans="1:21" x14ac:dyDescent="0.25">
      <c r="A23" s="4">
        <v>46132.387499999997</v>
      </c>
      <c r="B23" s="5" t="s">
        <v>19</v>
      </c>
      <c r="C23" s="5" t="s">
        <v>37</v>
      </c>
      <c r="D23" s="5" t="s">
        <v>51</v>
      </c>
      <c r="E23" s="6">
        <v>23884500000139</v>
      </c>
      <c r="F23" s="5">
        <v>3</v>
      </c>
      <c r="G23" s="7">
        <v>17766874805171</v>
      </c>
      <c r="H23" s="5" t="s">
        <v>47</v>
      </c>
      <c r="I23" s="5" t="s">
        <v>52</v>
      </c>
      <c r="J23" s="5" t="s">
        <v>22</v>
      </c>
      <c r="K23" s="5" t="s">
        <v>36</v>
      </c>
      <c r="L23" s="5" t="s">
        <v>36</v>
      </c>
      <c r="M23" s="5" t="s">
        <v>25</v>
      </c>
      <c r="N23" s="5" t="s">
        <v>53</v>
      </c>
      <c r="O23" s="5">
        <v>19</v>
      </c>
      <c r="P23" s="5"/>
      <c r="Q23" s="5"/>
      <c r="R23" s="8">
        <v>0</v>
      </c>
      <c r="S23" s="5" t="s">
        <v>37</v>
      </c>
      <c r="T23" t="str">
        <f>IF(Tabela1[[#This Row],[STATUS_NEGOCIO]]="Enviar E-mail",1,"")</f>
        <v/>
      </c>
      <c r="U23" t="str">
        <f>TEXT(Tabela1[[#This Row],[DATA]],"dd/mm/aaaa")</f>
        <v>20/04/2026</v>
      </c>
    </row>
    <row r="24" spans="1:21" x14ac:dyDescent="0.25">
      <c r="A24" s="4">
        <v>46132.403865740744</v>
      </c>
      <c r="B24" s="5" t="s">
        <v>19</v>
      </c>
      <c r="C24" s="5" t="s">
        <v>37</v>
      </c>
      <c r="D24" s="5" t="s">
        <v>54</v>
      </c>
      <c r="E24" s="6">
        <v>24265410000122</v>
      </c>
      <c r="F24" s="5">
        <v>5</v>
      </c>
      <c r="G24" s="7">
        <v>17766888247081</v>
      </c>
      <c r="H24" s="5" t="s">
        <v>55</v>
      </c>
      <c r="I24" s="5">
        <v>3003</v>
      </c>
      <c r="J24" s="5" t="s">
        <v>22</v>
      </c>
      <c r="K24" s="5" t="s">
        <v>23</v>
      </c>
      <c r="L24" s="5" t="s">
        <v>31</v>
      </c>
      <c r="M24" s="5" t="s">
        <v>25</v>
      </c>
      <c r="N24" s="5" t="s">
        <v>32</v>
      </c>
      <c r="O24" s="5">
        <v>131</v>
      </c>
      <c r="P24" s="5"/>
      <c r="Q24" s="5"/>
      <c r="R24" s="8">
        <v>6.9444444444444447E-4</v>
      </c>
      <c r="S24" s="5" t="s">
        <v>37</v>
      </c>
      <c r="T24" t="str">
        <f>IF(Tabela1[[#This Row],[STATUS_NEGOCIO]]="Enviar E-mail",1,"")</f>
        <v/>
      </c>
      <c r="U24" t="str">
        <f>TEXT(Tabela1[[#This Row],[DATA]],"dd/mm/aaaa")</f>
        <v>20/04/2026</v>
      </c>
    </row>
    <row r="25" spans="1:21" x14ac:dyDescent="0.25">
      <c r="A25" s="4">
        <v>46132.404224537036</v>
      </c>
      <c r="B25" s="5" t="s">
        <v>19</v>
      </c>
      <c r="C25" s="5" t="s">
        <v>37</v>
      </c>
      <c r="D25" s="5" t="s">
        <v>56</v>
      </c>
      <c r="E25" s="6">
        <v>9082639000138</v>
      </c>
      <c r="F25" s="5">
        <v>4</v>
      </c>
      <c r="G25" s="7">
        <v>17766888247071</v>
      </c>
      <c r="H25" s="5" t="s">
        <v>41</v>
      </c>
      <c r="I25" s="5">
        <v>3003</v>
      </c>
      <c r="J25" s="5" t="s">
        <v>22</v>
      </c>
      <c r="K25" s="5" t="s">
        <v>23</v>
      </c>
      <c r="L25" s="5" t="s">
        <v>31</v>
      </c>
      <c r="M25" s="5" t="s">
        <v>25</v>
      </c>
      <c r="N25" s="5" t="s">
        <v>32</v>
      </c>
      <c r="O25" s="5">
        <v>131</v>
      </c>
      <c r="P25" s="5"/>
      <c r="Q25" s="5"/>
      <c r="R25" s="8">
        <v>7.291666666666667E-4</v>
      </c>
      <c r="S25" s="5" t="s">
        <v>37</v>
      </c>
      <c r="T25" t="str">
        <f>IF(Tabela1[[#This Row],[STATUS_NEGOCIO]]="Enviar E-mail",1,"")</f>
        <v/>
      </c>
      <c r="U25" t="str">
        <f>TEXT(Tabela1[[#This Row],[DATA]],"dd/mm/aaaa")</f>
        <v>20/04/2026</v>
      </c>
    </row>
    <row r="26" spans="1:21" x14ac:dyDescent="0.25">
      <c r="A26" s="4">
        <v>46132.417604166665</v>
      </c>
      <c r="B26" s="5" t="s">
        <v>19</v>
      </c>
      <c r="C26" s="5" t="s">
        <v>27</v>
      </c>
      <c r="D26" s="5"/>
      <c r="E26" s="6"/>
      <c r="F26" s="5">
        <v>2761471956</v>
      </c>
      <c r="G26" s="7">
        <v>17766900819411</v>
      </c>
      <c r="H26" s="5" t="s">
        <v>49</v>
      </c>
      <c r="I26" s="5" t="s">
        <v>28</v>
      </c>
      <c r="J26" s="5" t="s">
        <v>30</v>
      </c>
      <c r="K26" s="5" t="s">
        <v>23</v>
      </c>
      <c r="L26" s="5" t="s">
        <v>31</v>
      </c>
      <c r="M26" s="5"/>
      <c r="N26" s="5" t="s">
        <v>32</v>
      </c>
      <c r="O26" s="5">
        <v>16</v>
      </c>
      <c r="P26" s="5"/>
      <c r="Q26" s="5"/>
      <c r="R26" s="8">
        <v>5.0925925925925921E-4</v>
      </c>
      <c r="S26" s="8">
        <v>9.2592592592592588E-5</v>
      </c>
      <c r="T26" t="str">
        <f>IF(Tabela1[[#This Row],[STATUS_NEGOCIO]]="Enviar E-mail",1,"")</f>
        <v/>
      </c>
      <c r="U26" t="str">
        <f>TEXT(Tabela1[[#This Row],[DATA]],"dd/mm/aaaa")</f>
        <v>20/04/2026</v>
      </c>
    </row>
    <row r="27" spans="1:21" x14ac:dyDescent="0.25">
      <c r="A27" s="4">
        <v>46132.418333333335</v>
      </c>
      <c r="B27" s="5" t="s">
        <v>19</v>
      </c>
      <c r="C27" s="5" t="s">
        <v>27</v>
      </c>
      <c r="D27" s="5"/>
      <c r="E27" s="6"/>
      <c r="F27" s="5">
        <v>2776244273</v>
      </c>
      <c r="G27" s="7">
        <v>17766901449631</v>
      </c>
      <c r="H27" s="5" t="s">
        <v>57</v>
      </c>
      <c r="I27" s="5" t="s">
        <v>28</v>
      </c>
      <c r="J27" s="5" t="s">
        <v>30</v>
      </c>
      <c r="K27" s="5" t="s">
        <v>23</v>
      </c>
      <c r="L27" s="5" t="s">
        <v>31</v>
      </c>
      <c r="M27" s="5"/>
      <c r="N27" s="5" t="s">
        <v>26</v>
      </c>
      <c r="O27" s="5">
        <v>16</v>
      </c>
      <c r="P27" s="5"/>
      <c r="Q27" s="5"/>
      <c r="R27" s="8">
        <v>2.3148148148148149E-4</v>
      </c>
      <c r="S27" s="8">
        <v>1.1574074074074075E-4</v>
      </c>
      <c r="T27" t="str">
        <f>IF(Tabela1[[#This Row],[STATUS_NEGOCIO]]="Enviar E-mail",1,"")</f>
        <v/>
      </c>
      <c r="U27" t="str">
        <f>TEXT(Tabela1[[#This Row],[DATA]],"dd/mm/aaaa")</f>
        <v>20/04/2026</v>
      </c>
    </row>
    <row r="28" spans="1:21" x14ac:dyDescent="0.25">
      <c r="A28" s="4">
        <v>46132.418877314813</v>
      </c>
      <c r="B28" s="5" t="s">
        <v>19</v>
      </c>
      <c r="C28" s="5" t="s">
        <v>27</v>
      </c>
      <c r="D28" s="5"/>
      <c r="E28" s="6"/>
      <c r="F28" s="5">
        <v>2776687681</v>
      </c>
      <c r="G28" s="7">
        <v>177669019110001</v>
      </c>
      <c r="H28" s="5" t="s">
        <v>58</v>
      </c>
      <c r="I28" s="5" t="s">
        <v>28</v>
      </c>
      <c r="J28" s="5" t="s">
        <v>30</v>
      </c>
      <c r="K28" s="5" t="s">
        <v>23</v>
      </c>
      <c r="L28" s="5" t="s">
        <v>31</v>
      </c>
      <c r="M28" s="5"/>
      <c r="N28" s="5" t="s">
        <v>32</v>
      </c>
      <c r="O28" s="5">
        <v>16</v>
      </c>
      <c r="P28" s="5"/>
      <c r="Q28" s="5"/>
      <c r="R28" s="8">
        <v>2.199074074074074E-4</v>
      </c>
      <c r="S28" s="8">
        <v>1.8518518518518518E-4</v>
      </c>
      <c r="T28" t="str">
        <f>IF(Tabela1[[#This Row],[STATUS_NEGOCIO]]="Enviar E-mail",1,"")</f>
        <v/>
      </c>
      <c r="U28" t="str">
        <f>TEXT(Tabela1[[#This Row],[DATA]],"dd/mm/aaaa")</f>
        <v>20/04/2026</v>
      </c>
    </row>
    <row r="29" spans="1:21" x14ac:dyDescent="0.25">
      <c r="A29" s="4">
        <v>46132.419328703705</v>
      </c>
      <c r="B29" s="5" t="s">
        <v>19</v>
      </c>
      <c r="C29" s="5" t="s">
        <v>27</v>
      </c>
      <c r="D29" s="5"/>
      <c r="E29" s="6"/>
      <c r="F29" s="5">
        <v>2741230892</v>
      </c>
      <c r="G29" s="7">
        <v>177669023010181</v>
      </c>
      <c r="H29" s="5" t="s">
        <v>59</v>
      </c>
      <c r="I29" s="5" t="s">
        <v>28</v>
      </c>
      <c r="J29" s="5" t="s">
        <v>30</v>
      </c>
      <c r="K29" s="5" t="s">
        <v>23</v>
      </c>
      <c r="L29" s="5" t="s">
        <v>40</v>
      </c>
      <c r="M29" s="5"/>
      <c r="N29" s="5" t="s">
        <v>26</v>
      </c>
      <c r="O29" s="5">
        <v>16</v>
      </c>
      <c r="P29" s="5"/>
      <c r="Q29" s="5"/>
      <c r="R29" s="8">
        <v>2.2453703703703702E-3</v>
      </c>
      <c r="S29" s="8">
        <v>2.1643518518518518E-3</v>
      </c>
      <c r="T29">
        <f>IF(Tabela1[[#This Row],[STATUS_NEGOCIO]]="Enviar E-mail",1,"")</f>
        <v>1</v>
      </c>
      <c r="U29" t="str">
        <f>TEXT(Tabela1[[#This Row],[DATA]],"dd/mm/aaaa")</f>
        <v>20/04/2026</v>
      </c>
    </row>
    <row r="30" spans="1:21" x14ac:dyDescent="0.25">
      <c r="A30" s="4">
        <v>46132.421967592592</v>
      </c>
      <c r="B30" s="5" t="s">
        <v>19</v>
      </c>
      <c r="C30" s="5" t="s">
        <v>27</v>
      </c>
      <c r="D30" s="5"/>
      <c r="E30" s="6"/>
      <c r="F30" s="5">
        <v>2740876819</v>
      </c>
      <c r="G30" s="7">
        <v>177669045810761</v>
      </c>
      <c r="H30" s="5" t="s">
        <v>60</v>
      </c>
      <c r="I30" s="5" t="s">
        <v>28</v>
      </c>
      <c r="J30" s="5" t="s">
        <v>30</v>
      </c>
      <c r="K30" s="5" t="s">
        <v>23</v>
      </c>
      <c r="L30" s="5" t="s">
        <v>44</v>
      </c>
      <c r="M30" s="5"/>
      <c r="N30" s="5" t="s">
        <v>32</v>
      </c>
      <c r="O30" s="5">
        <v>16</v>
      </c>
      <c r="P30" s="5"/>
      <c r="Q30" s="5"/>
      <c r="R30" s="8">
        <v>7.1759259259259259E-4</v>
      </c>
      <c r="S30" s="8">
        <v>2.8935185185185184E-4</v>
      </c>
      <c r="T30" t="str">
        <f>IF(Tabela1[[#This Row],[STATUS_NEGOCIO]]="Enviar E-mail",1,"")</f>
        <v/>
      </c>
      <c r="U30" t="str">
        <f>TEXT(Tabela1[[#This Row],[DATA]],"dd/mm/aaaa")</f>
        <v>20/04/2026</v>
      </c>
    </row>
    <row r="31" spans="1:21" x14ac:dyDescent="0.25">
      <c r="A31" s="4">
        <v>46132.422465277778</v>
      </c>
      <c r="B31" s="5" t="s">
        <v>19</v>
      </c>
      <c r="C31" s="5" t="s">
        <v>20</v>
      </c>
      <c r="D31" s="5"/>
      <c r="E31" s="6"/>
      <c r="F31" s="5">
        <v>2776094641</v>
      </c>
      <c r="G31" s="7">
        <v>177669050110781</v>
      </c>
      <c r="H31" s="5" t="s">
        <v>43</v>
      </c>
      <c r="I31" s="5" t="s">
        <v>28</v>
      </c>
      <c r="J31" s="5" t="s">
        <v>30</v>
      </c>
      <c r="K31" s="5" t="s">
        <v>23</v>
      </c>
      <c r="L31" s="5" t="s">
        <v>44</v>
      </c>
      <c r="M31" s="5"/>
      <c r="N31" s="5" t="s">
        <v>32</v>
      </c>
      <c r="O31" s="5">
        <v>16</v>
      </c>
      <c r="P31" s="5"/>
      <c r="Q31" s="5"/>
      <c r="R31" s="8">
        <v>4.9768518518518521E-4</v>
      </c>
      <c r="S31" s="8">
        <v>3.4722222222222222E-5</v>
      </c>
      <c r="T31" t="str">
        <f>IF(Tabela1[[#This Row],[STATUS_NEGOCIO]]="Enviar E-mail",1,"")</f>
        <v/>
      </c>
      <c r="U31" t="str">
        <f>TEXT(Tabela1[[#This Row],[DATA]],"dd/mm/aaaa")</f>
        <v>20/04/2026</v>
      </c>
    </row>
    <row r="32" spans="1:21" x14ac:dyDescent="0.25">
      <c r="A32" s="4">
        <v>46132.423078703701</v>
      </c>
      <c r="B32" s="5" t="s">
        <v>19</v>
      </c>
      <c r="C32" s="5" t="s">
        <v>27</v>
      </c>
      <c r="D32" s="5"/>
      <c r="E32" s="6"/>
      <c r="F32" s="5">
        <v>2758123621</v>
      </c>
      <c r="G32" s="7">
        <v>177669055410981</v>
      </c>
      <c r="H32" s="5" t="s">
        <v>61</v>
      </c>
      <c r="I32" s="5" t="s">
        <v>28</v>
      </c>
      <c r="J32" s="5" t="s">
        <v>30</v>
      </c>
      <c r="K32" s="5" t="s">
        <v>23</v>
      </c>
      <c r="L32" s="5" t="s">
        <v>40</v>
      </c>
      <c r="M32" s="5"/>
      <c r="N32" s="5" t="s">
        <v>26</v>
      </c>
      <c r="O32" s="5">
        <v>16</v>
      </c>
      <c r="P32" s="5"/>
      <c r="Q32" s="5"/>
      <c r="R32" s="8">
        <v>1.712962962962963E-3</v>
      </c>
      <c r="S32" s="8">
        <v>1.4004629629629629E-3</v>
      </c>
      <c r="T32">
        <f>IF(Tabela1[[#This Row],[STATUS_NEGOCIO]]="Enviar E-mail",1,"")</f>
        <v>1</v>
      </c>
      <c r="U32" t="str">
        <f>TEXT(Tabela1[[#This Row],[DATA]],"dd/mm/aaaa")</f>
        <v>20/04/2026</v>
      </c>
    </row>
    <row r="33" spans="1:21" x14ac:dyDescent="0.25">
      <c r="A33" s="4">
        <v>46132.423136574071</v>
      </c>
      <c r="B33" s="5" t="s">
        <v>19</v>
      </c>
      <c r="C33" s="5" t="s">
        <v>20</v>
      </c>
      <c r="D33" s="5"/>
      <c r="E33" s="6"/>
      <c r="F33" s="5">
        <v>2774101782</v>
      </c>
      <c r="G33" s="7">
        <v>177669055911101</v>
      </c>
      <c r="H33" s="5" t="s">
        <v>45</v>
      </c>
      <c r="I33" s="5" t="s">
        <v>28</v>
      </c>
      <c r="J33" s="5" t="s">
        <v>30</v>
      </c>
      <c r="K33" s="5" t="s">
        <v>36</v>
      </c>
      <c r="L33" s="5" t="s">
        <v>36</v>
      </c>
      <c r="M33" s="5"/>
      <c r="N33" s="5" t="s">
        <v>32</v>
      </c>
      <c r="O33" s="5">
        <v>19</v>
      </c>
      <c r="P33" s="5"/>
      <c r="Q33" s="5"/>
      <c r="R33" s="8">
        <v>2.6620370370370372E-4</v>
      </c>
      <c r="S33" s="5" t="s">
        <v>37</v>
      </c>
      <c r="T33" t="str">
        <f>IF(Tabela1[[#This Row],[STATUS_NEGOCIO]]="Enviar E-mail",1,"")</f>
        <v/>
      </c>
      <c r="U33" t="str">
        <f>TEXT(Tabela1[[#This Row],[DATA]],"dd/mm/aaaa")</f>
        <v>20/04/2026</v>
      </c>
    </row>
    <row r="34" spans="1:21" x14ac:dyDescent="0.25">
      <c r="A34" s="4">
        <v>46132.423564814817</v>
      </c>
      <c r="B34" s="5" t="s">
        <v>19</v>
      </c>
      <c r="C34" s="5" t="s">
        <v>20</v>
      </c>
      <c r="D34" s="5"/>
      <c r="E34" s="6"/>
      <c r="F34" s="5">
        <v>2774101819</v>
      </c>
      <c r="G34" s="7">
        <v>177669059611191</v>
      </c>
      <c r="H34" s="5" t="s">
        <v>45</v>
      </c>
      <c r="I34" s="5" t="s">
        <v>28</v>
      </c>
      <c r="J34" s="5" t="s">
        <v>30</v>
      </c>
      <c r="K34" s="5" t="s">
        <v>36</v>
      </c>
      <c r="L34" s="5" t="s">
        <v>36</v>
      </c>
      <c r="M34" s="5"/>
      <c r="N34" s="5" t="s">
        <v>32</v>
      </c>
      <c r="O34" s="5">
        <v>19</v>
      </c>
      <c r="P34" s="5"/>
      <c r="Q34" s="5"/>
      <c r="R34" s="8">
        <v>4.3981481481481481E-4</v>
      </c>
      <c r="S34" s="5" t="s">
        <v>37</v>
      </c>
      <c r="T34" t="str">
        <f>IF(Tabela1[[#This Row],[STATUS_NEGOCIO]]="Enviar E-mail",1,"")</f>
        <v/>
      </c>
      <c r="U34" t="str">
        <f>TEXT(Tabela1[[#This Row],[DATA]],"dd/mm/aaaa")</f>
        <v>20/04/2026</v>
      </c>
    </row>
    <row r="35" spans="1:21" x14ac:dyDescent="0.25">
      <c r="A35" s="4">
        <v>46132.431134259263</v>
      </c>
      <c r="B35" s="5" t="s">
        <v>19</v>
      </c>
      <c r="C35" s="5" t="s">
        <v>27</v>
      </c>
      <c r="D35" s="5"/>
      <c r="E35" s="6"/>
      <c r="F35" s="5">
        <v>2758124266</v>
      </c>
      <c r="G35" s="7">
        <v>177669119913681</v>
      </c>
      <c r="H35" s="5" t="s">
        <v>61</v>
      </c>
      <c r="I35" s="5" t="s">
        <v>28</v>
      </c>
      <c r="J35" s="5" t="s">
        <v>30</v>
      </c>
      <c r="K35" s="5" t="s">
        <v>62</v>
      </c>
      <c r="L35" s="5" t="s">
        <v>62</v>
      </c>
      <c r="M35" s="5"/>
      <c r="N35" s="5" t="s">
        <v>26</v>
      </c>
      <c r="O35" s="5">
        <v>19</v>
      </c>
      <c r="P35" s="5"/>
      <c r="Q35" s="5"/>
      <c r="R35" s="8">
        <v>1.1574074074074073E-5</v>
      </c>
      <c r="S35" s="5" t="s">
        <v>37</v>
      </c>
      <c r="T35" t="str">
        <f>IF(Tabela1[[#This Row],[STATUS_NEGOCIO]]="Enviar E-mail",1,"")</f>
        <v/>
      </c>
      <c r="U35" t="str">
        <f>TEXT(Tabela1[[#This Row],[DATA]],"dd/mm/aaaa")</f>
        <v>20/04/2026</v>
      </c>
    </row>
    <row r="36" spans="1:21" x14ac:dyDescent="0.25">
      <c r="A36" s="4">
        <v>46132.432152777779</v>
      </c>
      <c r="B36" s="5" t="s">
        <v>19</v>
      </c>
      <c r="C36" s="5" t="s">
        <v>27</v>
      </c>
      <c r="D36" s="5"/>
      <c r="E36" s="6"/>
      <c r="F36" s="5">
        <v>2758124354</v>
      </c>
      <c r="G36" s="7">
        <v>177669128713841</v>
      </c>
      <c r="H36" s="5" t="s">
        <v>61</v>
      </c>
      <c r="I36" s="5" t="s">
        <v>28</v>
      </c>
      <c r="J36" s="5" t="s">
        <v>30</v>
      </c>
      <c r="K36" s="5" t="s">
        <v>62</v>
      </c>
      <c r="L36" s="5" t="s">
        <v>62</v>
      </c>
      <c r="M36" s="5"/>
      <c r="N36" s="5" t="s">
        <v>26</v>
      </c>
      <c r="O36" s="5">
        <v>19</v>
      </c>
      <c r="P36" s="5"/>
      <c r="Q36" s="5"/>
      <c r="R36" s="8">
        <v>1.1574074074074073E-5</v>
      </c>
      <c r="S36" s="5" t="s">
        <v>37</v>
      </c>
      <c r="T36" t="str">
        <f>IF(Tabela1[[#This Row],[STATUS_NEGOCIO]]="Enviar E-mail",1,"")</f>
        <v/>
      </c>
      <c r="U36" t="str">
        <f>TEXT(Tabela1[[#This Row],[DATA]],"dd/mm/aaaa")</f>
        <v>20/04/2026</v>
      </c>
    </row>
    <row r="37" spans="1:21" x14ac:dyDescent="0.25">
      <c r="A37" s="4">
        <v>46132.432488425926</v>
      </c>
      <c r="B37" s="5" t="s">
        <v>19</v>
      </c>
      <c r="C37" s="5" t="s">
        <v>27</v>
      </c>
      <c r="D37" s="5"/>
      <c r="E37" s="6"/>
      <c r="F37" s="5">
        <v>2758124434</v>
      </c>
      <c r="G37" s="7">
        <v>177669136713991</v>
      </c>
      <c r="H37" s="5" t="s">
        <v>61</v>
      </c>
      <c r="I37" s="5" t="s">
        <v>28</v>
      </c>
      <c r="J37" s="5" t="s">
        <v>30</v>
      </c>
      <c r="K37" s="5" t="s">
        <v>23</v>
      </c>
      <c r="L37" s="5" t="s">
        <v>40</v>
      </c>
      <c r="M37" s="5"/>
      <c r="N37" s="5" t="s">
        <v>32</v>
      </c>
      <c r="O37" s="5">
        <v>16</v>
      </c>
      <c r="P37" s="5"/>
      <c r="Q37" s="5"/>
      <c r="R37" s="8">
        <v>2.5462962962962961E-4</v>
      </c>
      <c r="S37" s="8">
        <v>1.7361111111111112E-4</v>
      </c>
      <c r="T37">
        <f>IF(Tabela1[[#This Row],[STATUS_NEGOCIO]]="Enviar E-mail",1,"")</f>
        <v>1</v>
      </c>
      <c r="U37" t="str">
        <f>TEXT(Tabela1[[#This Row],[DATA]],"dd/mm/aaaa")</f>
        <v>20/04/2026</v>
      </c>
    </row>
    <row r="38" spans="1:21" x14ac:dyDescent="0.25">
      <c r="A38" s="4">
        <v>46132.433020833334</v>
      </c>
      <c r="B38" s="5" t="s">
        <v>19</v>
      </c>
      <c r="C38" s="5" t="s">
        <v>27</v>
      </c>
      <c r="D38" s="5"/>
      <c r="E38" s="6"/>
      <c r="F38" s="5">
        <v>2774428717</v>
      </c>
      <c r="G38" s="7">
        <v>177669141314021</v>
      </c>
      <c r="H38" s="5" t="s">
        <v>63</v>
      </c>
      <c r="I38" s="5" t="s">
        <v>28</v>
      </c>
      <c r="J38" s="5" t="s">
        <v>30</v>
      </c>
      <c r="K38" s="5" t="s">
        <v>23</v>
      </c>
      <c r="L38" s="5" t="s">
        <v>31</v>
      </c>
      <c r="M38" s="5"/>
      <c r="N38" s="5" t="s">
        <v>26</v>
      </c>
      <c r="O38" s="5">
        <v>16</v>
      </c>
      <c r="P38" s="5"/>
      <c r="Q38" s="5"/>
      <c r="R38" s="8">
        <v>8.1018518518518516E-5</v>
      </c>
      <c r="S38" s="8">
        <v>4.6296296296296294E-5</v>
      </c>
      <c r="T38" t="str">
        <f>IF(Tabela1[[#This Row],[STATUS_NEGOCIO]]="Enviar E-mail",1,"")</f>
        <v/>
      </c>
      <c r="U38" t="str">
        <f>TEXT(Tabela1[[#This Row],[DATA]],"dd/mm/aaaa")</f>
        <v>20/04/2026</v>
      </c>
    </row>
    <row r="39" spans="1:21" x14ac:dyDescent="0.25">
      <c r="A39" s="4">
        <v>46132.435115740744</v>
      </c>
      <c r="B39" s="5" t="s">
        <v>19</v>
      </c>
      <c r="C39" s="5" t="s">
        <v>27</v>
      </c>
      <c r="D39" s="5"/>
      <c r="E39" s="6"/>
      <c r="F39" s="5">
        <v>2774428899</v>
      </c>
      <c r="G39" s="7">
        <v>177669159414341</v>
      </c>
      <c r="H39" s="5" t="s">
        <v>63</v>
      </c>
      <c r="I39" s="5" t="s">
        <v>28</v>
      </c>
      <c r="J39" s="5" t="s">
        <v>30</v>
      </c>
      <c r="K39" s="5" t="s">
        <v>23</v>
      </c>
      <c r="L39" s="5" t="s">
        <v>31</v>
      </c>
      <c r="M39" s="5"/>
      <c r="N39" s="5" t="s">
        <v>26</v>
      </c>
      <c r="O39" s="5">
        <v>16</v>
      </c>
      <c r="P39" s="5"/>
      <c r="Q39" s="5"/>
      <c r="R39" s="8">
        <v>3.9351851851851852E-4</v>
      </c>
      <c r="S39" s="8">
        <v>4.6296296296296294E-5</v>
      </c>
      <c r="T39" t="str">
        <f>IF(Tabela1[[#This Row],[STATUS_NEGOCIO]]="Enviar E-mail",1,"")</f>
        <v/>
      </c>
      <c r="U39" t="str">
        <f>TEXT(Tabela1[[#This Row],[DATA]],"dd/mm/aaaa")</f>
        <v>20/04/2026</v>
      </c>
    </row>
    <row r="40" spans="1:21" x14ac:dyDescent="0.25">
      <c r="A40" s="4">
        <v>46132.436643518522</v>
      </c>
      <c r="B40" s="5" t="s">
        <v>19</v>
      </c>
      <c r="C40" s="5" t="s">
        <v>27</v>
      </c>
      <c r="D40" s="5"/>
      <c r="E40" s="6"/>
      <c r="F40" s="5">
        <v>2758401836</v>
      </c>
      <c r="G40" s="7">
        <v>177669172614761</v>
      </c>
      <c r="H40" s="5" t="s">
        <v>64</v>
      </c>
      <c r="I40" s="5" t="s">
        <v>28</v>
      </c>
      <c r="J40" s="5" t="s">
        <v>30</v>
      </c>
      <c r="K40" s="5" t="s">
        <v>23</v>
      </c>
      <c r="L40" s="5" t="s">
        <v>31</v>
      </c>
      <c r="M40" s="5"/>
      <c r="N40" s="5" t="s">
        <v>32</v>
      </c>
      <c r="O40" s="5">
        <v>16</v>
      </c>
      <c r="P40" s="5"/>
      <c r="Q40" s="5"/>
      <c r="R40" s="8">
        <v>3.9351851851851852E-4</v>
      </c>
      <c r="S40" s="8">
        <v>1.273148148148148E-4</v>
      </c>
      <c r="T40" t="str">
        <f>IF(Tabela1[[#This Row],[STATUS_NEGOCIO]]="Enviar E-mail",1,"")</f>
        <v/>
      </c>
      <c r="U40" t="str">
        <f>TEXT(Tabela1[[#This Row],[DATA]],"dd/mm/aaaa")</f>
        <v>20/04/2026</v>
      </c>
    </row>
    <row r="41" spans="1:21" x14ac:dyDescent="0.25">
      <c r="A41" s="4">
        <v>46132.437951388885</v>
      </c>
      <c r="B41" s="5" t="s">
        <v>19</v>
      </c>
      <c r="C41" s="5" t="s">
        <v>27</v>
      </c>
      <c r="D41" s="5"/>
      <c r="E41" s="6"/>
      <c r="F41" s="5">
        <v>2741310626</v>
      </c>
      <c r="G41" s="7">
        <v>177669179114991</v>
      </c>
      <c r="H41" s="5" t="s">
        <v>65</v>
      </c>
      <c r="I41" s="5" t="s">
        <v>28</v>
      </c>
      <c r="J41" s="5" t="s">
        <v>30</v>
      </c>
      <c r="K41" s="5" t="s">
        <v>62</v>
      </c>
      <c r="L41" s="5" t="s">
        <v>62</v>
      </c>
      <c r="M41" s="5"/>
      <c r="N41" s="5" t="s">
        <v>26</v>
      </c>
      <c r="O41" s="5">
        <v>19</v>
      </c>
      <c r="P41" s="5"/>
      <c r="Q41" s="5"/>
      <c r="R41" s="8">
        <v>1.1574074074074073E-5</v>
      </c>
      <c r="S41" s="5" t="s">
        <v>37</v>
      </c>
      <c r="T41" t="str">
        <f>IF(Tabela1[[#This Row],[STATUS_NEGOCIO]]="Enviar E-mail",1,"")</f>
        <v/>
      </c>
      <c r="U41" t="str">
        <f>TEXT(Tabela1[[#This Row],[DATA]],"dd/mm/aaaa")</f>
        <v>20/04/2026</v>
      </c>
    </row>
    <row r="42" spans="1:21" x14ac:dyDescent="0.25">
      <c r="A42" s="4">
        <v>46132.438680555555</v>
      </c>
      <c r="B42" s="5" t="s">
        <v>19</v>
      </c>
      <c r="C42" s="5" t="s">
        <v>27</v>
      </c>
      <c r="D42" s="5"/>
      <c r="E42" s="6"/>
      <c r="F42" s="5">
        <v>2741310688</v>
      </c>
      <c r="G42" s="7">
        <v>177669185315091</v>
      </c>
      <c r="H42" s="5" t="s">
        <v>65</v>
      </c>
      <c r="I42" s="5" t="s">
        <v>28</v>
      </c>
      <c r="J42" s="5" t="s">
        <v>30</v>
      </c>
      <c r="K42" s="5" t="s">
        <v>62</v>
      </c>
      <c r="L42" s="5" t="s">
        <v>62</v>
      </c>
      <c r="M42" s="5"/>
      <c r="N42" s="5" t="s">
        <v>26</v>
      </c>
      <c r="O42" s="5">
        <v>19</v>
      </c>
      <c r="P42" s="5"/>
      <c r="Q42" s="5"/>
      <c r="R42" s="8">
        <v>1.1574074074074073E-5</v>
      </c>
      <c r="S42" s="5" t="s">
        <v>37</v>
      </c>
      <c r="T42" t="str">
        <f>IF(Tabela1[[#This Row],[STATUS_NEGOCIO]]="Enviar E-mail",1,"")</f>
        <v/>
      </c>
      <c r="U42" t="str">
        <f>TEXT(Tabela1[[#This Row],[DATA]],"dd/mm/aaaa")</f>
        <v>20/04/2026</v>
      </c>
    </row>
    <row r="43" spans="1:21" x14ac:dyDescent="0.25">
      <c r="A43" s="4">
        <v>46132.439050925925</v>
      </c>
      <c r="B43" s="5" t="s">
        <v>19</v>
      </c>
      <c r="C43" s="5" t="s">
        <v>27</v>
      </c>
      <c r="D43" s="5"/>
      <c r="E43" s="6"/>
      <c r="F43" s="5">
        <v>2750734961</v>
      </c>
      <c r="G43" s="7">
        <v>177669193415371</v>
      </c>
      <c r="H43" s="5" t="s">
        <v>66</v>
      </c>
      <c r="I43" s="5" t="s">
        <v>28</v>
      </c>
      <c r="J43" s="5" t="s">
        <v>30</v>
      </c>
      <c r="K43" s="5" t="s">
        <v>23</v>
      </c>
      <c r="L43" s="5" t="s">
        <v>44</v>
      </c>
      <c r="M43" s="5"/>
      <c r="N43" s="5" t="s">
        <v>26</v>
      </c>
      <c r="O43" s="5">
        <v>16</v>
      </c>
      <c r="P43" s="5"/>
      <c r="Q43" s="5"/>
      <c r="R43" s="8">
        <v>2.4537037037037036E-3</v>
      </c>
      <c r="S43" s="8">
        <v>2.1412037037037038E-3</v>
      </c>
      <c r="T43" t="str">
        <f>IF(Tabela1[[#This Row],[STATUS_NEGOCIO]]="Enviar E-mail",1,"")</f>
        <v/>
      </c>
      <c r="U43" t="str">
        <f>TEXT(Tabela1[[#This Row],[DATA]],"dd/mm/aaaa")</f>
        <v>20/04/2026</v>
      </c>
    </row>
    <row r="44" spans="1:21" x14ac:dyDescent="0.25">
      <c r="A44" s="4">
        <v>46132.443576388891</v>
      </c>
      <c r="B44" s="5" t="s">
        <v>19</v>
      </c>
      <c r="C44" s="5" t="s">
        <v>27</v>
      </c>
      <c r="D44" s="5"/>
      <c r="E44" s="6"/>
      <c r="F44" s="5">
        <v>2758065522</v>
      </c>
      <c r="G44" s="7">
        <v>177669232516281</v>
      </c>
      <c r="H44" s="5" t="s">
        <v>67</v>
      </c>
      <c r="I44" s="5" t="s">
        <v>28</v>
      </c>
      <c r="J44" s="5" t="s">
        <v>30</v>
      </c>
      <c r="K44" s="5" t="s">
        <v>23</v>
      </c>
      <c r="L44" s="5" t="s">
        <v>40</v>
      </c>
      <c r="M44" s="5"/>
      <c r="N44" s="5" t="s">
        <v>26</v>
      </c>
      <c r="O44" s="5">
        <v>16</v>
      </c>
      <c r="P44" s="5"/>
      <c r="Q44" s="5"/>
      <c r="R44" s="8">
        <v>1.6898148148148148E-3</v>
      </c>
      <c r="S44" s="8">
        <v>1.4814814814814814E-3</v>
      </c>
      <c r="T44">
        <f>IF(Tabela1[[#This Row],[STATUS_NEGOCIO]]="Enviar E-mail",1,"")</f>
        <v>1</v>
      </c>
      <c r="U44" t="str">
        <f>TEXT(Tabela1[[#This Row],[DATA]],"dd/mm/aaaa")</f>
        <v>20/04/2026</v>
      </c>
    </row>
    <row r="45" spans="1:21" x14ac:dyDescent="0.25">
      <c r="A45" s="4">
        <v>46132.447060185186</v>
      </c>
      <c r="B45" s="5" t="s">
        <v>19</v>
      </c>
      <c r="C45" s="5" t="s">
        <v>27</v>
      </c>
      <c r="D45" s="5"/>
      <c r="E45" s="6"/>
      <c r="F45" s="5">
        <v>2757867093</v>
      </c>
      <c r="G45" s="7">
        <v>177669262616681</v>
      </c>
      <c r="H45" s="5" t="s">
        <v>68</v>
      </c>
      <c r="I45" s="5" t="s">
        <v>28</v>
      </c>
      <c r="J45" s="5" t="s">
        <v>30</v>
      </c>
      <c r="K45" s="5" t="s">
        <v>23</v>
      </c>
      <c r="L45" s="5" t="s">
        <v>44</v>
      </c>
      <c r="M45" s="5"/>
      <c r="N45" s="5" t="s">
        <v>26</v>
      </c>
      <c r="O45" s="5">
        <v>16</v>
      </c>
      <c r="P45" s="5"/>
      <c r="Q45" s="5"/>
      <c r="R45" s="8">
        <v>2.8935185185185184E-4</v>
      </c>
      <c r="S45" s="8">
        <v>1.1574074074074075E-4</v>
      </c>
      <c r="T45" t="str">
        <f>IF(Tabela1[[#This Row],[STATUS_NEGOCIO]]="Enviar E-mail",1,"")</f>
        <v/>
      </c>
      <c r="U45" t="str">
        <f>TEXT(Tabela1[[#This Row],[DATA]],"dd/mm/aaaa")</f>
        <v>20/04/2026</v>
      </c>
    </row>
    <row r="46" spans="1:21" x14ac:dyDescent="0.25">
      <c r="A46" s="4">
        <v>46132.450983796298</v>
      </c>
      <c r="B46" s="5" t="s">
        <v>19</v>
      </c>
      <c r="C46" s="5" t="s">
        <v>27</v>
      </c>
      <c r="D46" s="5"/>
      <c r="E46" s="6"/>
      <c r="F46" s="5">
        <v>2765018144</v>
      </c>
      <c r="G46" s="7">
        <v>177669296517251</v>
      </c>
      <c r="H46" s="5" t="s">
        <v>69</v>
      </c>
      <c r="I46" s="5" t="s">
        <v>28</v>
      </c>
      <c r="J46" s="5" t="s">
        <v>30</v>
      </c>
      <c r="K46" s="5" t="s">
        <v>23</v>
      </c>
      <c r="L46" s="5" t="s">
        <v>31</v>
      </c>
      <c r="M46" s="5"/>
      <c r="N46" s="5" t="s">
        <v>32</v>
      </c>
      <c r="O46" s="5">
        <v>16</v>
      </c>
      <c r="P46" s="5"/>
      <c r="Q46" s="5"/>
      <c r="R46" s="8">
        <v>3.8194444444444446E-4</v>
      </c>
      <c r="S46" s="8">
        <v>1.1574074074074075E-4</v>
      </c>
      <c r="T46" t="str">
        <f>IF(Tabela1[[#This Row],[STATUS_NEGOCIO]]="Enviar E-mail",1,"")</f>
        <v/>
      </c>
      <c r="U46" t="str">
        <f>TEXT(Tabela1[[#This Row],[DATA]],"dd/mm/aaaa")</f>
        <v>20/04/2026</v>
      </c>
    </row>
    <row r="47" spans="1:21" x14ac:dyDescent="0.25">
      <c r="A47" s="4">
        <v>46132.459201388891</v>
      </c>
      <c r="B47" s="5" t="s">
        <v>19</v>
      </c>
      <c r="C47" s="5" t="s">
        <v>27</v>
      </c>
      <c r="D47" s="5"/>
      <c r="E47" s="6"/>
      <c r="F47" s="5">
        <v>2765018854</v>
      </c>
      <c r="G47" s="7">
        <v>177669367518461</v>
      </c>
      <c r="H47" s="5" t="s">
        <v>69</v>
      </c>
      <c r="I47" s="5" t="s">
        <v>28</v>
      </c>
      <c r="J47" s="5" t="s">
        <v>30</v>
      </c>
      <c r="K47" s="5" t="s">
        <v>23</v>
      </c>
      <c r="L47" s="5" t="s">
        <v>31</v>
      </c>
      <c r="M47" s="5"/>
      <c r="N47" s="5" t="s">
        <v>32</v>
      </c>
      <c r="O47" s="5">
        <v>16</v>
      </c>
      <c r="P47" s="5"/>
      <c r="Q47" s="5"/>
      <c r="R47" s="8">
        <v>8.6805555555555551E-4</v>
      </c>
      <c r="S47" s="8">
        <v>6.4814814814814813E-4</v>
      </c>
      <c r="T47" t="str">
        <f>IF(Tabela1[[#This Row],[STATUS_NEGOCIO]]="Enviar E-mail",1,"")</f>
        <v/>
      </c>
      <c r="U47" t="str">
        <f>TEXT(Tabela1[[#This Row],[DATA]],"dd/mm/aaaa")</f>
        <v>20/04/2026</v>
      </c>
    </row>
    <row r="48" spans="1:21" x14ac:dyDescent="0.25">
      <c r="A48" s="4">
        <v>46132.459791666668</v>
      </c>
      <c r="B48" s="5" t="s">
        <v>19</v>
      </c>
      <c r="C48" s="5" t="s">
        <v>20</v>
      </c>
      <c r="D48" s="5"/>
      <c r="E48" s="6"/>
      <c r="F48" s="5">
        <v>2759110680</v>
      </c>
      <c r="G48" s="7">
        <v>177669367718481</v>
      </c>
      <c r="H48" s="5" t="s">
        <v>70</v>
      </c>
      <c r="I48" s="5" t="s">
        <v>28</v>
      </c>
      <c r="J48" s="5" t="s">
        <v>30</v>
      </c>
      <c r="K48" s="5" t="s">
        <v>62</v>
      </c>
      <c r="L48" s="5" t="s">
        <v>62</v>
      </c>
      <c r="M48" s="5"/>
      <c r="N48" s="5" t="s">
        <v>26</v>
      </c>
      <c r="O48" s="5">
        <v>19</v>
      </c>
      <c r="P48" s="5"/>
      <c r="Q48" s="5"/>
      <c r="R48" s="8">
        <v>1.1574074074074073E-5</v>
      </c>
      <c r="S48" s="5" t="s">
        <v>37</v>
      </c>
      <c r="T48" t="str">
        <f>IF(Tabela1[[#This Row],[STATUS_NEGOCIO]]="Enviar E-mail",1,"")</f>
        <v/>
      </c>
      <c r="U48" t="str">
        <f>TEXT(Tabela1[[#This Row],[DATA]],"dd/mm/aaaa")</f>
        <v>20/04/2026</v>
      </c>
    </row>
    <row r="49" spans="1:21" x14ac:dyDescent="0.25">
      <c r="A49" s="4">
        <v>46132.460081018522</v>
      </c>
      <c r="B49" s="5" t="s">
        <v>19</v>
      </c>
      <c r="C49" s="5" t="s">
        <v>20</v>
      </c>
      <c r="D49" s="5"/>
      <c r="E49" s="6"/>
      <c r="F49" s="5">
        <v>2758112224</v>
      </c>
      <c r="G49" s="7">
        <v>177669375118541</v>
      </c>
      <c r="H49" s="5" t="s">
        <v>71</v>
      </c>
      <c r="I49" s="5" t="s">
        <v>28</v>
      </c>
      <c r="J49" s="5" t="s">
        <v>30</v>
      </c>
      <c r="K49" s="5" t="s">
        <v>36</v>
      </c>
      <c r="L49" s="5" t="s">
        <v>36</v>
      </c>
      <c r="M49" s="5"/>
      <c r="N49" s="5" t="s">
        <v>32</v>
      </c>
      <c r="O49" s="5">
        <v>19</v>
      </c>
      <c r="P49" s="5"/>
      <c r="Q49" s="5"/>
      <c r="R49" s="8">
        <v>1.0416666666666667E-4</v>
      </c>
      <c r="S49" s="5" t="s">
        <v>37</v>
      </c>
      <c r="T49" t="str">
        <f>IF(Tabela1[[#This Row],[STATUS_NEGOCIO]]="Enviar E-mail",1,"")</f>
        <v/>
      </c>
      <c r="U49" t="str">
        <f>TEXT(Tabela1[[#This Row],[DATA]],"dd/mm/aaaa")</f>
        <v>20/04/2026</v>
      </c>
    </row>
    <row r="50" spans="1:21" x14ac:dyDescent="0.25">
      <c r="A50" s="4">
        <v>46132.460358796299</v>
      </c>
      <c r="B50" s="5" t="s">
        <v>19</v>
      </c>
      <c r="C50" s="5" t="s">
        <v>20</v>
      </c>
      <c r="D50" s="5"/>
      <c r="E50" s="6"/>
      <c r="F50" s="5">
        <v>2776260521</v>
      </c>
      <c r="G50" s="7">
        <v>177669377518571</v>
      </c>
      <c r="H50" s="5" t="s">
        <v>72</v>
      </c>
      <c r="I50" s="5" t="s">
        <v>28</v>
      </c>
      <c r="J50" s="5" t="s">
        <v>30</v>
      </c>
      <c r="K50" s="5" t="s">
        <v>23</v>
      </c>
      <c r="L50" s="5" t="s">
        <v>31</v>
      </c>
      <c r="M50" s="5"/>
      <c r="N50" s="5" t="s">
        <v>32</v>
      </c>
      <c r="O50" s="5">
        <v>16</v>
      </c>
      <c r="P50" s="5"/>
      <c r="Q50" s="5"/>
      <c r="R50" s="8">
        <v>9.2592592592592588E-5</v>
      </c>
      <c r="S50" s="8">
        <v>6.9444444444444444E-5</v>
      </c>
      <c r="T50" t="str">
        <f>IF(Tabela1[[#This Row],[STATUS_NEGOCIO]]="Enviar E-mail",1,"")</f>
        <v/>
      </c>
      <c r="U50" t="str">
        <f>TEXT(Tabela1[[#This Row],[DATA]],"dd/mm/aaaa")</f>
        <v>20/04/2026</v>
      </c>
    </row>
    <row r="51" spans="1:21" x14ac:dyDescent="0.25">
      <c r="A51" s="4">
        <v>46132.460520833331</v>
      </c>
      <c r="B51" s="5" t="s">
        <v>19</v>
      </c>
      <c r="C51" s="5" t="s">
        <v>27</v>
      </c>
      <c r="D51" s="5"/>
      <c r="E51" s="6"/>
      <c r="F51" s="5">
        <v>2765018968</v>
      </c>
      <c r="G51" s="7">
        <v>177669378918601</v>
      </c>
      <c r="H51" s="5" t="s">
        <v>69</v>
      </c>
      <c r="I51" s="5" t="s">
        <v>28</v>
      </c>
      <c r="J51" s="5" t="s">
        <v>30</v>
      </c>
      <c r="K51" s="5" t="s">
        <v>23</v>
      </c>
      <c r="L51" s="5" t="s">
        <v>31</v>
      </c>
      <c r="M51" s="5"/>
      <c r="N51" s="5" t="s">
        <v>32</v>
      </c>
      <c r="O51" s="5">
        <v>16</v>
      </c>
      <c r="P51" s="5"/>
      <c r="Q51" s="5"/>
      <c r="R51" s="8">
        <v>4.861111111111111E-4</v>
      </c>
      <c r="S51" s="8">
        <v>2.5462962962962961E-4</v>
      </c>
      <c r="T51" t="str">
        <f>IF(Tabela1[[#This Row],[STATUS_NEGOCIO]]="Enviar E-mail",1,"")</f>
        <v/>
      </c>
      <c r="U51" t="str">
        <f>TEXT(Tabela1[[#This Row],[DATA]],"dd/mm/aaaa")</f>
        <v>20/04/2026</v>
      </c>
    </row>
    <row r="52" spans="1:21" x14ac:dyDescent="0.25">
      <c r="A52" s="4">
        <v>46132.460694444446</v>
      </c>
      <c r="B52" s="5" t="s">
        <v>19</v>
      </c>
      <c r="C52" s="5" t="s">
        <v>20</v>
      </c>
      <c r="D52" s="5"/>
      <c r="E52" s="6"/>
      <c r="F52" s="5">
        <v>2768739625</v>
      </c>
      <c r="G52" s="7">
        <v>177669380418621</v>
      </c>
      <c r="H52" s="5" t="s">
        <v>73</v>
      </c>
      <c r="I52" s="5" t="s">
        <v>28</v>
      </c>
      <c r="J52" s="5" t="s">
        <v>30</v>
      </c>
      <c r="K52" s="5" t="s">
        <v>23</v>
      </c>
      <c r="L52" s="5" t="s">
        <v>44</v>
      </c>
      <c r="M52" s="5"/>
      <c r="N52" s="5" t="s">
        <v>26</v>
      </c>
      <c r="O52" s="5">
        <v>16</v>
      </c>
      <c r="P52" s="5"/>
      <c r="Q52" s="5"/>
      <c r="R52" s="8">
        <v>1.6203703703703703E-4</v>
      </c>
      <c r="S52" s="8">
        <v>6.9444444444444444E-5</v>
      </c>
      <c r="T52" t="str">
        <f>IF(Tabela1[[#This Row],[STATUS_NEGOCIO]]="Enviar E-mail",1,"")</f>
        <v/>
      </c>
      <c r="U52" t="str">
        <f>TEXT(Tabela1[[#This Row],[DATA]],"dd/mm/aaaa")</f>
        <v>20/04/2026</v>
      </c>
    </row>
    <row r="53" spans="1:21" x14ac:dyDescent="0.25">
      <c r="A53" s="4">
        <v>46132.461041666669</v>
      </c>
      <c r="B53" s="5" t="s">
        <v>19</v>
      </c>
      <c r="C53" s="5" t="s">
        <v>20</v>
      </c>
      <c r="D53" s="5"/>
      <c r="E53" s="6"/>
      <c r="F53" s="5">
        <v>2768739656</v>
      </c>
      <c r="G53" s="7">
        <v>177669383418841</v>
      </c>
      <c r="H53" s="5" t="s">
        <v>73</v>
      </c>
      <c r="I53" s="5" t="s">
        <v>28</v>
      </c>
      <c r="J53" s="5" t="s">
        <v>30</v>
      </c>
      <c r="K53" s="5" t="s">
        <v>23</v>
      </c>
      <c r="L53" s="5" t="s">
        <v>40</v>
      </c>
      <c r="M53" s="5"/>
      <c r="N53" s="5" t="s">
        <v>32</v>
      </c>
      <c r="O53" s="5">
        <v>16</v>
      </c>
      <c r="P53" s="5"/>
      <c r="Q53" s="5"/>
      <c r="R53" s="8">
        <v>1.7824074074074075E-3</v>
      </c>
      <c r="S53" s="8">
        <v>1.6898148148148148E-3</v>
      </c>
      <c r="T53">
        <f>IF(Tabela1[[#This Row],[STATUS_NEGOCIO]]="Enviar E-mail",1,"")</f>
        <v>1</v>
      </c>
      <c r="U53" t="str">
        <f>TEXT(Tabela1[[#This Row],[DATA]],"dd/mm/aaaa")</f>
        <v>20/04/2026</v>
      </c>
    </row>
    <row r="54" spans="1:21" x14ac:dyDescent="0.25">
      <c r="A54" s="4">
        <v>46132.46125</v>
      </c>
      <c r="B54" s="5" t="s">
        <v>19</v>
      </c>
      <c r="C54" s="5" t="s">
        <v>27</v>
      </c>
      <c r="D54" s="5"/>
      <c r="E54" s="6"/>
      <c r="F54" s="5">
        <v>2758139209</v>
      </c>
      <c r="G54" s="7">
        <v>177669385218931</v>
      </c>
      <c r="H54" s="5" t="s">
        <v>74</v>
      </c>
      <c r="I54" s="5" t="s">
        <v>28</v>
      </c>
      <c r="J54" s="5" t="s">
        <v>30</v>
      </c>
      <c r="K54" s="5" t="s">
        <v>23</v>
      </c>
      <c r="L54" s="5" t="s">
        <v>31</v>
      </c>
      <c r="M54" s="5"/>
      <c r="N54" s="5" t="s">
        <v>32</v>
      </c>
      <c r="O54" s="5">
        <v>16</v>
      </c>
      <c r="P54" s="5"/>
      <c r="Q54" s="5"/>
      <c r="R54" s="8">
        <v>2.0833333333333335E-4</v>
      </c>
      <c r="S54" s="8">
        <v>1.7361111111111112E-4</v>
      </c>
      <c r="T54" t="str">
        <f>IF(Tabela1[[#This Row],[STATUS_NEGOCIO]]="Enviar E-mail",1,"")</f>
        <v/>
      </c>
      <c r="U54" t="str">
        <f>TEXT(Tabela1[[#This Row],[DATA]],"dd/mm/aaaa")</f>
        <v>20/04/2026</v>
      </c>
    </row>
    <row r="55" spans="1:21" x14ac:dyDescent="0.25">
      <c r="A55" s="4">
        <v>46132.461724537039</v>
      </c>
      <c r="B55" s="5" t="s">
        <v>19</v>
      </c>
      <c r="C55" s="5" t="s">
        <v>27</v>
      </c>
      <c r="D55" s="5"/>
      <c r="E55" s="6"/>
      <c r="F55" s="5">
        <v>2750716967</v>
      </c>
      <c r="G55" s="7">
        <v>177669389319041</v>
      </c>
      <c r="H55" s="5" t="s">
        <v>75</v>
      </c>
      <c r="I55" s="5" t="s">
        <v>28</v>
      </c>
      <c r="J55" s="5" t="s">
        <v>30</v>
      </c>
      <c r="K55" s="5" t="s">
        <v>23</v>
      </c>
      <c r="L55" s="5" t="s">
        <v>31</v>
      </c>
      <c r="M55" s="5"/>
      <c r="N55" s="5" t="s">
        <v>26</v>
      </c>
      <c r="O55" s="5">
        <v>16</v>
      </c>
      <c r="P55" s="5"/>
      <c r="Q55" s="5"/>
      <c r="R55" s="8">
        <v>1.4351851851851852E-3</v>
      </c>
      <c r="S55" s="8">
        <v>1.4004629629629629E-3</v>
      </c>
      <c r="T55" t="str">
        <f>IF(Tabela1[[#This Row],[STATUS_NEGOCIO]]="Enviar E-mail",1,"")</f>
        <v/>
      </c>
      <c r="U55" t="str">
        <f>TEXT(Tabela1[[#This Row],[DATA]],"dd/mm/aaaa")</f>
        <v>20/04/2026</v>
      </c>
    </row>
    <row r="56" spans="1:21" x14ac:dyDescent="0.25">
      <c r="A56" s="4">
        <v>46132.46398148148</v>
      </c>
      <c r="B56" s="5" t="s">
        <v>19</v>
      </c>
      <c r="C56" s="5" t="s">
        <v>20</v>
      </c>
      <c r="D56" s="5"/>
      <c r="E56" s="6"/>
      <c r="F56" s="5">
        <v>1875296414</v>
      </c>
      <c r="G56" s="7">
        <v>177669408819851</v>
      </c>
      <c r="H56" s="5" t="s">
        <v>55</v>
      </c>
      <c r="I56" s="5" t="s">
        <v>28</v>
      </c>
      <c r="J56" s="5" t="s">
        <v>30</v>
      </c>
      <c r="K56" s="5" t="s">
        <v>36</v>
      </c>
      <c r="L56" s="5" t="s">
        <v>36</v>
      </c>
      <c r="M56" s="5"/>
      <c r="N56" s="5" t="s">
        <v>26</v>
      </c>
      <c r="O56" s="5">
        <v>1</v>
      </c>
      <c r="P56" s="5"/>
      <c r="Q56" s="5"/>
      <c r="R56" s="8">
        <v>1.1574074074074073E-5</v>
      </c>
      <c r="S56" s="5" t="s">
        <v>37</v>
      </c>
      <c r="T56" t="str">
        <f>IF(Tabela1[[#This Row],[STATUS_NEGOCIO]]="Enviar E-mail",1,"")</f>
        <v/>
      </c>
      <c r="U56" t="str">
        <f>TEXT(Tabela1[[#This Row],[DATA]],"dd/mm/aaaa")</f>
        <v>20/04/2026</v>
      </c>
    </row>
    <row r="57" spans="1:21" x14ac:dyDescent="0.25">
      <c r="A57" s="4">
        <v>46132.464085648149</v>
      </c>
      <c r="B57" s="5" t="s">
        <v>19</v>
      </c>
      <c r="C57" s="5" t="s">
        <v>20</v>
      </c>
      <c r="D57" s="5"/>
      <c r="E57" s="6"/>
      <c r="F57" s="5">
        <v>2775296426</v>
      </c>
      <c r="G57" s="7">
        <v>177669409719981</v>
      </c>
      <c r="H57" s="5" t="s">
        <v>55</v>
      </c>
      <c r="I57" s="5" t="s">
        <v>28</v>
      </c>
      <c r="J57" s="5" t="s">
        <v>30</v>
      </c>
      <c r="K57" s="5" t="s">
        <v>23</v>
      </c>
      <c r="L57" s="5" t="s">
        <v>44</v>
      </c>
      <c r="M57" s="5"/>
      <c r="N57" s="5" t="s">
        <v>32</v>
      </c>
      <c r="O57" s="5">
        <v>16</v>
      </c>
      <c r="P57" s="5"/>
      <c r="Q57" s="5"/>
      <c r="R57" s="8">
        <v>2.7777777777777778E-4</v>
      </c>
      <c r="S57" s="8">
        <v>1.9675925925925926E-4</v>
      </c>
      <c r="T57" t="str">
        <f>IF(Tabela1[[#This Row],[STATUS_NEGOCIO]]="Enviar E-mail",1,"")</f>
        <v/>
      </c>
      <c r="U57" t="str">
        <f>TEXT(Tabela1[[#This Row],[DATA]],"dd/mm/aaaa")</f>
        <v>20/04/2026</v>
      </c>
    </row>
    <row r="58" spans="1:21" x14ac:dyDescent="0.25">
      <c r="A58" s="4">
        <v>46132.46466435185</v>
      </c>
      <c r="B58" s="5" t="s">
        <v>19</v>
      </c>
      <c r="C58" s="5" t="s">
        <v>20</v>
      </c>
      <c r="D58" s="5"/>
      <c r="E58" s="6"/>
      <c r="F58" s="5">
        <v>2776162430</v>
      </c>
      <c r="G58" s="7">
        <v>177669414720061</v>
      </c>
      <c r="H58" s="5" t="s">
        <v>76</v>
      </c>
      <c r="I58" s="5" t="s">
        <v>28</v>
      </c>
      <c r="J58" s="5" t="s">
        <v>30</v>
      </c>
      <c r="K58" s="5" t="s">
        <v>23</v>
      </c>
      <c r="L58" s="5" t="s">
        <v>31</v>
      </c>
      <c r="M58" s="5"/>
      <c r="N58" s="5" t="s">
        <v>32</v>
      </c>
      <c r="O58" s="5">
        <v>16</v>
      </c>
      <c r="P58" s="5"/>
      <c r="Q58" s="5"/>
      <c r="R58" s="8">
        <v>3.0092592592592595E-4</v>
      </c>
      <c r="S58" s="8">
        <v>3.4722222222222222E-5</v>
      </c>
      <c r="T58" t="str">
        <f>IF(Tabela1[[#This Row],[STATUS_NEGOCIO]]="Enviar E-mail",1,"")</f>
        <v/>
      </c>
      <c r="U58" t="str">
        <f>TEXT(Tabela1[[#This Row],[DATA]],"dd/mm/aaaa")</f>
        <v>20/04/2026</v>
      </c>
    </row>
    <row r="59" spans="1:21" x14ac:dyDescent="0.25">
      <c r="A59" s="4">
        <v>46132.464699074073</v>
      </c>
      <c r="B59" s="5" t="s">
        <v>19</v>
      </c>
      <c r="C59" s="5" t="s">
        <v>27</v>
      </c>
      <c r="D59" s="5"/>
      <c r="E59" s="6"/>
      <c r="F59" s="5">
        <v>2750717224</v>
      </c>
      <c r="G59" s="7">
        <v>177669415020081</v>
      </c>
      <c r="H59" s="5" t="s">
        <v>75</v>
      </c>
      <c r="I59" s="5" t="s">
        <v>28</v>
      </c>
      <c r="J59" s="5" t="s">
        <v>30</v>
      </c>
      <c r="K59" s="5" t="s">
        <v>23</v>
      </c>
      <c r="L59" s="5" t="s">
        <v>31</v>
      </c>
      <c r="M59" s="5"/>
      <c r="N59" s="5" t="s">
        <v>26</v>
      </c>
      <c r="O59" s="5">
        <v>16</v>
      </c>
      <c r="P59" s="5"/>
      <c r="Q59" s="5"/>
      <c r="R59" s="8">
        <v>4.2824074074074075E-4</v>
      </c>
      <c r="S59" s="8">
        <v>3.9351851851851852E-4</v>
      </c>
      <c r="T59" t="str">
        <f>IF(Tabela1[[#This Row],[STATUS_NEGOCIO]]="Enviar E-mail",1,"")</f>
        <v/>
      </c>
      <c r="U59" t="str">
        <f>TEXT(Tabela1[[#This Row],[DATA]],"dd/mm/aaaa")</f>
        <v>20/04/2026</v>
      </c>
    </row>
    <row r="60" spans="1:21" x14ac:dyDescent="0.25">
      <c r="A60" s="4">
        <v>46132.465173611112</v>
      </c>
      <c r="B60" s="5" t="s">
        <v>19</v>
      </c>
      <c r="C60" s="5" t="s">
        <v>20</v>
      </c>
      <c r="D60" s="5"/>
      <c r="E60" s="6"/>
      <c r="F60" s="5">
        <v>2772270427</v>
      </c>
      <c r="G60" s="7">
        <v>177669419120191</v>
      </c>
      <c r="H60" s="5" t="s">
        <v>77</v>
      </c>
      <c r="I60" s="5" t="s">
        <v>28</v>
      </c>
      <c r="J60" s="5" t="s">
        <v>30</v>
      </c>
      <c r="K60" s="5" t="s">
        <v>36</v>
      </c>
      <c r="L60" s="5" t="s">
        <v>36</v>
      </c>
      <c r="M60" s="5"/>
      <c r="N60" s="5" t="s">
        <v>32</v>
      </c>
      <c r="O60" s="5">
        <v>19</v>
      </c>
      <c r="P60" s="5"/>
      <c r="Q60" s="5"/>
      <c r="R60" s="8">
        <v>1.0416666666666667E-4</v>
      </c>
      <c r="S60" s="5" t="s">
        <v>37</v>
      </c>
      <c r="T60" t="str">
        <f>IF(Tabela1[[#This Row],[STATUS_NEGOCIO]]="Enviar E-mail",1,"")</f>
        <v/>
      </c>
      <c r="U60" t="str">
        <f>TEXT(Tabela1[[#This Row],[DATA]],"dd/mm/aaaa")</f>
        <v>20/04/2026</v>
      </c>
    </row>
    <row r="61" spans="1:21" x14ac:dyDescent="0.25">
      <c r="A61" s="4">
        <v>46132.465358796297</v>
      </c>
      <c r="B61" s="5" t="s">
        <v>19</v>
      </c>
      <c r="C61" s="5" t="s">
        <v>27</v>
      </c>
      <c r="D61" s="5"/>
      <c r="E61" s="6"/>
      <c r="F61" s="5">
        <v>2775151972</v>
      </c>
      <c r="G61" s="7">
        <v>177669420720281</v>
      </c>
      <c r="H61" s="5" t="s">
        <v>78</v>
      </c>
      <c r="I61" s="5" t="s">
        <v>28</v>
      </c>
      <c r="J61" s="5" t="s">
        <v>30</v>
      </c>
      <c r="K61" s="5" t="s">
        <v>23</v>
      </c>
      <c r="L61" s="5" t="s">
        <v>40</v>
      </c>
      <c r="M61" s="5"/>
      <c r="N61" s="5" t="s">
        <v>32</v>
      </c>
      <c r="O61" s="5">
        <v>16</v>
      </c>
      <c r="P61" s="5"/>
      <c r="Q61" s="5"/>
      <c r="R61" s="8">
        <v>1.8402777777777777E-3</v>
      </c>
      <c r="S61" s="8">
        <v>1.724537037037037E-3</v>
      </c>
      <c r="T61">
        <f>IF(Tabela1[[#This Row],[STATUS_NEGOCIO]]="Enviar E-mail",1,"")</f>
        <v>1</v>
      </c>
      <c r="U61" t="str">
        <f>TEXT(Tabela1[[#This Row],[DATA]],"dd/mm/aaaa")</f>
        <v>20/04/2026</v>
      </c>
    </row>
    <row r="62" spans="1:21" x14ac:dyDescent="0.25">
      <c r="A62" s="4">
        <v>46132.465428240743</v>
      </c>
      <c r="B62" s="5" t="s">
        <v>19</v>
      </c>
      <c r="C62" s="5" t="s">
        <v>20</v>
      </c>
      <c r="D62" s="5"/>
      <c r="E62" s="6"/>
      <c r="F62" s="5">
        <v>2757706531</v>
      </c>
      <c r="G62" s="7">
        <v>177669421320301</v>
      </c>
      <c r="H62" s="5" t="s">
        <v>79</v>
      </c>
      <c r="I62" s="5" t="s">
        <v>28</v>
      </c>
      <c r="J62" s="5" t="s">
        <v>30</v>
      </c>
      <c r="K62" s="5" t="s">
        <v>23</v>
      </c>
      <c r="L62" s="5" t="s">
        <v>31</v>
      </c>
      <c r="M62" s="5"/>
      <c r="N62" s="5" t="s">
        <v>32</v>
      </c>
      <c r="O62" s="5">
        <v>16</v>
      </c>
      <c r="P62" s="5"/>
      <c r="Q62" s="5"/>
      <c r="R62" s="8">
        <v>9.2592592592592588E-5</v>
      </c>
      <c r="S62" s="8">
        <v>3.4722222222222222E-5</v>
      </c>
      <c r="T62" t="str">
        <f>IF(Tabela1[[#This Row],[STATUS_NEGOCIO]]="Enviar E-mail",1,"")</f>
        <v/>
      </c>
      <c r="U62" t="str">
        <f>TEXT(Tabela1[[#This Row],[DATA]],"dd/mm/aaaa")</f>
        <v>20/04/2026</v>
      </c>
    </row>
    <row r="63" spans="1:21" x14ac:dyDescent="0.25">
      <c r="A63" s="4">
        <v>46132.465740740743</v>
      </c>
      <c r="B63" s="5" t="s">
        <v>19</v>
      </c>
      <c r="C63" s="5" t="s">
        <v>20</v>
      </c>
      <c r="D63" s="5"/>
      <c r="E63" s="6"/>
      <c r="F63" s="5">
        <v>2759894304</v>
      </c>
      <c r="G63" s="7">
        <v>177669424020461</v>
      </c>
      <c r="H63" s="5" t="s">
        <v>80</v>
      </c>
      <c r="I63" s="5" t="s">
        <v>28</v>
      </c>
      <c r="J63" s="5" t="s">
        <v>30</v>
      </c>
      <c r="K63" s="5" t="s">
        <v>23</v>
      </c>
      <c r="L63" s="5" t="s">
        <v>31</v>
      </c>
      <c r="M63" s="5"/>
      <c r="N63" s="5" t="s">
        <v>32</v>
      </c>
      <c r="O63" s="5">
        <v>16</v>
      </c>
      <c r="P63" s="5"/>
      <c r="Q63" s="5"/>
      <c r="R63" s="8">
        <v>5.7870370370370373E-5</v>
      </c>
      <c r="S63" s="8">
        <v>1.1574074074074073E-5</v>
      </c>
      <c r="T63" t="str">
        <f>IF(Tabela1[[#This Row],[STATUS_NEGOCIO]]="Enviar E-mail",1,"")</f>
        <v/>
      </c>
      <c r="U63" t="str">
        <f>TEXT(Tabela1[[#This Row],[DATA]],"dd/mm/aaaa")</f>
        <v>20/04/2026</v>
      </c>
    </row>
    <row r="64" spans="1:21" x14ac:dyDescent="0.25">
      <c r="A64" s="4">
        <v>46132.465995370374</v>
      </c>
      <c r="B64" s="5" t="s">
        <v>19</v>
      </c>
      <c r="C64" s="5" t="s">
        <v>20</v>
      </c>
      <c r="D64" s="5"/>
      <c r="E64" s="6"/>
      <c r="F64" s="5">
        <v>2769572734</v>
      </c>
      <c r="G64" s="7">
        <v>177669426220501</v>
      </c>
      <c r="H64" s="5" t="s">
        <v>81</v>
      </c>
      <c r="I64" s="5" t="s">
        <v>28</v>
      </c>
      <c r="J64" s="5" t="s">
        <v>30</v>
      </c>
      <c r="K64" s="5" t="s">
        <v>36</v>
      </c>
      <c r="L64" s="5" t="s">
        <v>36</v>
      </c>
      <c r="M64" s="5"/>
      <c r="N64" s="5" t="s">
        <v>32</v>
      </c>
      <c r="O64" s="5">
        <v>19</v>
      </c>
      <c r="P64" s="5"/>
      <c r="Q64" s="5"/>
      <c r="R64" s="8">
        <v>4.0509259259259258E-4</v>
      </c>
      <c r="S64" s="5" t="s">
        <v>37</v>
      </c>
      <c r="T64" t="str">
        <f>IF(Tabela1[[#This Row],[STATUS_NEGOCIO]]="Enviar E-mail",1,"")</f>
        <v/>
      </c>
      <c r="U64" t="str">
        <f>TEXT(Tabela1[[#This Row],[DATA]],"dd/mm/aaaa")</f>
        <v>20/04/2026</v>
      </c>
    </row>
    <row r="65" spans="1:21" x14ac:dyDescent="0.25">
      <c r="A65" s="4">
        <v>46132.466539351852</v>
      </c>
      <c r="B65" s="5" t="s">
        <v>19</v>
      </c>
      <c r="C65" s="5" t="s">
        <v>20</v>
      </c>
      <c r="D65" s="5"/>
      <c r="E65" s="6"/>
      <c r="F65" s="5">
        <v>2764100085</v>
      </c>
      <c r="G65" s="7">
        <v>177669430920611</v>
      </c>
      <c r="H65" s="5" t="s">
        <v>82</v>
      </c>
      <c r="I65" s="5" t="s">
        <v>28</v>
      </c>
      <c r="J65" s="5" t="s">
        <v>30</v>
      </c>
      <c r="K65" s="5" t="s">
        <v>23</v>
      </c>
      <c r="L65" s="5" t="s">
        <v>40</v>
      </c>
      <c r="M65" s="5"/>
      <c r="N65" s="5" t="s">
        <v>32</v>
      </c>
      <c r="O65" s="5">
        <v>16</v>
      </c>
      <c r="P65" s="5"/>
      <c r="Q65" s="5"/>
      <c r="R65" s="8">
        <v>2.1296296296296298E-3</v>
      </c>
      <c r="S65" s="8">
        <v>2.0486111111111113E-3</v>
      </c>
      <c r="T65">
        <f>IF(Tabela1[[#This Row],[STATUS_NEGOCIO]]="Enviar E-mail",1,"")</f>
        <v>1</v>
      </c>
      <c r="U65" t="str">
        <f>TEXT(Tabela1[[#This Row],[DATA]],"dd/mm/aaaa")</f>
        <v>20/04/2026</v>
      </c>
    </row>
    <row r="66" spans="1:21" x14ac:dyDescent="0.25">
      <c r="A66" s="4">
        <v>46132.468217592592</v>
      </c>
      <c r="B66" s="5" t="s">
        <v>19</v>
      </c>
      <c r="C66" s="5" t="s">
        <v>27</v>
      </c>
      <c r="D66" s="5"/>
      <c r="E66" s="6"/>
      <c r="F66" s="5">
        <v>2709563101</v>
      </c>
      <c r="G66" s="7">
        <v>177669445420681</v>
      </c>
      <c r="H66" s="5" t="s">
        <v>83</v>
      </c>
      <c r="I66" s="5" t="s">
        <v>28</v>
      </c>
      <c r="J66" s="5" t="s">
        <v>30</v>
      </c>
      <c r="K66" s="5" t="s">
        <v>23</v>
      </c>
      <c r="L66" s="5" t="s">
        <v>40</v>
      </c>
      <c r="M66" s="5"/>
      <c r="N66" s="5" t="s">
        <v>32</v>
      </c>
      <c r="O66" s="5">
        <v>16</v>
      </c>
      <c r="P66" s="5"/>
      <c r="Q66" s="5"/>
      <c r="R66" s="8">
        <v>1.8171296296296297E-3</v>
      </c>
      <c r="S66" s="8">
        <v>1.5740740740740741E-3</v>
      </c>
      <c r="T66">
        <f>IF(Tabela1[[#This Row],[STATUS_NEGOCIO]]="Enviar E-mail",1,"")</f>
        <v>1</v>
      </c>
      <c r="U66" t="str">
        <f>TEXT(Tabela1[[#This Row],[DATA]],"dd/mm/aaaa")</f>
        <v>20/04/2026</v>
      </c>
    </row>
    <row r="67" spans="1:21" x14ac:dyDescent="0.25">
      <c r="A67" s="4">
        <v>46132.469699074078</v>
      </c>
      <c r="B67" s="5" t="s">
        <v>19</v>
      </c>
      <c r="C67" s="5" t="s">
        <v>20</v>
      </c>
      <c r="D67" s="5"/>
      <c r="E67" s="6"/>
      <c r="F67" s="5">
        <v>2776391605</v>
      </c>
      <c r="G67" s="7">
        <v>177669458220931</v>
      </c>
      <c r="H67" s="5" t="s">
        <v>84</v>
      </c>
      <c r="I67" s="5" t="s">
        <v>28</v>
      </c>
      <c r="J67" s="5" t="s">
        <v>30</v>
      </c>
      <c r="K67" s="5" t="s">
        <v>36</v>
      </c>
      <c r="L67" s="5" t="s">
        <v>36</v>
      </c>
      <c r="M67" s="5"/>
      <c r="N67" s="5" t="s">
        <v>32</v>
      </c>
      <c r="O67" s="5">
        <v>19</v>
      </c>
      <c r="P67" s="5"/>
      <c r="Q67" s="5"/>
      <c r="R67" s="8">
        <v>4.0509259259259258E-4</v>
      </c>
      <c r="S67" s="5" t="s">
        <v>37</v>
      </c>
      <c r="T67" t="str">
        <f>IF(Tabela1[[#This Row],[STATUS_NEGOCIO]]="Enviar E-mail",1,"")</f>
        <v/>
      </c>
      <c r="U67" t="str">
        <f>TEXT(Tabela1[[#This Row],[DATA]],"dd/mm/aaaa")</f>
        <v>20/04/2026</v>
      </c>
    </row>
    <row r="68" spans="1:21" x14ac:dyDescent="0.25">
      <c r="A68" s="4">
        <v>46132.470393518517</v>
      </c>
      <c r="B68" s="5" t="s">
        <v>19</v>
      </c>
      <c r="C68" s="5" t="s">
        <v>20</v>
      </c>
      <c r="D68" s="5"/>
      <c r="E68" s="6"/>
      <c r="F68" s="5">
        <v>2776411775</v>
      </c>
      <c r="G68" s="7">
        <v>177669464221211</v>
      </c>
      <c r="H68" s="5" t="s">
        <v>85</v>
      </c>
      <c r="I68" s="5" t="s">
        <v>28</v>
      </c>
      <c r="J68" s="5" t="s">
        <v>30</v>
      </c>
      <c r="K68" s="5" t="s">
        <v>23</v>
      </c>
      <c r="L68" s="5" t="s">
        <v>31</v>
      </c>
      <c r="M68" s="5"/>
      <c r="N68" s="5" t="s">
        <v>32</v>
      </c>
      <c r="O68" s="5">
        <v>16</v>
      </c>
      <c r="P68" s="5"/>
      <c r="Q68" s="5"/>
      <c r="R68" s="8">
        <v>1.273148148148148E-4</v>
      </c>
      <c r="S68" s="8">
        <v>8.1018518518518516E-5</v>
      </c>
      <c r="T68" t="str">
        <f>IF(Tabela1[[#This Row],[STATUS_NEGOCIO]]="Enviar E-mail",1,"")</f>
        <v/>
      </c>
      <c r="U68" t="str">
        <f>TEXT(Tabela1[[#This Row],[DATA]],"dd/mm/aaaa")</f>
        <v>20/04/2026</v>
      </c>
    </row>
    <row r="69" spans="1:21" x14ac:dyDescent="0.25">
      <c r="A69" s="4">
        <v>46132.470821759256</v>
      </c>
      <c r="B69" s="5" t="s">
        <v>19</v>
      </c>
      <c r="C69" s="5" t="s">
        <v>20</v>
      </c>
      <c r="D69" s="5"/>
      <c r="E69" s="6"/>
      <c r="F69" s="5">
        <v>2006680388</v>
      </c>
      <c r="G69" s="7">
        <v>177669467821251</v>
      </c>
      <c r="H69" s="5" t="s">
        <v>86</v>
      </c>
      <c r="I69" s="5" t="s">
        <v>28</v>
      </c>
      <c r="J69" s="5" t="s">
        <v>30</v>
      </c>
      <c r="K69" s="5" t="s">
        <v>36</v>
      </c>
      <c r="L69" s="5" t="s">
        <v>36</v>
      </c>
      <c r="M69" s="5"/>
      <c r="N69" s="5" t="s">
        <v>26</v>
      </c>
      <c r="O69" s="5">
        <v>1</v>
      </c>
      <c r="P69" s="5"/>
      <c r="Q69" s="5"/>
      <c r="R69" s="8">
        <v>1.1574074074074073E-5</v>
      </c>
      <c r="S69" s="5" t="s">
        <v>37</v>
      </c>
      <c r="T69" t="str">
        <f>IF(Tabela1[[#This Row],[STATUS_NEGOCIO]]="Enviar E-mail",1,"")</f>
        <v/>
      </c>
      <c r="U69" t="str">
        <f>TEXT(Tabela1[[#This Row],[DATA]],"dd/mm/aaaa")</f>
        <v>20/04/2026</v>
      </c>
    </row>
    <row r="70" spans="1:21" x14ac:dyDescent="0.25">
      <c r="A70" s="4">
        <v>46132.470902777779</v>
      </c>
      <c r="B70" s="5" t="s">
        <v>19</v>
      </c>
      <c r="C70" s="5" t="s">
        <v>27</v>
      </c>
      <c r="D70" s="5"/>
      <c r="E70" s="6"/>
      <c r="F70" s="5">
        <v>2776481505</v>
      </c>
      <c r="G70" s="7">
        <v>177669468621291</v>
      </c>
      <c r="H70" s="5" t="s">
        <v>87</v>
      </c>
      <c r="I70" s="5" t="s">
        <v>28</v>
      </c>
      <c r="J70" s="5" t="s">
        <v>30</v>
      </c>
      <c r="K70" s="5" t="s">
        <v>23</v>
      </c>
      <c r="L70" s="5" t="s">
        <v>31</v>
      </c>
      <c r="M70" s="5"/>
      <c r="N70" s="5" t="s">
        <v>26</v>
      </c>
      <c r="O70" s="5">
        <v>16</v>
      </c>
      <c r="P70" s="5"/>
      <c r="Q70" s="5"/>
      <c r="R70" s="8">
        <v>3.1250000000000001E-4</v>
      </c>
      <c r="S70" s="8">
        <v>1.1574074074074075E-4</v>
      </c>
      <c r="T70" t="str">
        <f>IF(Tabela1[[#This Row],[STATUS_NEGOCIO]]="Enviar E-mail",1,"")</f>
        <v/>
      </c>
      <c r="U70" t="str">
        <f>TEXT(Tabela1[[#This Row],[DATA]],"dd/mm/aaaa")</f>
        <v>20/04/2026</v>
      </c>
    </row>
    <row r="71" spans="1:21" x14ac:dyDescent="0.25">
      <c r="A71" s="4">
        <v>46132.470925925925</v>
      </c>
      <c r="B71" s="5" t="s">
        <v>19</v>
      </c>
      <c r="C71" s="5" t="s">
        <v>20</v>
      </c>
      <c r="D71" s="5"/>
      <c r="E71" s="6"/>
      <c r="F71" s="5">
        <v>2006680396</v>
      </c>
      <c r="G71" s="7">
        <v>177669468621311</v>
      </c>
      <c r="H71" s="5" t="s">
        <v>86</v>
      </c>
      <c r="I71" s="5" t="s">
        <v>28</v>
      </c>
      <c r="J71" s="5" t="s">
        <v>30</v>
      </c>
      <c r="K71" s="5" t="s">
        <v>36</v>
      </c>
      <c r="L71" s="5" t="s">
        <v>36</v>
      </c>
      <c r="M71" s="5"/>
      <c r="N71" s="5" t="s">
        <v>26</v>
      </c>
      <c r="O71" s="5">
        <v>1</v>
      </c>
      <c r="P71" s="5"/>
      <c r="Q71" s="5"/>
      <c r="R71" s="8">
        <v>1.1574074074074073E-5</v>
      </c>
      <c r="S71" s="5" t="s">
        <v>37</v>
      </c>
      <c r="T71" t="str">
        <f>IF(Tabela1[[#This Row],[STATUS_NEGOCIO]]="Enviar E-mail",1,"")</f>
        <v/>
      </c>
      <c r="U71" t="str">
        <f>TEXT(Tabela1[[#This Row],[DATA]],"dd/mm/aaaa")</f>
        <v>20/04/2026</v>
      </c>
    </row>
    <row r="72" spans="1:21" x14ac:dyDescent="0.25">
      <c r="A72" s="4">
        <v>46132.47142361111</v>
      </c>
      <c r="B72" s="5" t="s">
        <v>19</v>
      </c>
      <c r="C72" s="5" t="s">
        <v>20</v>
      </c>
      <c r="D72" s="5"/>
      <c r="E72" s="6"/>
      <c r="F72" s="5">
        <v>2757746263</v>
      </c>
      <c r="G72" s="7">
        <v>177669473121451</v>
      </c>
      <c r="H72" s="5" t="s">
        <v>88</v>
      </c>
      <c r="I72" s="5" t="s">
        <v>28</v>
      </c>
      <c r="J72" s="5" t="s">
        <v>30</v>
      </c>
      <c r="K72" s="5" t="s">
        <v>23</v>
      </c>
      <c r="L72" s="5" t="s">
        <v>31</v>
      </c>
      <c r="M72" s="5"/>
      <c r="N72" s="5" t="s">
        <v>32</v>
      </c>
      <c r="O72" s="5">
        <v>16</v>
      </c>
      <c r="P72" s="5"/>
      <c r="Q72" s="5"/>
      <c r="R72" s="8">
        <v>1.3888888888888889E-4</v>
      </c>
      <c r="S72" s="5" t="s">
        <v>37</v>
      </c>
      <c r="T72" t="str">
        <f>IF(Tabela1[[#This Row],[STATUS_NEGOCIO]]="Enviar E-mail",1,"")</f>
        <v/>
      </c>
      <c r="U72" t="str">
        <f>TEXT(Tabela1[[#This Row],[DATA]],"dd/mm/aaaa")</f>
        <v>20/04/2026</v>
      </c>
    </row>
    <row r="73" spans="1:21" x14ac:dyDescent="0.25">
      <c r="A73" s="4">
        <v>46132.471817129626</v>
      </c>
      <c r="B73" s="5" t="s">
        <v>19</v>
      </c>
      <c r="C73" s="5" t="s">
        <v>20</v>
      </c>
      <c r="D73" s="5"/>
      <c r="E73" s="6"/>
      <c r="F73" s="5">
        <v>2764719131</v>
      </c>
      <c r="G73" s="7">
        <v>177669476521541</v>
      </c>
      <c r="H73" s="5" t="s">
        <v>89</v>
      </c>
      <c r="I73" s="5" t="s">
        <v>28</v>
      </c>
      <c r="J73" s="5" t="s">
        <v>30</v>
      </c>
      <c r="K73" s="5" t="s">
        <v>23</v>
      </c>
      <c r="L73" s="5" t="s">
        <v>31</v>
      </c>
      <c r="M73" s="5"/>
      <c r="N73" s="5" t="s">
        <v>32</v>
      </c>
      <c r="O73" s="5">
        <v>16</v>
      </c>
      <c r="P73" s="5"/>
      <c r="Q73" s="5"/>
      <c r="R73" s="8">
        <v>1.7361111111111112E-4</v>
      </c>
      <c r="S73" s="5" t="s">
        <v>37</v>
      </c>
      <c r="T73" t="str">
        <f>IF(Tabela1[[#This Row],[STATUS_NEGOCIO]]="Enviar E-mail",1,"")</f>
        <v/>
      </c>
      <c r="U73" t="str">
        <f>TEXT(Tabela1[[#This Row],[DATA]],"dd/mm/aaaa")</f>
        <v>20/04/2026</v>
      </c>
    </row>
    <row r="74" spans="1:21" x14ac:dyDescent="0.25">
      <c r="A74" s="4">
        <v>46132.472233796296</v>
      </c>
      <c r="B74" s="5" t="s">
        <v>19</v>
      </c>
      <c r="C74" s="5" t="s">
        <v>20</v>
      </c>
      <c r="D74" s="5"/>
      <c r="E74" s="6"/>
      <c r="F74" s="5">
        <v>2776679797</v>
      </c>
      <c r="G74" s="7">
        <v>177669480121631</v>
      </c>
      <c r="H74" s="5" t="s">
        <v>90</v>
      </c>
      <c r="I74" s="5" t="s">
        <v>28</v>
      </c>
      <c r="J74" s="5" t="s">
        <v>30</v>
      </c>
      <c r="K74" s="5" t="s">
        <v>23</v>
      </c>
      <c r="L74" s="5" t="s">
        <v>40</v>
      </c>
      <c r="M74" s="5"/>
      <c r="N74" s="5" t="s">
        <v>32</v>
      </c>
      <c r="O74" s="5">
        <v>16</v>
      </c>
      <c r="P74" s="5"/>
      <c r="Q74" s="5"/>
      <c r="R74" s="8">
        <v>2.1180555555555558E-3</v>
      </c>
      <c r="S74" s="8">
        <v>1.9328703703703704E-3</v>
      </c>
      <c r="T74">
        <f>IF(Tabela1[[#This Row],[STATUS_NEGOCIO]]="Enviar E-mail",1,"")</f>
        <v>1</v>
      </c>
      <c r="U74" t="str">
        <f>TEXT(Tabela1[[#This Row],[DATA]],"dd/mm/aaaa")</f>
        <v>20/04/2026</v>
      </c>
    </row>
    <row r="75" spans="1:21" x14ac:dyDescent="0.25">
      <c r="A75" s="4">
        <v>46132.472511574073</v>
      </c>
      <c r="B75" s="5" t="s">
        <v>19</v>
      </c>
      <c r="C75" s="5" t="s">
        <v>27</v>
      </c>
      <c r="D75" s="5"/>
      <c r="E75" s="6"/>
      <c r="F75" s="5">
        <v>2775861556</v>
      </c>
      <c r="G75" s="7">
        <v>177669482521661</v>
      </c>
      <c r="H75" s="5" t="s">
        <v>91</v>
      </c>
      <c r="I75" s="5" t="s">
        <v>28</v>
      </c>
      <c r="J75" s="5" t="s">
        <v>30</v>
      </c>
      <c r="K75" s="5" t="s">
        <v>23</v>
      </c>
      <c r="L75" s="5" t="s">
        <v>31</v>
      </c>
      <c r="M75" s="5"/>
      <c r="N75" s="5" t="s">
        <v>32</v>
      </c>
      <c r="O75" s="5">
        <v>16</v>
      </c>
      <c r="P75" s="5"/>
      <c r="Q75" s="5"/>
      <c r="R75" s="8">
        <v>2.4305555555555555E-4</v>
      </c>
      <c r="S75" s="8">
        <v>6.9444444444444444E-5</v>
      </c>
      <c r="T75" t="str">
        <f>IF(Tabela1[[#This Row],[STATUS_NEGOCIO]]="Enviar E-mail",1,"")</f>
        <v/>
      </c>
      <c r="U75" t="str">
        <f>TEXT(Tabela1[[#This Row],[DATA]],"dd/mm/aaaa")</f>
        <v>20/04/2026</v>
      </c>
    </row>
    <row r="76" spans="1:21" x14ac:dyDescent="0.25">
      <c r="A76" s="4">
        <v>46132.472974537035</v>
      </c>
      <c r="B76" s="5" t="s">
        <v>19</v>
      </c>
      <c r="C76" s="5" t="s">
        <v>27</v>
      </c>
      <c r="D76" s="5"/>
      <c r="E76" s="6"/>
      <c r="F76" s="5">
        <v>2769392073</v>
      </c>
      <c r="G76" s="7">
        <v>177669486521751</v>
      </c>
      <c r="H76" s="5" t="s">
        <v>92</v>
      </c>
      <c r="I76" s="5" t="s">
        <v>28</v>
      </c>
      <c r="J76" s="5" t="s">
        <v>30</v>
      </c>
      <c r="K76" s="5" t="s">
        <v>23</v>
      </c>
      <c r="L76" s="5" t="s">
        <v>31</v>
      </c>
      <c r="M76" s="5"/>
      <c r="N76" s="5" t="s">
        <v>32</v>
      </c>
      <c r="O76" s="5">
        <v>16</v>
      </c>
      <c r="P76" s="5"/>
      <c r="Q76" s="5"/>
      <c r="R76" s="8">
        <v>4.7453703703703704E-4</v>
      </c>
      <c r="S76" s="8">
        <v>5.7870370370370373E-5</v>
      </c>
      <c r="T76" t="str">
        <f>IF(Tabela1[[#This Row],[STATUS_NEGOCIO]]="Enviar E-mail",1,"")</f>
        <v/>
      </c>
      <c r="U76" t="str">
        <f>TEXT(Tabela1[[#This Row],[DATA]],"dd/mm/aaaa")</f>
        <v>20/04/2026</v>
      </c>
    </row>
    <row r="77" spans="1:21" x14ac:dyDescent="0.25">
      <c r="A77" s="4">
        <v>46132.474826388891</v>
      </c>
      <c r="B77" s="5" t="s">
        <v>19</v>
      </c>
      <c r="C77" s="5" t="s">
        <v>20</v>
      </c>
      <c r="D77" s="5"/>
      <c r="E77" s="6"/>
      <c r="F77" s="5">
        <v>2758505577</v>
      </c>
      <c r="G77" s="7">
        <v>177669502522091</v>
      </c>
      <c r="H77" s="5" t="s">
        <v>93</v>
      </c>
      <c r="I77" s="5" t="s">
        <v>28</v>
      </c>
      <c r="J77" s="5" t="s">
        <v>30</v>
      </c>
      <c r="K77" s="5" t="s">
        <v>36</v>
      </c>
      <c r="L77" s="5" t="s">
        <v>36</v>
      </c>
      <c r="M77" s="5"/>
      <c r="N77" s="5" t="s">
        <v>32</v>
      </c>
      <c r="O77" s="5">
        <v>19</v>
      </c>
      <c r="P77" s="5"/>
      <c r="Q77" s="5"/>
      <c r="R77" s="8">
        <v>3.4722222222222224E-4</v>
      </c>
      <c r="S77" s="5" t="s">
        <v>37</v>
      </c>
      <c r="T77" t="str">
        <f>IF(Tabela1[[#This Row],[STATUS_NEGOCIO]]="Enviar E-mail",1,"")</f>
        <v/>
      </c>
      <c r="U77" t="str">
        <f>TEXT(Tabela1[[#This Row],[DATA]],"dd/mm/aaaa")</f>
        <v>20/04/2026</v>
      </c>
    </row>
    <row r="78" spans="1:21" x14ac:dyDescent="0.25">
      <c r="A78" s="4">
        <v>46132.475104166668</v>
      </c>
      <c r="B78" s="5" t="s">
        <v>19</v>
      </c>
      <c r="C78" s="5" t="s">
        <v>27</v>
      </c>
      <c r="D78" s="5"/>
      <c r="E78" s="6"/>
      <c r="F78" s="5">
        <v>2769392257</v>
      </c>
      <c r="G78" s="7">
        <v>177669504922171</v>
      </c>
      <c r="H78" s="5" t="s">
        <v>92</v>
      </c>
      <c r="I78" s="5" t="s">
        <v>28</v>
      </c>
      <c r="J78" s="5" t="s">
        <v>30</v>
      </c>
      <c r="K78" s="5" t="s">
        <v>23</v>
      </c>
      <c r="L78" s="5" t="s">
        <v>31</v>
      </c>
      <c r="M78" s="5"/>
      <c r="N78" s="5" t="s">
        <v>32</v>
      </c>
      <c r="O78" s="5">
        <v>16</v>
      </c>
      <c r="P78" s="5"/>
      <c r="Q78" s="5"/>
      <c r="R78" s="8">
        <v>4.2824074074074075E-4</v>
      </c>
      <c r="S78" s="8">
        <v>1.5046296296296297E-4</v>
      </c>
      <c r="T78" t="str">
        <f>IF(Tabela1[[#This Row],[STATUS_NEGOCIO]]="Enviar E-mail",1,"")</f>
        <v/>
      </c>
      <c r="U78" t="str">
        <f>TEXT(Tabela1[[#This Row],[DATA]],"dd/mm/aaaa")</f>
        <v>20/04/2026</v>
      </c>
    </row>
    <row r="79" spans="1:21" x14ac:dyDescent="0.25">
      <c r="A79" s="4">
        <v>46132.475324074076</v>
      </c>
      <c r="B79" s="5" t="s">
        <v>19</v>
      </c>
      <c r="C79" s="5" t="s">
        <v>20</v>
      </c>
      <c r="D79" s="5"/>
      <c r="E79" s="6"/>
      <c r="F79" s="5">
        <v>2775195247</v>
      </c>
      <c r="G79" s="7">
        <v>177669506822231</v>
      </c>
      <c r="H79" s="5" t="s">
        <v>94</v>
      </c>
      <c r="I79" s="5" t="s">
        <v>28</v>
      </c>
      <c r="J79" s="5" t="s">
        <v>30</v>
      </c>
      <c r="K79" s="5" t="s">
        <v>23</v>
      </c>
      <c r="L79" s="5" t="s">
        <v>95</v>
      </c>
      <c r="M79" s="5"/>
      <c r="N79" s="5" t="s">
        <v>26</v>
      </c>
      <c r="O79" s="5">
        <v>16</v>
      </c>
      <c r="P79" s="5"/>
      <c r="Q79" s="5"/>
      <c r="R79" s="8">
        <v>5.3240740740740744E-4</v>
      </c>
      <c r="S79" s="8">
        <v>4.1666666666666669E-4</v>
      </c>
      <c r="T79" t="str">
        <f>IF(Tabela1[[#This Row],[STATUS_NEGOCIO]]="Enviar E-mail",1,"")</f>
        <v/>
      </c>
      <c r="U79" t="str">
        <f>TEXT(Tabela1[[#This Row],[DATA]],"dd/mm/aaaa")</f>
        <v>20/04/2026</v>
      </c>
    </row>
    <row r="80" spans="1:21" x14ac:dyDescent="0.25">
      <c r="A80" s="4">
        <v>46132.476678240739</v>
      </c>
      <c r="B80" s="5" t="s">
        <v>19</v>
      </c>
      <c r="C80" s="5" t="s">
        <v>20</v>
      </c>
      <c r="D80" s="5"/>
      <c r="E80" s="6"/>
      <c r="F80" s="5">
        <v>2769451210</v>
      </c>
      <c r="G80" s="7">
        <v>177669518522451</v>
      </c>
      <c r="H80" s="5" t="s">
        <v>96</v>
      </c>
      <c r="I80" s="5" t="s">
        <v>28</v>
      </c>
      <c r="J80" s="5" t="s">
        <v>30</v>
      </c>
      <c r="K80" s="5" t="s">
        <v>23</v>
      </c>
      <c r="L80" s="5" t="s">
        <v>31</v>
      </c>
      <c r="M80" s="5"/>
      <c r="N80" s="5" t="s">
        <v>32</v>
      </c>
      <c r="O80" s="5">
        <v>16</v>
      </c>
      <c r="P80" s="5"/>
      <c r="Q80" s="5"/>
      <c r="R80" s="8">
        <v>2.0833333333333335E-4</v>
      </c>
      <c r="S80" s="8">
        <v>1.1574074074074073E-5</v>
      </c>
      <c r="T80" t="str">
        <f>IF(Tabela1[[#This Row],[STATUS_NEGOCIO]]="Enviar E-mail",1,"")</f>
        <v/>
      </c>
      <c r="U80" t="str">
        <f>TEXT(Tabela1[[#This Row],[DATA]],"dd/mm/aaaa")</f>
        <v>20/04/2026</v>
      </c>
    </row>
    <row r="81" spans="1:21" x14ac:dyDescent="0.25">
      <c r="A81" s="4">
        <v>46132.477083333331</v>
      </c>
      <c r="B81" s="5" t="s">
        <v>19</v>
      </c>
      <c r="C81" s="5" t="s">
        <v>27</v>
      </c>
      <c r="D81" s="5"/>
      <c r="E81" s="6"/>
      <c r="F81" s="5">
        <v>2772881653</v>
      </c>
      <c r="G81" s="7">
        <v>177669522022521</v>
      </c>
      <c r="H81" s="5" t="s">
        <v>97</v>
      </c>
      <c r="I81" s="5" t="s">
        <v>28</v>
      </c>
      <c r="J81" s="5" t="s">
        <v>30</v>
      </c>
      <c r="K81" s="5" t="s">
        <v>23</v>
      </c>
      <c r="L81" s="5" t="s">
        <v>31</v>
      </c>
      <c r="M81" s="5"/>
      <c r="N81" s="5" t="s">
        <v>26</v>
      </c>
      <c r="O81" s="5">
        <v>16</v>
      </c>
      <c r="P81" s="5"/>
      <c r="Q81" s="5"/>
      <c r="R81" s="8">
        <v>5.5555555555555556E-4</v>
      </c>
      <c r="S81" s="8">
        <v>1.1574074074074075E-4</v>
      </c>
      <c r="T81" t="str">
        <f>IF(Tabela1[[#This Row],[STATUS_NEGOCIO]]="Enviar E-mail",1,"")</f>
        <v/>
      </c>
      <c r="U81" t="str">
        <f>TEXT(Tabela1[[#This Row],[DATA]],"dd/mm/aaaa")</f>
        <v>20/04/2026</v>
      </c>
    </row>
    <row r="82" spans="1:21" x14ac:dyDescent="0.25">
      <c r="A82" s="4">
        <v>46132.477152777778</v>
      </c>
      <c r="B82" s="5" t="s">
        <v>19</v>
      </c>
      <c r="C82" s="5" t="s">
        <v>20</v>
      </c>
      <c r="D82" s="5"/>
      <c r="E82" s="6"/>
      <c r="F82" s="5">
        <v>2774068075</v>
      </c>
      <c r="G82" s="7">
        <v>177669522622541</v>
      </c>
      <c r="H82" s="5" t="s">
        <v>98</v>
      </c>
      <c r="I82" s="5" t="s">
        <v>28</v>
      </c>
      <c r="J82" s="5" t="s">
        <v>30</v>
      </c>
      <c r="K82" s="5" t="s">
        <v>36</v>
      </c>
      <c r="L82" s="5" t="s">
        <v>36</v>
      </c>
      <c r="M82" s="5"/>
      <c r="N82" s="5" t="s">
        <v>32</v>
      </c>
      <c r="O82" s="5">
        <v>19</v>
      </c>
      <c r="P82" s="5"/>
      <c r="Q82" s="5"/>
      <c r="R82" s="8">
        <v>4.6296296296296298E-4</v>
      </c>
      <c r="S82" s="5" t="s">
        <v>37</v>
      </c>
      <c r="T82" t="str">
        <f>IF(Tabela1[[#This Row],[STATUS_NEGOCIO]]="Enviar E-mail",1,"")</f>
        <v/>
      </c>
      <c r="U82" t="str">
        <f>TEXT(Tabela1[[#This Row],[DATA]],"dd/mm/aaaa")</f>
        <v>20/04/2026</v>
      </c>
    </row>
    <row r="83" spans="1:21" x14ac:dyDescent="0.25">
      <c r="A83" s="4">
        <v>46132.477766203701</v>
      </c>
      <c r="B83" s="5" t="s">
        <v>19</v>
      </c>
      <c r="C83" s="5" t="s">
        <v>20</v>
      </c>
      <c r="D83" s="5"/>
      <c r="E83" s="6"/>
      <c r="F83" s="5">
        <v>2761664154</v>
      </c>
      <c r="G83" s="7">
        <v>177669527922641</v>
      </c>
      <c r="H83" s="5" t="s">
        <v>99</v>
      </c>
      <c r="I83" s="5" t="s">
        <v>28</v>
      </c>
      <c r="J83" s="5" t="s">
        <v>30</v>
      </c>
      <c r="K83" s="5" t="s">
        <v>23</v>
      </c>
      <c r="L83" s="5" t="s">
        <v>100</v>
      </c>
      <c r="M83" s="5"/>
      <c r="N83" s="5" t="s">
        <v>32</v>
      </c>
      <c r="O83" s="5">
        <v>16</v>
      </c>
      <c r="P83" s="5"/>
      <c r="Q83" s="5"/>
      <c r="R83" s="8">
        <v>1.9097222222222222E-3</v>
      </c>
      <c r="S83" s="8">
        <v>1.7592592592592592E-3</v>
      </c>
      <c r="T83" t="str">
        <f>IF(Tabela1[[#This Row],[STATUS_NEGOCIO]]="Enviar E-mail",1,"")</f>
        <v/>
      </c>
      <c r="U83" t="str">
        <f>TEXT(Tabela1[[#This Row],[DATA]],"dd/mm/aaaa")</f>
        <v>20/04/2026</v>
      </c>
    </row>
    <row r="84" spans="1:21" x14ac:dyDescent="0.25">
      <c r="A84" s="4">
        <v>46132.479629629626</v>
      </c>
      <c r="B84" s="5" t="s">
        <v>19</v>
      </c>
      <c r="C84" s="5" t="s">
        <v>27</v>
      </c>
      <c r="D84" s="5"/>
      <c r="E84" s="6"/>
      <c r="F84" s="5">
        <v>2768888016</v>
      </c>
      <c r="G84" s="7">
        <v>177669544022921</v>
      </c>
      <c r="H84" s="5" t="s">
        <v>101</v>
      </c>
      <c r="I84" s="5" t="s">
        <v>28</v>
      </c>
      <c r="J84" s="5" t="s">
        <v>30</v>
      </c>
      <c r="K84" s="5" t="s">
        <v>23</v>
      </c>
      <c r="L84" s="5" t="s">
        <v>31</v>
      </c>
      <c r="M84" s="5"/>
      <c r="N84" s="5" t="s">
        <v>32</v>
      </c>
      <c r="O84" s="5">
        <v>16</v>
      </c>
      <c r="P84" s="5"/>
      <c r="Q84" s="5"/>
      <c r="R84" s="8">
        <v>5.4398148148148144E-4</v>
      </c>
      <c r="S84" s="8">
        <v>5.0925925925925921E-4</v>
      </c>
      <c r="T84" t="str">
        <f>IF(Tabela1[[#This Row],[STATUS_NEGOCIO]]="Enviar E-mail",1,"")</f>
        <v/>
      </c>
      <c r="U84" t="str">
        <f>TEXT(Tabela1[[#This Row],[DATA]],"dd/mm/aaaa")</f>
        <v>20/04/2026</v>
      </c>
    </row>
    <row r="85" spans="1:21" x14ac:dyDescent="0.25">
      <c r="A85" s="4">
        <v>46132.480451388888</v>
      </c>
      <c r="B85" s="5" t="s">
        <v>19</v>
      </c>
      <c r="C85" s="5" t="s">
        <v>27</v>
      </c>
      <c r="D85" s="5"/>
      <c r="E85" s="6"/>
      <c r="F85" s="5">
        <v>2772165791</v>
      </c>
      <c r="G85" s="7">
        <v>177669551123021</v>
      </c>
      <c r="H85" s="5" t="s">
        <v>102</v>
      </c>
      <c r="I85" s="5" t="s">
        <v>28</v>
      </c>
      <c r="J85" s="5" t="s">
        <v>30</v>
      </c>
      <c r="K85" s="5" t="s">
        <v>23</v>
      </c>
      <c r="L85" s="5" t="s">
        <v>40</v>
      </c>
      <c r="M85" s="5"/>
      <c r="N85" s="5" t="s">
        <v>32</v>
      </c>
      <c r="O85" s="5">
        <v>16</v>
      </c>
      <c r="P85" s="5"/>
      <c r="Q85" s="5"/>
      <c r="R85" s="8">
        <v>1.6666666666666668E-3</v>
      </c>
      <c r="S85" s="8">
        <v>1.5393518518518519E-3</v>
      </c>
      <c r="T85">
        <f>IF(Tabela1[[#This Row],[STATUS_NEGOCIO]]="Enviar E-mail",1,"")</f>
        <v>1</v>
      </c>
      <c r="U85" t="str">
        <f>TEXT(Tabela1[[#This Row],[DATA]],"dd/mm/aaaa")</f>
        <v>20/04/2026</v>
      </c>
    </row>
    <row r="86" spans="1:21" x14ac:dyDescent="0.25">
      <c r="A86" s="4">
        <v>46132.485347222224</v>
      </c>
      <c r="B86" s="5" t="s">
        <v>19</v>
      </c>
      <c r="C86" s="5" t="s">
        <v>27</v>
      </c>
      <c r="D86" s="5"/>
      <c r="E86" s="6"/>
      <c r="F86" s="5">
        <v>2758296121</v>
      </c>
      <c r="G86" s="7">
        <v>177669593424021</v>
      </c>
      <c r="H86" s="5" t="s">
        <v>103</v>
      </c>
      <c r="I86" s="5" t="s">
        <v>28</v>
      </c>
      <c r="J86" s="5" t="s">
        <v>30</v>
      </c>
      <c r="K86" s="5" t="s">
        <v>23</v>
      </c>
      <c r="L86" s="5" t="s">
        <v>31</v>
      </c>
      <c r="M86" s="5"/>
      <c r="N86" s="5" t="s">
        <v>32</v>
      </c>
      <c r="O86" s="5">
        <v>16</v>
      </c>
      <c r="P86" s="5"/>
      <c r="Q86" s="5"/>
      <c r="R86" s="8">
        <v>4.7453703703703704E-4</v>
      </c>
      <c r="S86" s="8">
        <v>2.5462962962962961E-4</v>
      </c>
      <c r="T86" t="str">
        <f>IF(Tabela1[[#This Row],[STATUS_NEGOCIO]]="Enviar E-mail",1,"")</f>
        <v/>
      </c>
      <c r="U86" t="str">
        <f>TEXT(Tabela1[[#This Row],[DATA]],"dd/mm/aaaa")</f>
        <v>20/04/2026</v>
      </c>
    </row>
    <row r="87" spans="1:21" x14ac:dyDescent="0.25">
      <c r="A87" s="4">
        <v>46132.486631944441</v>
      </c>
      <c r="B87" s="5" t="s">
        <v>19</v>
      </c>
      <c r="C87" s="5" t="s">
        <v>20</v>
      </c>
      <c r="D87" s="5"/>
      <c r="E87" s="6"/>
      <c r="F87" s="5">
        <v>2769810272</v>
      </c>
      <c r="G87" s="7">
        <v>177669604524401</v>
      </c>
      <c r="H87" s="5" t="s">
        <v>104</v>
      </c>
      <c r="I87" s="5" t="s">
        <v>28</v>
      </c>
      <c r="J87" s="5" t="s">
        <v>30</v>
      </c>
      <c r="K87" s="5" t="s">
        <v>36</v>
      </c>
      <c r="L87" s="5" t="s">
        <v>36</v>
      </c>
      <c r="M87" s="5"/>
      <c r="N87" s="5" t="s">
        <v>32</v>
      </c>
      <c r="O87" s="5">
        <v>19</v>
      </c>
      <c r="P87" s="5"/>
      <c r="Q87" s="5"/>
      <c r="R87" s="8">
        <v>4.2824074074074075E-4</v>
      </c>
      <c r="S87" s="5" t="s">
        <v>37</v>
      </c>
      <c r="T87" t="str">
        <f>IF(Tabela1[[#This Row],[STATUS_NEGOCIO]]="Enviar E-mail",1,"")</f>
        <v/>
      </c>
      <c r="U87" t="str">
        <f>TEXT(Tabela1[[#This Row],[DATA]],"dd/mm/aaaa")</f>
        <v>20/04/2026</v>
      </c>
    </row>
    <row r="88" spans="1:21" x14ac:dyDescent="0.25">
      <c r="A88" s="4">
        <v>46132.487199074072</v>
      </c>
      <c r="B88" s="5" t="s">
        <v>19</v>
      </c>
      <c r="C88" s="5" t="s">
        <v>20</v>
      </c>
      <c r="D88" s="5"/>
      <c r="E88" s="6"/>
      <c r="F88" s="5">
        <v>2755869115</v>
      </c>
      <c r="G88" s="7">
        <v>177669609424501</v>
      </c>
      <c r="H88" s="5" t="s">
        <v>105</v>
      </c>
      <c r="I88" s="5" t="s">
        <v>28</v>
      </c>
      <c r="J88" s="5" t="s">
        <v>30</v>
      </c>
      <c r="K88" s="5" t="s">
        <v>23</v>
      </c>
      <c r="L88" s="5" t="s">
        <v>106</v>
      </c>
      <c r="M88" s="5"/>
      <c r="N88" s="5" t="s">
        <v>26</v>
      </c>
      <c r="O88" s="5">
        <v>16</v>
      </c>
      <c r="P88" s="5"/>
      <c r="Q88" s="5"/>
      <c r="R88" s="8">
        <v>1.2268518518518518E-3</v>
      </c>
      <c r="S88" s="8">
        <v>1.1689814814814816E-3</v>
      </c>
      <c r="T88" t="str">
        <f>IF(Tabela1[[#This Row],[STATUS_NEGOCIO]]="Enviar E-mail",1,"")</f>
        <v/>
      </c>
      <c r="U88" t="str">
        <f>TEXT(Tabela1[[#This Row],[DATA]],"dd/mm/aaaa")</f>
        <v>20/04/2026</v>
      </c>
    </row>
    <row r="89" spans="1:21" x14ac:dyDescent="0.25">
      <c r="A89" s="4">
        <v>46132.49077546296</v>
      </c>
      <c r="B89" s="5" t="s">
        <v>19</v>
      </c>
      <c r="C89" s="5" t="s">
        <v>20</v>
      </c>
      <c r="D89" s="5"/>
      <c r="E89" s="6"/>
      <c r="F89" s="5">
        <v>2776258034</v>
      </c>
      <c r="G89" s="7">
        <v>177669640324751</v>
      </c>
      <c r="H89" s="5" t="s">
        <v>107</v>
      </c>
      <c r="I89" s="5" t="s">
        <v>28</v>
      </c>
      <c r="J89" s="5" t="s">
        <v>30</v>
      </c>
      <c r="K89" s="5" t="s">
        <v>23</v>
      </c>
      <c r="L89" s="5" t="s">
        <v>31</v>
      </c>
      <c r="M89" s="5"/>
      <c r="N89" s="5" t="s">
        <v>32</v>
      </c>
      <c r="O89" s="5">
        <v>16</v>
      </c>
      <c r="P89" s="5"/>
      <c r="Q89" s="5"/>
      <c r="R89" s="8">
        <v>2.6620370370370372E-4</v>
      </c>
      <c r="S89" s="8">
        <v>2.3148148148148147E-5</v>
      </c>
      <c r="T89" t="str">
        <f>IF(Tabela1[[#This Row],[STATUS_NEGOCIO]]="Enviar E-mail",1,"")</f>
        <v/>
      </c>
      <c r="U89" t="str">
        <f>TEXT(Tabela1[[#This Row],[DATA]],"dd/mm/aaaa")</f>
        <v>20/04/2026</v>
      </c>
    </row>
    <row r="90" spans="1:21" x14ac:dyDescent="0.25">
      <c r="A90" s="4">
        <v>46132.491238425922</v>
      </c>
      <c r="B90" s="5" t="s">
        <v>19</v>
      </c>
      <c r="C90" s="5" t="s">
        <v>20</v>
      </c>
      <c r="D90" s="5"/>
      <c r="E90" s="6"/>
      <c r="F90" s="5">
        <v>2765508182</v>
      </c>
      <c r="G90" s="7">
        <v>177669644324841</v>
      </c>
      <c r="H90" s="5" t="s">
        <v>108</v>
      </c>
      <c r="I90" s="5" t="s">
        <v>28</v>
      </c>
      <c r="J90" s="5" t="s">
        <v>30</v>
      </c>
      <c r="K90" s="5" t="s">
        <v>36</v>
      </c>
      <c r="L90" s="5" t="s">
        <v>36</v>
      </c>
      <c r="M90" s="5"/>
      <c r="N90" s="5" t="s">
        <v>32</v>
      </c>
      <c r="O90" s="5">
        <v>19</v>
      </c>
      <c r="P90" s="5"/>
      <c r="Q90" s="5"/>
      <c r="R90" s="8">
        <v>5.7870370370370373E-5</v>
      </c>
      <c r="S90" s="5" t="s">
        <v>37</v>
      </c>
      <c r="T90" t="str">
        <f>IF(Tabela1[[#This Row],[STATUS_NEGOCIO]]="Enviar E-mail",1,"")</f>
        <v/>
      </c>
      <c r="U90" t="str">
        <f>TEXT(Tabela1[[#This Row],[DATA]],"dd/mm/aaaa")</f>
        <v>20/04/2026</v>
      </c>
    </row>
    <row r="91" spans="1:21" x14ac:dyDescent="0.25">
      <c r="A91" s="4">
        <v>46132.491562499999</v>
      </c>
      <c r="B91" s="5" t="s">
        <v>19</v>
      </c>
      <c r="C91" s="5" t="s">
        <v>20</v>
      </c>
      <c r="D91" s="5"/>
      <c r="E91" s="6"/>
      <c r="F91" s="5">
        <v>2775814440</v>
      </c>
      <c r="G91" s="7">
        <v>177669647124931</v>
      </c>
      <c r="H91" s="5" t="s">
        <v>109</v>
      </c>
      <c r="I91" s="5" t="s">
        <v>28</v>
      </c>
      <c r="J91" s="5" t="s">
        <v>30</v>
      </c>
      <c r="K91" s="5" t="s">
        <v>36</v>
      </c>
      <c r="L91" s="5" t="s">
        <v>36</v>
      </c>
      <c r="M91" s="5"/>
      <c r="N91" s="5" t="s">
        <v>32</v>
      </c>
      <c r="O91" s="5">
        <v>19</v>
      </c>
      <c r="P91" s="5"/>
      <c r="Q91" s="5"/>
      <c r="R91" s="8">
        <v>4.2824074074074075E-4</v>
      </c>
      <c r="S91" s="5" t="s">
        <v>37</v>
      </c>
      <c r="T91" t="str">
        <f>IF(Tabela1[[#This Row],[STATUS_NEGOCIO]]="Enviar E-mail",1,"")</f>
        <v/>
      </c>
      <c r="U91" t="str">
        <f>TEXT(Tabela1[[#This Row],[DATA]],"dd/mm/aaaa")</f>
        <v>20/04/2026</v>
      </c>
    </row>
    <row r="92" spans="1:21" x14ac:dyDescent="0.25">
      <c r="A92" s="4">
        <v>46132.491689814815</v>
      </c>
      <c r="B92" s="5" t="s">
        <v>19</v>
      </c>
      <c r="C92" s="5" t="s">
        <v>27</v>
      </c>
      <c r="D92" s="5"/>
      <c r="E92" s="6"/>
      <c r="F92" s="5">
        <v>2758296669</v>
      </c>
      <c r="G92" s="7">
        <v>177669648224951</v>
      </c>
      <c r="H92" s="5" t="s">
        <v>103</v>
      </c>
      <c r="I92" s="5" t="s">
        <v>28</v>
      </c>
      <c r="J92" s="5" t="s">
        <v>30</v>
      </c>
      <c r="K92" s="5" t="s">
        <v>23</v>
      </c>
      <c r="L92" s="5" t="s">
        <v>31</v>
      </c>
      <c r="M92" s="5"/>
      <c r="N92" s="5" t="s">
        <v>32</v>
      </c>
      <c r="O92" s="5">
        <v>16</v>
      </c>
      <c r="P92" s="5"/>
      <c r="Q92" s="5"/>
      <c r="R92" s="8">
        <v>4.2824074074074075E-4</v>
      </c>
      <c r="S92" s="8">
        <v>2.199074074074074E-4</v>
      </c>
      <c r="T92" t="str">
        <f>IF(Tabela1[[#This Row],[STATUS_NEGOCIO]]="Enviar E-mail",1,"")</f>
        <v/>
      </c>
      <c r="U92" t="str">
        <f>TEXT(Tabela1[[#This Row],[DATA]],"dd/mm/aaaa")</f>
        <v>20/04/2026</v>
      </c>
    </row>
    <row r="93" spans="1:21" x14ac:dyDescent="0.25">
      <c r="A93" s="4">
        <v>46132.492430555554</v>
      </c>
      <c r="B93" s="5" t="s">
        <v>19</v>
      </c>
      <c r="C93" s="5" t="s">
        <v>20</v>
      </c>
      <c r="D93" s="5"/>
      <c r="E93" s="6"/>
      <c r="F93" s="5">
        <v>2764723768</v>
      </c>
      <c r="G93" s="7">
        <v>177669654625281</v>
      </c>
      <c r="H93" s="5" t="s">
        <v>110</v>
      </c>
      <c r="I93" s="5" t="s">
        <v>28</v>
      </c>
      <c r="J93" s="5" t="s">
        <v>30</v>
      </c>
      <c r="K93" s="5" t="s">
        <v>36</v>
      </c>
      <c r="L93" s="5" t="s">
        <v>36</v>
      </c>
      <c r="M93" s="5"/>
      <c r="N93" s="5" t="s">
        <v>32</v>
      </c>
      <c r="O93" s="5">
        <v>19</v>
      </c>
      <c r="P93" s="5"/>
      <c r="Q93" s="5"/>
      <c r="R93" s="8">
        <v>5.7870370370370373E-5</v>
      </c>
      <c r="S93" s="5" t="s">
        <v>37</v>
      </c>
      <c r="T93" t="str">
        <f>IF(Tabela1[[#This Row],[STATUS_NEGOCIO]]="Enviar E-mail",1,"")</f>
        <v/>
      </c>
      <c r="U93" t="str">
        <f>TEXT(Tabela1[[#This Row],[DATA]],"dd/mm/aaaa")</f>
        <v>20/04/2026</v>
      </c>
    </row>
    <row r="94" spans="1:21" x14ac:dyDescent="0.25">
      <c r="A94" s="4">
        <v>46132.492650462962</v>
      </c>
      <c r="B94" s="5" t="s">
        <v>19</v>
      </c>
      <c r="C94" s="5" t="s">
        <v>20</v>
      </c>
      <c r="D94" s="5"/>
      <c r="E94" s="6"/>
      <c r="F94" s="5">
        <v>2770593663</v>
      </c>
      <c r="G94" s="7">
        <v>177669656525311</v>
      </c>
      <c r="H94" s="5" t="s">
        <v>111</v>
      </c>
      <c r="I94" s="5" t="s">
        <v>28</v>
      </c>
      <c r="J94" s="5" t="s">
        <v>30</v>
      </c>
      <c r="K94" s="5" t="s">
        <v>23</v>
      </c>
      <c r="L94" s="5" t="s">
        <v>40</v>
      </c>
      <c r="M94" s="5"/>
      <c r="N94" s="5" t="s">
        <v>32</v>
      </c>
      <c r="O94" s="5">
        <v>16</v>
      </c>
      <c r="P94" s="5"/>
      <c r="Q94" s="5"/>
      <c r="R94" s="8">
        <v>2.4189814814814816E-3</v>
      </c>
      <c r="S94" s="8">
        <v>2.3611111111111111E-3</v>
      </c>
      <c r="T94">
        <f>IF(Tabela1[[#This Row],[STATUS_NEGOCIO]]="Enviar E-mail",1,"")</f>
        <v>1</v>
      </c>
      <c r="U94" t="str">
        <f>TEXT(Tabela1[[#This Row],[DATA]],"dd/mm/aaaa")</f>
        <v>20/04/2026</v>
      </c>
    </row>
    <row r="95" spans="1:21" x14ac:dyDescent="0.25">
      <c r="A95" s="4">
        <v>46132.495613425926</v>
      </c>
      <c r="B95" s="5" t="s">
        <v>19</v>
      </c>
      <c r="C95" s="5" t="s">
        <v>20</v>
      </c>
      <c r="D95" s="5"/>
      <c r="E95" s="6"/>
      <c r="F95" s="5">
        <v>2774286740</v>
      </c>
      <c r="G95" s="7">
        <v>177669682125991</v>
      </c>
      <c r="H95" s="5" t="s">
        <v>112</v>
      </c>
      <c r="I95" s="5" t="s">
        <v>28</v>
      </c>
      <c r="J95" s="5" t="s">
        <v>30</v>
      </c>
      <c r="K95" s="5" t="s">
        <v>23</v>
      </c>
      <c r="L95" s="5" t="s">
        <v>31</v>
      </c>
      <c r="M95" s="5"/>
      <c r="N95" s="5" t="s">
        <v>32</v>
      </c>
      <c r="O95" s="5">
        <v>16</v>
      </c>
      <c r="P95" s="5"/>
      <c r="Q95" s="5"/>
      <c r="R95" s="8">
        <v>8.1018518518518516E-5</v>
      </c>
      <c r="S95" s="8">
        <v>3.4722222222222222E-5</v>
      </c>
      <c r="T95" t="str">
        <f>IF(Tabela1[[#This Row],[STATUS_NEGOCIO]]="Enviar E-mail",1,"")</f>
        <v/>
      </c>
      <c r="U95" t="str">
        <f>TEXT(Tabela1[[#This Row],[DATA]],"dd/mm/aaaa")</f>
        <v>20/04/2026</v>
      </c>
    </row>
    <row r="96" spans="1:21" x14ac:dyDescent="0.25">
      <c r="A96" s="4">
        <v>46132.496053240742</v>
      </c>
      <c r="B96" s="5" t="s">
        <v>19</v>
      </c>
      <c r="C96" s="5" t="s">
        <v>20</v>
      </c>
      <c r="D96" s="5"/>
      <c r="E96" s="6"/>
      <c r="F96" s="5">
        <v>2768918752</v>
      </c>
      <c r="G96" s="7">
        <v>177669685926181</v>
      </c>
      <c r="H96" s="5" t="s">
        <v>113</v>
      </c>
      <c r="I96" s="5" t="s">
        <v>28</v>
      </c>
      <c r="J96" s="5" t="s">
        <v>30</v>
      </c>
      <c r="K96" s="5" t="s">
        <v>23</v>
      </c>
      <c r="L96" s="5" t="s">
        <v>40</v>
      </c>
      <c r="M96" s="5"/>
      <c r="N96" s="5" t="s">
        <v>32</v>
      </c>
      <c r="O96" s="5">
        <v>16</v>
      </c>
      <c r="P96" s="5"/>
      <c r="Q96" s="5"/>
      <c r="R96" s="8">
        <v>2.5810185185185185E-3</v>
      </c>
      <c r="S96" s="8">
        <v>2.4305555555555556E-3</v>
      </c>
      <c r="T96">
        <f>IF(Tabela1[[#This Row],[STATUS_NEGOCIO]]="Enviar E-mail",1,"")</f>
        <v>1</v>
      </c>
      <c r="U96" t="str">
        <f>TEXT(Tabela1[[#This Row],[DATA]],"dd/mm/aaaa")</f>
        <v>20/04/2026</v>
      </c>
    </row>
    <row r="97" spans="1:21" x14ac:dyDescent="0.25">
      <c r="A97" s="4">
        <v>46132.496122685188</v>
      </c>
      <c r="B97" s="5" t="s">
        <v>19</v>
      </c>
      <c r="C97" s="5" t="s">
        <v>27</v>
      </c>
      <c r="D97" s="5"/>
      <c r="E97" s="6"/>
      <c r="F97" s="5">
        <v>2776129707</v>
      </c>
      <c r="G97" s="7">
        <v>177669686526201</v>
      </c>
      <c r="H97" s="5" t="s">
        <v>114</v>
      </c>
      <c r="I97" s="5" t="s">
        <v>28</v>
      </c>
      <c r="J97" s="5" t="s">
        <v>30</v>
      </c>
      <c r="K97" s="5" t="s">
        <v>23</v>
      </c>
      <c r="L97" s="5" t="s">
        <v>40</v>
      </c>
      <c r="M97" s="5"/>
      <c r="N97" s="5" t="s">
        <v>26</v>
      </c>
      <c r="O97" s="5">
        <v>16</v>
      </c>
      <c r="P97" s="5"/>
      <c r="Q97" s="5"/>
      <c r="R97" s="8">
        <v>1.8287037037037037E-3</v>
      </c>
      <c r="S97" s="8">
        <v>1.5625000000000001E-3</v>
      </c>
      <c r="T97">
        <f>IF(Tabela1[[#This Row],[STATUS_NEGOCIO]]="Enviar E-mail",1,"")</f>
        <v>1</v>
      </c>
      <c r="U97" t="str">
        <f>TEXT(Tabela1[[#This Row],[DATA]],"dd/mm/aaaa")</f>
        <v>20/04/2026</v>
      </c>
    </row>
    <row r="98" spans="1:21" x14ac:dyDescent="0.25">
      <c r="A98" s="4">
        <v>46132.498726851853</v>
      </c>
      <c r="B98" s="5" t="s">
        <v>19</v>
      </c>
      <c r="C98" s="5" t="s">
        <v>27</v>
      </c>
      <c r="D98" s="5"/>
      <c r="E98" s="6"/>
      <c r="F98" s="5">
        <v>2768708790</v>
      </c>
      <c r="G98" s="7">
        <v>177669709026691</v>
      </c>
      <c r="H98" s="5" t="s">
        <v>115</v>
      </c>
      <c r="I98" s="5" t="s">
        <v>28</v>
      </c>
      <c r="J98" s="5" t="s">
        <v>30</v>
      </c>
      <c r="K98" s="5" t="s">
        <v>23</v>
      </c>
      <c r="L98" s="5" t="s">
        <v>40</v>
      </c>
      <c r="M98" s="5"/>
      <c r="N98" s="5" t="s">
        <v>32</v>
      </c>
      <c r="O98" s="5">
        <v>16</v>
      </c>
      <c r="P98" s="5"/>
      <c r="Q98" s="5"/>
      <c r="R98" s="8">
        <v>2.7662037037037039E-3</v>
      </c>
      <c r="S98" s="8">
        <v>2.6041666666666665E-3</v>
      </c>
      <c r="T98">
        <f>IF(Tabela1[[#This Row],[STATUS_NEGOCIO]]="Enviar E-mail",1,"")</f>
        <v>1</v>
      </c>
      <c r="U98" t="str">
        <f>TEXT(Tabela1[[#This Row],[DATA]],"dd/mm/aaaa")</f>
        <v>20/04/2026</v>
      </c>
    </row>
    <row r="99" spans="1:21" x14ac:dyDescent="0.25">
      <c r="A99" s="4">
        <v>46132.499074074076</v>
      </c>
      <c r="B99" s="5" t="s">
        <v>19</v>
      </c>
      <c r="C99" s="5" t="s">
        <v>20</v>
      </c>
      <c r="D99" s="5"/>
      <c r="E99" s="6"/>
      <c r="F99" s="5">
        <v>2776530119</v>
      </c>
      <c r="G99" s="7">
        <v>177669712026761</v>
      </c>
      <c r="H99" s="5" t="s">
        <v>116</v>
      </c>
      <c r="I99" s="5" t="s">
        <v>28</v>
      </c>
      <c r="J99" s="5" t="s">
        <v>30</v>
      </c>
      <c r="K99" s="5" t="s">
        <v>23</v>
      </c>
      <c r="L99" s="5" t="s">
        <v>95</v>
      </c>
      <c r="M99" s="5"/>
      <c r="N99" s="5" t="s">
        <v>32</v>
      </c>
      <c r="O99" s="5">
        <v>16</v>
      </c>
      <c r="P99" s="5"/>
      <c r="Q99" s="5"/>
      <c r="R99" s="8">
        <v>1.1342592592592593E-3</v>
      </c>
      <c r="S99" s="8">
        <v>9.9537037037037042E-4</v>
      </c>
      <c r="T99" t="str">
        <f>IF(Tabela1[[#This Row],[STATUS_NEGOCIO]]="Enviar E-mail",1,"")</f>
        <v/>
      </c>
      <c r="U99" t="str">
        <f>TEXT(Tabela1[[#This Row],[DATA]],"dd/mm/aaaa")</f>
        <v>20/04/2026</v>
      </c>
    </row>
    <row r="100" spans="1:21" x14ac:dyDescent="0.25">
      <c r="A100" s="4">
        <v>46132.500659722224</v>
      </c>
      <c r="B100" s="5" t="s">
        <v>19</v>
      </c>
      <c r="C100" s="5" t="s">
        <v>20</v>
      </c>
      <c r="D100" s="5"/>
      <c r="E100" s="6"/>
      <c r="F100" s="5">
        <v>2768810208</v>
      </c>
      <c r="G100" s="7">
        <v>177669725727081</v>
      </c>
      <c r="H100" s="5" t="s">
        <v>117</v>
      </c>
      <c r="I100" s="5" t="s">
        <v>28</v>
      </c>
      <c r="J100" s="5" t="s">
        <v>30</v>
      </c>
      <c r="K100" s="5" t="s">
        <v>23</v>
      </c>
      <c r="L100" s="5" t="s">
        <v>40</v>
      </c>
      <c r="M100" s="5"/>
      <c r="N100" s="5" t="s">
        <v>32</v>
      </c>
      <c r="O100" s="5">
        <v>16</v>
      </c>
      <c r="P100" s="5"/>
      <c r="Q100" s="5"/>
      <c r="R100" s="8">
        <v>2.6041666666666665E-3</v>
      </c>
      <c r="S100" s="8">
        <v>2.3148148148148147E-3</v>
      </c>
      <c r="T100">
        <f>IF(Tabela1[[#This Row],[STATUS_NEGOCIO]]="Enviar E-mail",1,"")</f>
        <v>1</v>
      </c>
      <c r="U100" t="str">
        <f>TEXT(Tabela1[[#This Row],[DATA]],"dd/mm/aaaa")</f>
        <v>20/04/2026</v>
      </c>
    </row>
    <row r="101" spans="1:21" x14ac:dyDescent="0.25">
      <c r="A101" s="4">
        <v>46132.502615740741</v>
      </c>
      <c r="B101" s="5" t="s">
        <v>19</v>
      </c>
      <c r="C101" s="5" t="s">
        <v>27</v>
      </c>
      <c r="D101" s="5"/>
      <c r="E101" s="6"/>
      <c r="F101" s="5">
        <v>2775287528</v>
      </c>
      <c r="G101" s="7">
        <v>177669742627281</v>
      </c>
      <c r="H101" s="5" t="s">
        <v>118</v>
      </c>
      <c r="I101" s="5" t="s">
        <v>28</v>
      </c>
      <c r="J101" s="5" t="s">
        <v>30</v>
      </c>
      <c r="K101" s="5" t="s">
        <v>23</v>
      </c>
      <c r="L101" s="5" t="s">
        <v>40</v>
      </c>
      <c r="M101" s="5"/>
      <c r="N101" s="5" t="s">
        <v>32</v>
      </c>
      <c r="O101" s="5">
        <v>16</v>
      </c>
      <c r="P101" s="5"/>
      <c r="Q101" s="5"/>
      <c r="R101" s="8">
        <v>1.736111111111111E-3</v>
      </c>
      <c r="S101" s="8">
        <v>1.6087962962962963E-3</v>
      </c>
      <c r="T101">
        <f>IF(Tabela1[[#This Row],[STATUS_NEGOCIO]]="Enviar E-mail",1,"")</f>
        <v>1</v>
      </c>
      <c r="U101" t="str">
        <f>TEXT(Tabela1[[#This Row],[DATA]],"dd/mm/aaaa")</f>
        <v>20/04/2026</v>
      </c>
    </row>
    <row r="102" spans="1:21" x14ac:dyDescent="0.25">
      <c r="A102" s="4">
        <v>46132.504687499997</v>
      </c>
      <c r="B102" s="5" t="s">
        <v>19</v>
      </c>
      <c r="C102" s="5" t="s">
        <v>20</v>
      </c>
      <c r="D102" s="5"/>
      <c r="E102" s="6"/>
      <c r="F102" s="5">
        <v>2741144071</v>
      </c>
      <c r="G102" s="7">
        <v>177669760527771</v>
      </c>
      <c r="H102" s="5" t="s">
        <v>119</v>
      </c>
      <c r="I102" s="5" t="s">
        <v>28</v>
      </c>
      <c r="J102" s="5" t="s">
        <v>30</v>
      </c>
      <c r="K102" s="5" t="s">
        <v>23</v>
      </c>
      <c r="L102" s="5" t="s">
        <v>31</v>
      </c>
      <c r="M102" s="5"/>
      <c r="N102" s="5" t="s">
        <v>32</v>
      </c>
      <c r="O102" s="5">
        <v>16</v>
      </c>
      <c r="P102" s="5"/>
      <c r="Q102" s="5"/>
      <c r="R102" s="8">
        <v>6.018518518518519E-4</v>
      </c>
      <c r="S102" s="8">
        <v>5.3240740740740744E-4</v>
      </c>
      <c r="T102" t="str">
        <f>IF(Tabela1[[#This Row],[STATUS_NEGOCIO]]="Enviar E-mail",1,"")</f>
        <v/>
      </c>
      <c r="U102" t="str">
        <f>TEXT(Tabela1[[#This Row],[DATA]],"dd/mm/aaaa")</f>
        <v>20/04/2026</v>
      </c>
    </row>
    <row r="103" spans="1:21" x14ac:dyDescent="0.25">
      <c r="A103" s="4">
        <v>46132.505532407406</v>
      </c>
      <c r="B103" s="5" t="s">
        <v>19</v>
      </c>
      <c r="C103" s="5" t="s">
        <v>20</v>
      </c>
      <c r="D103" s="5"/>
      <c r="E103" s="6"/>
      <c r="F103" s="5">
        <v>2776625816</v>
      </c>
      <c r="G103" s="7">
        <v>177669767827871</v>
      </c>
      <c r="H103" s="5" t="s">
        <v>120</v>
      </c>
      <c r="I103" s="5" t="s">
        <v>28</v>
      </c>
      <c r="J103" s="5" t="s">
        <v>30</v>
      </c>
      <c r="K103" s="5" t="s">
        <v>23</v>
      </c>
      <c r="L103" s="5" t="s">
        <v>44</v>
      </c>
      <c r="M103" s="5"/>
      <c r="N103" s="5" t="s">
        <v>32</v>
      </c>
      <c r="O103" s="5">
        <v>16</v>
      </c>
      <c r="P103" s="5"/>
      <c r="Q103" s="5"/>
      <c r="R103" s="8">
        <v>3.0092592592592595E-4</v>
      </c>
      <c r="S103" s="8">
        <v>4.6296296296296294E-5</v>
      </c>
      <c r="T103" t="str">
        <f>IF(Tabela1[[#This Row],[STATUS_NEGOCIO]]="Enviar E-mail",1,"")</f>
        <v/>
      </c>
      <c r="U103" t="str">
        <f>TEXT(Tabela1[[#This Row],[DATA]],"dd/mm/aaaa")</f>
        <v>20/04/2026</v>
      </c>
    </row>
    <row r="104" spans="1:21" x14ac:dyDescent="0.25">
      <c r="A104" s="4">
        <v>46132.506215277775</v>
      </c>
      <c r="B104" s="5" t="s">
        <v>19</v>
      </c>
      <c r="C104" s="5" t="s">
        <v>20</v>
      </c>
      <c r="D104" s="5"/>
      <c r="E104" s="6"/>
      <c r="F104" s="5">
        <v>1875427039</v>
      </c>
      <c r="G104" s="7">
        <v>177669773728021</v>
      </c>
      <c r="H104" s="5" t="s">
        <v>121</v>
      </c>
      <c r="I104" s="5" t="s">
        <v>28</v>
      </c>
      <c r="J104" s="5" t="s">
        <v>30</v>
      </c>
      <c r="K104" s="5" t="s">
        <v>36</v>
      </c>
      <c r="L104" s="5" t="s">
        <v>36</v>
      </c>
      <c r="M104" s="5"/>
      <c r="N104" s="5" t="s">
        <v>26</v>
      </c>
      <c r="O104" s="5">
        <v>1</v>
      </c>
      <c r="P104" s="5"/>
      <c r="Q104" s="5"/>
      <c r="R104" s="8">
        <v>1.1574074074074073E-5</v>
      </c>
      <c r="S104" s="5" t="s">
        <v>37</v>
      </c>
      <c r="T104" t="str">
        <f>IF(Tabela1[[#This Row],[STATUS_NEGOCIO]]="Enviar E-mail",1,"")</f>
        <v/>
      </c>
      <c r="U104" t="str">
        <f>TEXT(Tabela1[[#This Row],[DATA]],"dd/mm/aaaa")</f>
        <v>20/04/2026</v>
      </c>
    </row>
    <row r="105" spans="1:21" x14ac:dyDescent="0.25">
      <c r="A105" s="4">
        <v>46132.506307870368</v>
      </c>
      <c r="B105" s="5" t="s">
        <v>19</v>
      </c>
      <c r="C105" s="5" t="s">
        <v>20</v>
      </c>
      <c r="D105" s="5"/>
      <c r="E105" s="6"/>
      <c r="F105" s="5">
        <v>2775427049</v>
      </c>
      <c r="G105" s="7">
        <v>177669774528061</v>
      </c>
      <c r="H105" s="5" t="s">
        <v>121</v>
      </c>
      <c r="I105" s="5" t="s">
        <v>28</v>
      </c>
      <c r="J105" s="5" t="s">
        <v>30</v>
      </c>
      <c r="K105" s="5" t="s">
        <v>23</v>
      </c>
      <c r="L105" s="5" t="s">
        <v>40</v>
      </c>
      <c r="M105" s="5"/>
      <c r="N105" s="5" t="s">
        <v>32</v>
      </c>
      <c r="O105" s="5">
        <v>16</v>
      </c>
      <c r="P105" s="5"/>
      <c r="Q105" s="5"/>
      <c r="R105" s="8">
        <v>1.6898148148148148E-3</v>
      </c>
      <c r="S105" s="8">
        <v>1.4699074074074074E-3</v>
      </c>
      <c r="T105">
        <f>IF(Tabela1[[#This Row],[STATUS_NEGOCIO]]="Enviar E-mail",1,"")</f>
        <v>1</v>
      </c>
      <c r="U105" t="str">
        <f>TEXT(Tabela1[[#This Row],[DATA]],"dd/mm/aaaa")</f>
        <v>20/04/2026</v>
      </c>
    </row>
    <row r="106" spans="1:21" x14ac:dyDescent="0.25">
      <c r="A106" s="4">
        <v>46132.506585648145</v>
      </c>
      <c r="B106" s="5" t="s">
        <v>19</v>
      </c>
      <c r="C106" s="5" t="s">
        <v>27</v>
      </c>
      <c r="D106" s="5"/>
      <c r="E106" s="6"/>
      <c r="F106" s="5">
        <v>2764601446</v>
      </c>
      <c r="G106" s="7">
        <v>177669776928141</v>
      </c>
      <c r="H106" s="5" t="s">
        <v>122</v>
      </c>
      <c r="I106" s="5" t="s">
        <v>28</v>
      </c>
      <c r="J106" s="5" t="s">
        <v>30</v>
      </c>
      <c r="K106" s="5" t="s">
        <v>23</v>
      </c>
      <c r="L106" s="5" t="s">
        <v>31</v>
      </c>
      <c r="M106" s="5"/>
      <c r="N106" s="5" t="s">
        <v>26</v>
      </c>
      <c r="O106" s="5">
        <v>16</v>
      </c>
      <c r="P106" s="5"/>
      <c r="Q106" s="5"/>
      <c r="R106" s="8">
        <v>3.1250000000000001E-4</v>
      </c>
      <c r="S106" s="8">
        <v>2.3148148148148149E-4</v>
      </c>
      <c r="T106" t="str">
        <f>IF(Tabela1[[#This Row],[STATUS_NEGOCIO]]="Enviar E-mail",1,"")</f>
        <v/>
      </c>
      <c r="U106" t="str">
        <f>TEXT(Tabela1[[#This Row],[DATA]],"dd/mm/aaaa")</f>
        <v>20/04/2026</v>
      </c>
    </row>
    <row r="107" spans="1:21" x14ac:dyDescent="0.25">
      <c r="A107" s="4">
        <v>46132.508275462962</v>
      </c>
      <c r="B107" s="5" t="s">
        <v>19</v>
      </c>
      <c r="C107" s="5" t="s">
        <v>27</v>
      </c>
      <c r="D107" s="5"/>
      <c r="E107" s="6"/>
      <c r="F107" s="5">
        <v>2768780842</v>
      </c>
      <c r="G107" s="7">
        <v>177669791528361</v>
      </c>
      <c r="H107" s="5" t="s">
        <v>123</v>
      </c>
      <c r="I107" s="5" t="s">
        <v>28</v>
      </c>
      <c r="J107" s="5" t="s">
        <v>30</v>
      </c>
      <c r="K107" s="5" t="s">
        <v>23</v>
      </c>
      <c r="L107" s="5" t="s">
        <v>40</v>
      </c>
      <c r="M107" s="5"/>
      <c r="N107" s="5" t="s">
        <v>26</v>
      </c>
      <c r="O107" s="5">
        <v>16</v>
      </c>
      <c r="P107" s="5"/>
      <c r="Q107" s="5"/>
      <c r="R107" s="8">
        <v>1.7939814814814815E-3</v>
      </c>
      <c r="S107" s="8">
        <v>1.6319444444444445E-3</v>
      </c>
      <c r="T107">
        <f>IF(Tabela1[[#This Row],[STATUS_NEGOCIO]]="Enviar E-mail",1,"")</f>
        <v>1</v>
      </c>
      <c r="U107" t="str">
        <f>TEXT(Tabela1[[#This Row],[DATA]],"dd/mm/aaaa")</f>
        <v>20/04/2026</v>
      </c>
    </row>
    <row r="108" spans="1:21" x14ac:dyDescent="0.25">
      <c r="A108" s="4">
        <v>46132.508993055555</v>
      </c>
      <c r="B108" s="5" t="s">
        <v>19</v>
      </c>
      <c r="C108" s="5" t="s">
        <v>20</v>
      </c>
      <c r="D108" s="5"/>
      <c r="E108" s="6"/>
      <c r="F108" s="5">
        <v>2775816909</v>
      </c>
      <c r="G108" s="7">
        <v>177669797728551</v>
      </c>
      <c r="H108" s="5" t="s">
        <v>124</v>
      </c>
      <c r="I108" s="5" t="s">
        <v>28</v>
      </c>
      <c r="J108" s="5" t="s">
        <v>30</v>
      </c>
      <c r="K108" s="5" t="s">
        <v>23</v>
      </c>
      <c r="L108" s="5" t="s">
        <v>31</v>
      </c>
      <c r="M108" s="5"/>
      <c r="N108" s="5" t="s">
        <v>32</v>
      </c>
      <c r="O108" s="5">
        <v>16</v>
      </c>
      <c r="P108" s="5"/>
      <c r="Q108" s="5"/>
      <c r="R108" s="8">
        <v>6.9444444444444444E-5</v>
      </c>
      <c r="S108" s="8">
        <v>4.6296296296296294E-5</v>
      </c>
      <c r="T108" t="str">
        <f>IF(Tabela1[[#This Row],[STATUS_NEGOCIO]]="Enviar E-mail",1,"")</f>
        <v/>
      </c>
      <c r="U108" t="str">
        <f>TEXT(Tabela1[[#This Row],[DATA]],"dd/mm/aaaa")</f>
        <v>20/04/2026</v>
      </c>
    </row>
    <row r="109" spans="1:21" x14ac:dyDescent="0.25">
      <c r="A109" s="4">
        <v>46132.509270833332</v>
      </c>
      <c r="B109" s="5" t="s">
        <v>19</v>
      </c>
      <c r="C109" s="5" t="s">
        <v>20</v>
      </c>
      <c r="D109" s="5"/>
      <c r="E109" s="6"/>
      <c r="F109" s="5">
        <v>2775473909</v>
      </c>
      <c r="G109" s="7">
        <v>177669800128581</v>
      </c>
      <c r="H109" s="5" t="s">
        <v>125</v>
      </c>
      <c r="I109" s="5" t="s">
        <v>28</v>
      </c>
      <c r="J109" s="5" t="s">
        <v>30</v>
      </c>
      <c r="K109" s="5" t="s">
        <v>36</v>
      </c>
      <c r="L109" s="5" t="s">
        <v>36</v>
      </c>
      <c r="M109" s="5"/>
      <c r="N109" s="5" t="s">
        <v>32</v>
      </c>
      <c r="O109" s="5">
        <v>19</v>
      </c>
      <c r="P109" s="5"/>
      <c r="Q109" s="5"/>
      <c r="R109" s="8">
        <v>9.2592592592592588E-5</v>
      </c>
      <c r="S109" s="5" t="s">
        <v>37</v>
      </c>
      <c r="T109" t="str">
        <f>IF(Tabela1[[#This Row],[STATUS_NEGOCIO]]="Enviar E-mail",1,"")</f>
        <v/>
      </c>
      <c r="U109" t="str">
        <f>TEXT(Tabela1[[#This Row],[DATA]],"dd/mm/aaaa")</f>
        <v>20/04/2026</v>
      </c>
    </row>
    <row r="110" spans="1:21" x14ac:dyDescent="0.25">
      <c r="A110" s="4">
        <v>46132.509502314817</v>
      </c>
      <c r="B110" s="5" t="s">
        <v>19</v>
      </c>
      <c r="C110" s="5" t="s">
        <v>20</v>
      </c>
      <c r="D110" s="5"/>
      <c r="E110" s="6"/>
      <c r="F110" s="5">
        <v>2740806724</v>
      </c>
      <c r="G110" s="7">
        <v>177669802128671</v>
      </c>
      <c r="H110" s="5" t="s">
        <v>126</v>
      </c>
      <c r="I110" s="5" t="s">
        <v>28</v>
      </c>
      <c r="J110" s="5" t="s">
        <v>30</v>
      </c>
      <c r="K110" s="5" t="s">
        <v>36</v>
      </c>
      <c r="L110" s="5" t="s">
        <v>36</v>
      </c>
      <c r="M110" s="5"/>
      <c r="N110" s="5" t="s">
        <v>32</v>
      </c>
      <c r="O110" s="5">
        <v>19</v>
      </c>
      <c r="P110" s="5"/>
      <c r="Q110" s="5"/>
      <c r="R110" s="8">
        <v>4.1666666666666669E-4</v>
      </c>
      <c r="S110" s="5" t="s">
        <v>37</v>
      </c>
      <c r="T110" t="str">
        <f>IF(Tabela1[[#This Row],[STATUS_NEGOCIO]]="Enviar E-mail",1,"")</f>
        <v/>
      </c>
      <c r="U110" t="str">
        <f>TEXT(Tabela1[[#This Row],[DATA]],"dd/mm/aaaa")</f>
        <v>20/04/2026</v>
      </c>
    </row>
    <row r="111" spans="1:21" x14ac:dyDescent="0.25">
      <c r="A111" s="4">
        <v>46132.510069444441</v>
      </c>
      <c r="B111" s="5" t="s">
        <v>19</v>
      </c>
      <c r="C111" s="5" t="s">
        <v>20</v>
      </c>
      <c r="D111" s="5"/>
      <c r="E111" s="6"/>
      <c r="F111" s="5">
        <v>2758286171</v>
      </c>
      <c r="G111" s="7">
        <v>177669807028771</v>
      </c>
      <c r="H111" s="5" t="s">
        <v>127</v>
      </c>
      <c r="I111" s="5" t="s">
        <v>28</v>
      </c>
      <c r="J111" s="5" t="s">
        <v>30</v>
      </c>
      <c r="K111" s="5" t="s">
        <v>23</v>
      </c>
      <c r="L111" s="5" t="s">
        <v>128</v>
      </c>
      <c r="M111" s="5"/>
      <c r="N111" s="5" t="s">
        <v>32</v>
      </c>
      <c r="O111" s="5">
        <v>16</v>
      </c>
      <c r="P111" s="5"/>
      <c r="Q111" s="5"/>
      <c r="R111" s="8">
        <v>6.4814814814814813E-4</v>
      </c>
      <c r="S111" s="8">
        <v>5.3240740740740744E-4</v>
      </c>
      <c r="T111" t="str">
        <f>IF(Tabela1[[#This Row],[STATUS_NEGOCIO]]="Enviar E-mail",1,"")</f>
        <v/>
      </c>
      <c r="U111" t="str">
        <f>TEXT(Tabela1[[#This Row],[DATA]],"dd/mm/aaaa")</f>
        <v>20/04/2026</v>
      </c>
    </row>
    <row r="112" spans="1:21" x14ac:dyDescent="0.25">
      <c r="A112" s="4">
        <v>46132.512060185189</v>
      </c>
      <c r="B112" s="5" t="s">
        <v>19</v>
      </c>
      <c r="C112" s="5" t="s">
        <v>27</v>
      </c>
      <c r="D112" s="5"/>
      <c r="E112" s="6"/>
      <c r="F112" s="5">
        <v>2768988974</v>
      </c>
      <c r="G112" s="7">
        <v>177669824229071</v>
      </c>
      <c r="H112" s="5" t="s">
        <v>129</v>
      </c>
      <c r="I112" s="5" t="s">
        <v>28</v>
      </c>
      <c r="J112" s="5" t="s">
        <v>30</v>
      </c>
      <c r="K112" s="5" t="s">
        <v>23</v>
      </c>
      <c r="L112" s="5" t="s">
        <v>40</v>
      </c>
      <c r="M112" s="5"/>
      <c r="N112" s="5" t="s">
        <v>26</v>
      </c>
      <c r="O112" s="5">
        <v>16</v>
      </c>
      <c r="P112" s="5"/>
      <c r="Q112" s="5"/>
      <c r="R112" s="8">
        <v>2.2106481481481482E-3</v>
      </c>
      <c r="S112" s="8">
        <v>2.0601851851851853E-3</v>
      </c>
      <c r="T112">
        <f>IF(Tabela1[[#This Row],[STATUS_NEGOCIO]]="Enviar E-mail",1,"")</f>
        <v>1</v>
      </c>
      <c r="U112" t="str">
        <f>TEXT(Tabela1[[#This Row],[DATA]],"dd/mm/aaaa")</f>
        <v>20/04/2026</v>
      </c>
    </row>
    <row r="113" spans="1:21" x14ac:dyDescent="0.25">
      <c r="A113" s="4">
        <v>46132.51357638889</v>
      </c>
      <c r="B113" s="5" t="s">
        <v>19</v>
      </c>
      <c r="C113" s="5" t="s">
        <v>20</v>
      </c>
      <c r="D113" s="5"/>
      <c r="E113" s="6"/>
      <c r="F113" s="5">
        <v>2776475492</v>
      </c>
      <c r="G113" s="7">
        <v>177669837329321</v>
      </c>
      <c r="H113" s="5" t="s">
        <v>130</v>
      </c>
      <c r="I113" s="5" t="s">
        <v>28</v>
      </c>
      <c r="J113" s="5" t="s">
        <v>30</v>
      </c>
      <c r="K113" s="5" t="s">
        <v>23</v>
      </c>
      <c r="L113" s="5" t="s">
        <v>40</v>
      </c>
      <c r="M113" s="5"/>
      <c r="N113" s="5" t="s">
        <v>32</v>
      </c>
      <c r="O113" s="5">
        <v>16</v>
      </c>
      <c r="P113" s="5"/>
      <c r="Q113" s="5"/>
      <c r="R113" s="8">
        <v>2.0254629629629629E-3</v>
      </c>
      <c r="S113" s="8">
        <v>1.8981481481481482E-3</v>
      </c>
      <c r="T113">
        <f>IF(Tabela1[[#This Row],[STATUS_NEGOCIO]]="Enviar E-mail",1,"")</f>
        <v>1</v>
      </c>
      <c r="U113" t="str">
        <f>TEXT(Tabela1[[#This Row],[DATA]],"dd/mm/aaaa")</f>
        <v>20/04/2026</v>
      </c>
    </row>
    <row r="114" spans="1:21" x14ac:dyDescent="0.25">
      <c r="A114" s="4">
        <v>46132.516840277778</v>
      </c>
      <c r="B114" s="5" t="s">
        <v>19</v>
      </c>
      <c r="C114" s="5" t="s">
        <v>20</v>
      </c>
      <c r="D114" s="5"/>
      <c r="E114" s="6"/>
      <c r="F114" s="5">
        <v>2747722773</v>
      </c>
      <c r="G114" s="7">
        <v>177669865529721</v>
      </c>
      <c r="H114" s="5" t="s">
        <v>131</v>
      </c>
      <c r="I114" s="5" t="s">
        <v>28</v>
      </c>
      <c r="J114" s="5" t="s">
        <v>30</v>
      </c>
      <c r="K114" s="5" t="s">
        <v>36</v>
      </c>
      <c r="L114" s="5" t="s">
        <v>36</v>
      </c>
      <c r="M114" s="5"/>
      <c r="N114" s="5" t="s">
        <v>26</v>
      </c>
      <c r="O114" s="5">
        <v>1</v>
      </c>
      <c r="P114" s="5"/>
      <c r="Q114" s="5"/>
      <c r="R114" s="8">
        <v>1.1574074074074073E-5</v>
      </c>
      <c r="S114" s="5" t="s">
        <v>37</v>
      </c>
      <c r="T114" t="str">
        <f>IF(Tabela1[[#This Row],[STATUS_NEGOCIO]]="Enviar E-mail",1,"")</f>
        <v/>
      </c>
      <c r="U114" t="str">
        <f>TEXT(Tabela1[[#This Row],[DATA]],"dd/mm/aaaa")</f>
        <v>20/04/2026</v>
      </c>
    </row>
    <row r="115" spans="1:21" x14ac:dyDescent="0.25">
      <c r="A115" s="4">
        <v>46132.516944444447</v>
      </c>
      <c r="B115" s="5" t="s">
        <v>19</v>
      </c>
      <c r="C115" s="5" t="s">
        <v>20</v>
      </c>
      <c r="D115" s="5"/>
      <c r="E115" s="6"/>
      <c r="F115" s="5">
        <v>2747722781</v>
      </c>
      <c r="G115" s="7">
        <v>177669866329761</v>
      </c>
      <c r="H115" s="5" t="s">
        <v>131</v>
      </c>
      <c r="I115" s="5" t="s">
        <v>28</v>
      </c>
      <c r="J115" s="5" t="s">
        <v>30</v>
      </c>
      <c r="K115" s="5" t="s">
        <v>36</v>
      </c>
      <c r="L115" s="5" t="s">
        <v>36</v>
      </c>
      <c r="M115" s="5"/>
      <c r="N115" s="5" t="s">
        <v>26</v>
      </c>
      <c r="O115" s="5">
        <v>1</v>
      </c>
      <c r="P115" s="5"/>
      <c r="Q115" s="5"/>
      <c r="R115" s="8">
        <v>1.1574074074074073E-5</v>
      </c>
      <c r="S115" s="5" t="s">
        <v>37</v>
      </c>
      <c r="T115" t="str">
        <f>IF(Tabela1[[#This Row],[STATUS_NEGOCIO]]="Enviar E-mail",1,"")</f>
        <v/>
      </c>
      <c r="U115" t="str">
        <f>TEXT(Tabela1[[#This Row],[DATA]],"dd/mm/aaaa")</f>
        <v>20/04/2026</v>
      </c>
    </row>
    <row r="116" spans="1:21" x14ac:dyDescent="0.25">
      <c r="A116" s="4">
        <v>46132.517476851855</v>
      </c>
      <c r="B116" s="5" t="s">
        <v>19</v>
      </c>
      <c r="C116" s="5" t="s">
        <v>20</v>
      </c>
      <c r="D116" s="5"/>
      <c r="E116" s="6"/>
      <c r="F116" s="5">
        <v>2768852775</v>
      </c>
      <c r="G116" s="7">
        <v>177669871029891</v>
      </c>
      <c r="H116" s="5" t="s">
        <v>132</v>
      </c>
      <c r="I116" s="5" t="s">
        <v>28</v>
      </c>
      <c r="J116" s="5" t="s">
        <v>30</v>
      </c>
      <c r="K116" s="5" t="s">
        <v>36</v>
      </c>
      <c r="L116" s="5" t="s">
        <v>36</v>
      </c>
      <c r="M116" s="5"/>
      <c r="N116" s="5" t="s">
        <v>32</v>
      </c>
      <c r="O116" s="5">
        <v>19</v>
      </c>
      <c r="P116" s="5"/>
      <c r="Q116" s="5"/>
      <c r="R116" s="8">
        <v>1.3888888888888889E-4</v>
      </c>
      <c r="S116" s="5" t="s">
        <v>37</v>
      </c>
      <c r="T116" t="str">
        <f>IF(Tabela1[[#This Row],[STATUS_NEGOCIO]]="Enviar E-mail",1,"")</f>
        <v/>
      </c>
      <c r="U116" t="str">
        <f>TEXT(Tabela1[[#This Row],[DATA]],"dd/mm/aaaa")</f>
        <v>20/04/2026</v>
      </c>
    </row>
    <row r="117" spans="1:21" x14ac:dyDescent="0.25">
      <c r="A117" s="4">
        <v>46132.518414351849</v>
      </c>
      <c r="B117" s="5" t="s">
        <v>19</v>
      </c>
      <c r="C117" s="5" t="s">
        <v>20</v>
      </c>
      <c r="D117" s="5"/>
      <c r="E117" s="6"/>
      <c r="F117" s="5">
        <v>2768852856</v>
      </c>
      <c r="G117" s="7">
        <v>177669879130041</v>
      </c>
      <c r="H117" s="5" t="s">
        <v>132</v>
      </c>
      <c r="I117" s="5" t="s">
        <v>28</v>
      </c>
      <c r="J117" s="5" t="s">
        <v>30</v>
      </c>
      <c r="K117" s="5" t="s">
        <v>23</v>
      </c>
      <c r="L117" s="5" t="s">
        <v>31</v>
      </c>
      <c r="M117" s="5"/>
      <c r="N117" s="5" t="s">
        <v>32</v>
      </c>
      <c r="O117" s="5">
        <v>16</v>
      </c>
      <c r="P117" s="5"/>
      <c r="Q117" s="5"/>
      <c r="R117" s="8">
        <v>1.9675925925925926E-4</v>
      </c>
      <c r="S117" s="5" t="s">
        <v>37</v>
      </c>
      <c r="T117" t="str">
        <f>IF(Tabela1[[#This Row],[STATUS_NEGOCIO]]="Enviar E-mail",1,"")</f>
        <v/>
      </c>
      <c r="U117" t="str">
        <f>TEXT(Tabela1[[#This Row],[DATA]],"dd/mm/aaaa")</f>
        <v>20/04/2026</v>
      </c>
    </row>
    <row r="118" spans="1:21" x14ac:dyDescent="0.25">
      <c r="A118" s="4">
        <v>46132.518784722219</v>
      </c>
      <c r="B118" s="5" t="s">
        <v>19</v>
      </c>
      <c r="C118" s="5" t="s">
        <v>20</v>
      </c>
      <c r="D118" s="5"/>
      <c r="E118" s="6"/>
      <c r="F118" s="5">
        <v>2769136173</v>
      </c>
      <c r="G118" s="7">
        <v>177669882330071</v>
      </c>
      <c r="H118" s="5" t="s">
        <v>133</v>
      </c>
      <c r="I118" s="5" t="s">
        <v>28</v>
      </c>
      <c r="J118" s="5" t="s">
        <v>30</v>
      </c>
      <c r="K118" s="5" t="s">
        <v>134</v>
      </c>
      <c r="L118" s="5" t="s">
        <v>36</v>
      </c>
      <c r="M118" s="5"/>
      <c r="N118" s="5" t="s">
        <v>32</v>
      </c>
      <c r="O118" s="5">
        <v>16</v>
      </c>
      <c r="P118" s="5"/>
      <c r="Q118" s="5"/>
      <c r="R118" s="8">
        <v>0</v>
      </c>
      <c r="S118" s="5" t="s">
        <v>37</v>
      </c>
      <c r="T118" t="str">
        <f>IF(Tabela1[[#This Row],[STATUS_NEGOCIO]]="Enviar E-mail",1,"")</f>
        <v/>
      </c>
      <c r="U118" t="str">
        <f>TEXT(Tabela1[[#This Row],[DATA]],"dd/mm/aaaa")</f>
        <v>20/04/2026</v>
      </c>
    </row>
    <row r="119" spans="1:21" x14ac:dyDescent="0.25">
      <c r="A119" s="4">
        <v>46132.518854166665</v>
      </c>
      <c r="B119" s="5" t="s">
        <v>19</v>
      </c>
      <c r="C119" s="5" t="s">
        <v>20</v>
      </c>
      <c r="D119" s="5"/>
      <c r="E119" s="6"/>
      <c r="F119" s="5">
        <v>2769136179</v>
      </c>
      <c r="G119" s="7">
        <v>177669882930091</v>
      </c>
      <c r="H119" s="5" t="s">
        <v>133</v>
      </c>
      <c r="I119" s="5" t="s">
        <v>28</v>
      </c>
      <c r="J119" s="5" t="s">
        <v>30</v>
      </c>
      <c r="K119" s="5" t="s">
        <v>36</v>
      </c>
      <c r="L119" s="5" t="s">
        <v>36</v>
      </c>
      <c r="M119" s="5"/>
      <c r="N119" s="5" t="s">
        <v>32</v>
      </c>
      <c r="O119" s="5">
        <v>19</v>
      </c>
      <c r="P119" s="5"/>
      <c r="Q119" s="5"/>
      <c r="R119" s="8">
        <v>3.9351851851851852E-4</v>
      </c>
      <c r="S119" s="5" t="s">
        <v>37</v>
      </c>
      <c r="T119" t="str">
        <f>IF(Tabela1[[#This Row],[STATUS_NEGOCIO]]="Enviar E-mail",1,"")</f>
        <v/>
      </c>
      <c r="U119" t="str">
        <f>TEXT(Tabela1[[#This Row],[DATA]],"dd/mm/aaaa")</f>
        <v>20/04/2026</v>
      </c>
    </row>
    <row r="120" spans="1:21" x14ac:dyDescent="0.25">
      <c r="A120" s="4">
        <v>46132.524953703702</v>
      </c>
      <c r="B120" s="5" t="s">
        <v>19</v>
      </c>
      <c r="C120" s="5" t="s">
        <v>20</v>
      </c>
      <c r="D120" s="5"/>
      <c r="E120" s="6"/>
      <c r="F120" s="5">
        <v>2776696755</v>
      </c>
      <c r="G120" s="7">
        <v>177669935631101</v>
      </c>
      <c r="H120" s="5" t="s">
        <v>135</v>
      </c>
      <c r="I120" s="5" t="s">
        <v>28</v>
      </c>
      <c r="J120" s="5" t="s">
        <v>30</v>
      </c>
      <c r="K120" s="5" t="s">
        <v>23</v>
      </c>
      <c r="L120" s="5" t="s">
        <v>31</v>
      </c>
      <c r="M120" s="5"/>
      <c r="N120" s="5" t="s">
        <v>32</v>
      </c>
      <c r="O120" s="5">
        <v>16</v>
      </c>
      <c r="P120" s="5"/>
      <c r="Q120" s="5"/>
      <c r="R120" s="8">
        <v>5.4398148148148144E-4</v>
      </c>
      <c r="S120" s="8">
        <v>1.0416666666666667E-4</v>
      </c>
      <c r="T120" t="str">
        <f>IF(Tabela1[[#This Row],[STATUS_NEGOCIO]]="Enviar E-mail",1,"")</f>
        <v/>
      </c>
      <c r="U120" t="str">
        <f>TEXT(Tabela1[[#This Row],[DATA]],"dd/mm/aaaa")</f>
        <v>20/04/2026</v>
      </c>
    </row>
    <row r="121" spans="1:21" x14ac:dyDescent="0.25">
      <c r="A121" s="4">
        <v>46132.525358796294</v>
      </c>
      <c r="B121" s="5" t="s">
        <v>19</v>
      </c>
      <c r="C121" s="5" t="s">
        <v>27</v>
      </c>
      <c r="D121" s="5"/>
      <c r="E121" s="6"/>
      <c r="F121" s="5">
        <v>2770926140</v>
      </c>
      <c r="G121" s="7">
        <v>177669939131121</v>
      </c>
      <c r="H121" s="5" t="s">
        <v>136</v>
      </c>
      <c r="I121" s="5" t="s">
        <v>28</v>
      </c>
      <c r="J121" s="5" t="s">
        <v>30</v>
      </c>
      <c r="K121" s="5" t="s">
        <v>23</v>
      </c>
      <c r="L121" s="5" t="s">
        <v>31</v>
      </c>
      <c r="M121" s="5"/>
      <c r="N121" s="5" t="s">
        <v>32</v>
      </c>
      <c r="O121" s="5">
        <v>16</v>
      </c>
      <c r="P121" s="5"/>
      <c r="Q121" s="5"/>
      <c r="R121" s="8">
        <v>1.6203703703703703E-4</v>
      </c>
      <c r="S121" s="8">
        <v>1.0416666666666667E-4</v>
      </c>
      <c r="T121" t="str">
        <f>IF(Tabela1[[#This Row],[STATUS_NEGOCIO]]="Enviar E-mail",1,"")</f>
        <v/>
      </c>
      <c r="U121" t="str">
        <f>TEXT(Tabela1[[#This Row],[DATA]],"dd/mm/aaaa")</f>
        <v>20/04/2026</v>
      </c>
    </row>
    <row r="122" spans="1:21" x14ac:dyDescent="0.25">
      <c r="A122" s="4">
        <v>46132.526064814818</v>
      </c>
      <c r="B122" s="5" t="s">
        <v>19</v>
      </c>
      <c r="C122" s="5" t="s">
        <v>27</v>
      </c>
      <c r="D122" s="5"/>
      <c r="E122" s="6"/>
      <c r="F122" s="5">
        <v>2774751697</v>
      </c>
      <c r="G122" s="7">
        <v>177669945231331</v>
      </c>
      <c r="H122" s="5" t="s">
        <v>137</v>
      </c>
      <c r="I122" s="5" t="s">
        <v>28</v>
      </c>
      <c r="J122" s="5" t="s">
        <v>30</v>
      </c>
      <c r="K122" s="5" t="s">
        <v>23</v>
      </c>
      <c r="L122" s="5" t="s">
        <v>31</v>
      </c>
      <c r="M122" s="5"/>
      <c r="N122" s="5" t="s">
        <v>32</v>
      </c>
      <c r="O122" s="5">
        <v>16</v>
      </c>
      <c r="P122" s="5"/>
      <c r="Q122" s="5"/>
      <c r="R122" s="8">
        <v>2.4305555555555555E-4</v>
      </c>
      <c r="S122" s="8">
        <v>2.0833333333333335E-4</v>
      </c>
      <c r="T122" t="str">
        <f>IF(Tabela1[[#This Row],[STATUS_NEGOCIO]]="Enviar E-mail",1,"")</f>
        <v/>
      </c>
      <c r="U122" t="str">
        <f>TEXT(Tabela1[[#This Row],[DATA]],"dd/mm/aaaa")</f>
        <v>20/04/2026</v>
      </c>
    </row>
    <row r="123" spans="1:21" x14ac:dyDescent="0.25">
      <c r="A123" s="4">
        <v>46132.526192129626</v>
      </c>
      <c r="B123" s="5" t="s">
        <v>19</v>
      </c>
      <c r="C123" s="5" t="s">
        <v>20</v>
      </c>
      <c r="D123" s="5"/>
      <c r="E123" s="6"/>
      <c r="F123" s="5">
        <v>2757895227</v>
      </c>
      <c r="G123" s="7">
        <v>177669946331411</v>
      </c>
      <c r="H123" s="5" t="s">
        <v>138</v>
      </c>
      <c r="I123" s="5" t="s">
        <v>28</v>
      </c>
      <c r="J123" s="5" t="s">
        <v>30</v>
      </c>
      <c r="K123" s="5" t="s">
        <v>36</v>
      </c>
      <c r="L123" s="5" t="s">
        <v>36</v>
      </c>
      <c r="M123" s="5"/>
      <c r="N123" s="5" t="s">
        <v>32</v>
      </c>
      <c r="O123" s="5">
        <v>19</v>
      </c>
      <c r="P123" s="5"/>
      <c r="Q123" s="5"/>
      <c r="R123" s="8">
        <v>1.5046296296296297E-4</v>
      </c>
      <c r="S123" s="5" t="s">
        <v>37</v>
      </c>
      <c r="T123" t="str">
        <f>IF(Tabela1[[#This Row],[STATUS_NEGOCIO]]="Enviar E-mail",1,"")</f>
        <v/>
      </c>
      <c r="U123" t="str">
        <f>TEXT(Tabela1[[#This Row],[DATA]],"dd/mm/aaaa")</f>
        <v>20/04/2026</v>
      </c>
    </row>
    <row r="124" spans="1:21" x14ac:dyDescent="0.25">
      <c r="A124" s="4">
        <v>46132.52648148148</v>
      </c>
      <c r="B124" s="5" t="s">
        <v>19</v>
      </c>
      <c r="C124" s="5" t="s">
        <v>20</v>
      </c>
      <c r="D124" s="5"/>
      <c r="E124" s="6"/>
      <c r="F124" s="5">
        <v>2764713828</v>
      </c>
      <c r="G124" s="7">
        <v>177669948831491</v>
      </c>
      <c r="H124" s="5" t="s">
        <v>139</v>
      </c>
      <c r="I124" s="5" t="s">
        <v>28</v>
      </c>
      <c r="J124" s="5" t="s">
        <v>30</v>
      </c>
      <c r="K124" s="5" t="s">
        <v>23</v>
      </c>
      <c r="L124" s="5" t="s">
        <v>100</v>
      </c>
      <c r="M124" s="5"/>
      <c r="N124" s="5" t="s">
        <v>32</v>
      </c>
      <c r="O124" s="5">
        <v>16</v>
      </c>
      <c r="P124" s="5"/>
      <c r="Q124" s="5"/>
      <c r="R124" s="8">
        <v>9.7222222222222219E-4</v>
      </c>
      <c r="S124" s="8">
        <v>9.4907407407407408E-4</v>
      </c>
      <c r="T124" t="str">
        <f>IF(Tabela1[[#This Row],[STATUS_NEGOCIO]]="Enviar E-mail",1,"")</f>
        <v/>
      </c>
      <c r="U124" t="str">
        <f>TEXT(Tabela1[[#This Row],[DATA]],"dd/mm/aaaa")</f>
        <v>20/04/2026</v>
      </c>
    </row>
    <row r="125" spans="1:21" x14ac:dyDescent="0.25">
      <c r="A125" s="4">
        <v>46132.526944444442</v>
      </c>
      <c r="B125" s="5" t="s">
        <v>19</v>
      </c>
      <c r="C125" s="5" t="s">
        <v>27</v>
      </c>
      <c r="D125" s="5"/>
      <c r="E125" s="6"/>
      <c r="F125" s="5">
        <v>2741297045</v>
      </c>
      <c r="G125" s="7">
        <v>177669952831651</v>
      </c>
      <c r="H125" s="5" t="s">
        <v>140</v>
      </c>
      <c r="I125" s="5" t="s">
        <v>28</v>
      </c>
      <c r="J125" s="5" t="s">
        <v>30</v>
      </c>
      <c r="K125" s="5" t="s">
        <v>23</v>
      </c>
      <c r="L125" s="5" t="s">
        <v>31</v>
      </c>
      <c r="M125" s="5"/>
      <c r="N125" s="5" t="s">
        <v>32</v>
      </c>
      <c r="O125" s="5">
        <v>16</v>
      </c>
      <c r="P125" s="5"/>
      <c r="Q125" s="5"/>
      <c r="R125" s="8">
        <v>3.2407407407407406E-4</v>
      </c>
      <c r="S125" s="8">
        <v>4.6296296296296294E-5</v>
      </c>
      <c r="T125" t="str">
        <f>IF(Tabela1[[#This Row],[STATUS_NEGOCIO]]="Enviar E-mail",1,"")</f>
        <v/>
      </c>
      <c r="U125" t="str">
        <f>TEXT(Tabela1[[#This Row],[DATA]],"dd/mm/aaaa")</f>
        <v>20/04/2026</v>
      </c>
    </row>
    <row r="126" spans="1:21" x14ac:dyDescent="0.25">
      <c r="A126" s="4">
        <v>46132.527708333335</v>
      </c>
      <c r="B126" s="5" t="s">
        <v>19</v>
      </c>
      <c r="C126" s="5" t="s">
        <v>27</v>
      </c>
      <c r="D126" s="5"/>
      <c r="E126" s="6"/>
      <c r="F126" s="5">
        <v>2765256980</v>
      </c>
      <c r="G126" s="7">
        <v>177669959431911</v>
      </c>
      <c r="H126" s="5" t="s">
        <v>141</v>
      </c>
      <c r="I126" s="5" t="s">
        <v>28</v>
      </c>
      <c r="J126" s="5" t="s">
        <v>30</v>
      </c>
      <c r="K126" s="5" t="s">
        <v>23</v>
      </c>
      <c r="L126" s="5" t="s">
        <v>31</v>
      </c>
      <c r="M126" s="5"/>
      <c r="N126" s="5" t="s">
        <v>32</v>
      </c>
      <c r="O126" s="5">
        <v>16</v>
      </c>
      <c r="P126" s="5"/>
      <c r="Q126" s="5"/>
      <c r="R126" s="8">
        <v>4.7453703703703704E-4</v>
      </c>
      <c r="S126" s="8">
        <v>1.8518518518518518E-4</v>
      </c>
      <c r="T126" t="str">
        <f>IF(Tabela1[[#This Row],[STATUS_NEGOCIO]]="Enviar E-mail",1,"")</f>
        <v/>
      </c>
      <c r="U126" t="str">
        <f>TEXT(Tabela1[[#This Row],[DATA]],"dd/mm/aaaa")</f>
        <v>20/04/2026</v>
      </c>
    </row>
    <row r="127" spans="1:21" x14ac:dyDescent="0.25">
      <c r="A127" s="4">
        <v>46132.527881944443</v>
      </c>
      <c r="B127" s="5" t="s">
        <v>19</v>
      </c>
      <c r="C127" s="5" t="s">
        <v>20</v>
      </c>
      <c r="D127" s="5"/>
      <c r="E127" s="6"/>
      <c r="F127" s="5">
        <v>2775026218</v>
      </c>
      <c r="G127" s="7">
        <v>177669960931931</v>
      </c>
      <c r="H127" s="5" t="s">
        <v>142</v>
      </c>
      <c r="I127" s="5" t="s">
        <v>28</v>
      </c>
      <c r="J127" s="5" t="s">
        <v>30</v>
      </c>
      <c r="K127" s="5" t="s">
        <v>36</v>
      </c>
      <c r="L127" s="5" t="s">
        <v>36</v>
      </c>
      <c r="M127" s="5"/>
      <c r="N127" s="5" t="s">
        <v>32</v>
      </c>
      <c r="O127" s="5">
        <v>19</v>
      </c>
      <c r="P127" s="5"/>
      <c r="Q127" s="5"/>
      <c r="R127" s="8">
        <v>2.7777777777777778E-4</v>
      </c>
      <c r="S127" s="5" t="s">
        <v>37</v>
      </c>
      <c r="T127" t="str">
        <f>IF(Tabela1[[#This Row],[STATUS_NEGOCIO]]="Enviar E-mail",1,"")</f>
        <v/>
      </c>
      <c r="U127" t="str">
        <f>TEXT(Tabela1[[#This Row],[DATA]],"dd/mm/aaaa")</f>
        <v>20/04/2026</v>
      </c>
    </row>
    <row r="128" spans="1:21" x14ac:dyDescent="0.25">
      <c r="A128" s="4">
        <v>46132.528437499997</v>
      </c>
      <c r="B128" s="5" t="s">
        <v>19</v>
      </c>
      <c r="C128" s="5" t="s">
        <v>27</v>
      </c>
      <c r="D128" s="5"/>
      <c r="E128" s="6"/>
      <c r="F128" s="5">
        <v>2775002564</v>
      </c>
      <c r="G128" s="7">
        <v>177669965731971</v>
      </c>
      <c r="H128" s="5" t="s">
        <v>143</v>
      </c>
      <c r="I128" s="5" t="s">
        <v>28</v>
      </c>
      <c r="J128" s="5" t="s">
        <v>30</v>
      </c>
      <c r="K128" s="5" t="s">
        <v>23</v>
      </c>
      <c r="L128" s="5" t="s">
        <v>31</v>
      </c>
      <c r="M128" s="5"/>
      <c r="N128" s="5" t="s">
        <v>26</v>
      </c>
      <c r="O128" s="5">
        <v>16</v>
      </c>
      <c r="P128" s="5"/>
      <c r="Q128" s="5"/>
      <c r="R128" s="8">
        <v>5.4398148148148144E-4</v>
      </c>
      <c r="S128" s="8">
        <v>1.1574074074074075E-4</v>
      </c>
      <c r="T128" t="str">
        <f>IF(Tabela1[[#This Row],[STATUS_NEGOCIO]]="Enviar E-mail",1,"")</f>
        <v/>
      </c>
      <c r="U128" t="str">
        <f>TEXT(Tabela1[[#This Row],[DATA]],"dd/mm/aaaa")</f>
        <v>20/04/2026</v>
      </c>
    </row>
    <row r="129" spans="1:21" x14ac:dyDescent="0.25">
      <c r="A129" s="4">
        <v>46132.528449074074</v>
      </c>
      <c r="B129" s="5" t="s">
        <v>19</v>
      </c>
      <c r="C129" s="5" t="s">
        <v>20</v>
      </c>
      <c r="D129" s="5"/>
      <c r="E129" s="6"/>
      <c r="F129" s="5">
        <v>2764524611</v>
      </c>
      <c r="G129" s="7">
        <v>177669965831991</v>
      </c>
      <c r="H129" s="5" t="s">
        <v>144</v>
      </c>
      <c r="I129" s="5" t="s">
        <v>28</v>
      </c>
      <c r="J129" s="5" t="s">
        <v>30</v>
      </c>
      <c r="K129" s="5" t="s">
        <v>36</v>
      </c>
      <c r="L129" s="5" t="s">
        <v>36</v>
      </c>
      <c r="M129" s="5"/>
      <c r="N129" s="5" t="s">
        <v>32</v>
      </c>
      <c r="O129" s="5">
        <v>19</v>
      </c>
      <c r="P129" s="5"/>
      <c r="Q129" s="5"/>
      <c r="R129" s="8">
        <v>4.1666666666666669E-4</v>
      </c>
      <c r="S129" s="5" t="s">
        <v>37</v>
      </c>
      <c r="T129" t="str">
        <f>IF(Tabela1[[#This Row],[STATUS_NEGOCIO]]="Enviar E-mail",1,"")</f>
        <v/>
      </c>
      <c r="U129" t="str">
        <f>TEXT(Tabela1[[#This Row],[DATA]],"dd/mm/aaaa")</f>
        <v>20/04/2026</v>
      </c>
    </row>
    <row r="130" spans="1:21" x14ac:dyDescent="0.25">
      <c r="A130" s="4">
        <v>46132.529328703706</v>
      </c>
      <c r="B130" s="5" t="s">
        <v>19</v>
      </c>
      <c r="C130" s="5" t="s">
        <v>20</v>
      </c>
      <c r="D130" s="5"/>
      <c r="E130" s="6"/>
      <c r="F130" s="5">
        <v>2776692428</v>
      </c>
      <c r="G130" s="7">
        <v>177669973432371</v>
      </c>
      <c r="H130" s="5" t="s">
        <v>145</v>
      </c>
      <c r="I130" s="5" t="s">
        <v>28</v>
      </c>
      <c r="J130" s="5" t="s">
        <v>30</v>
      </c>
      <c r="K130" s="5" t="s">
        <v>36</v>
      </c>
      <c r="L130" s="5" t="s">
        <v>36</v>
      </c>
      <c r="M130" s="5"/>
      <c r="N130" s="5" t="s">
        <v>32</v>
      </c>
      <c r="O130" s="5">
        <v>19</v>
      </c>
      <c r="P130" s="5"/>
      <c r="Q130" s="5"/>
      <c r="R130" s="8">
        <v>3.3564814814814812E-4</v>
      </c>
      <c r="S130" s="5" t="s">
        <v>37</v>
      </c>
      <c r="T130" t="str">
        <f>IF(Tabela1[[#This Row],[STATUS_NEGOCIO]]="Enviar E-mail",1,"")</f>
        <v/>
      </c>
      <c r="U130" t="str">
        <f>TEXT(Tabela1[[#This Row],[DATA]],"dd/mm/aaaa")</f>
        <v>20/04/2026</v>
      </c>
    </row>
    <row r="131" spans="1:21" x14ac:dyDescent="0.25">
      <c r="A131" s="4">
        <v>46132.530428240738</v>
      </c>
      <c r="B131" s="5" t="s">
        <v>19</v>
      </c>
      <c r="C131" s="5" t="s">
        <v>20</v>
      </c>
      <c r="D131" s="5"/>
      <c r="E131" s="6"/>
      <c r="F131" s="5">
        <v>2776692523</v>
      </c>
      <c r="G131" s="7">
        <v>177669982932521</v>
      </c>
      <c r="H131" s="5" t="s">
        <v>145</v>
      </c>
      <c r="I131" s="5" t="s">
        <v>28</v>
      </c>
      <c r="J131" s="5" t="s">
        <v>30</v>
      </c>
      <c r="K131" s="5" t="s">
        <v>36</v>
      </c>
      <c r="L131" s="5" t="s">
        <v>36</v>
      </c>
      <c r="M131" s="5"/>
      <c r="N131" s="5" t="s">
        <v>32</v>
      </c>
      <c r="O131" s="5">
        <v>19</v>
      </c>
      <c r="P131" s="5"/>
      <c r="Q131" s="5"/>
      <c r="R131" s="8">
        <v>3.1250000000000001E-4</v>
      </c>
      <c r="S131" s="5" t="s">
        <v>37</v>
      </c>
      <c r="T131" t="str">
        <f>IF(Tabela1[[#This Row],[STATUS_NEGOCIO]]="Enviar E-mail",1,"")</f>
        <v/>
      </c>
      <c r="U131" t="str">
        <f>TEXT(Tabela1[[#This Row],[DATA]],"dd/mm/aaaa")</f>
        <v>20/04/2026</v>
      </c>
    </row>
    <row r="132" spans="1:21" x14ac:dyDescent="0.25">
      <c r="A132" s="4">
        <v>46132.530949074076</v>
      </c>
      <c r="B132" s="5" t="s">
        <v>19</v>
      </c>
      <c r="C132" s="5" t="s">
        <v>20</v>
      </c>
      <c r="D132" s="5"/>
      <c r="E132" s="6"/>
      <c r="F132" s="5">
        <v>2747163856</v>
      </c>
      <c r="G132" s="7">
        <v>177669987432681</v>
      </c>
      <c r="H132" s="5" t="s">
        <v>146</v>
      </c>
      <c r="I132" s="5" t="s">
        <v>28</v>
      </c>
      <c r="J132" s="5" t="s">
        <v>30</v>
      </c>
      <c r="K132" s="5" t="s">
        <v>36</v>
      </c>
      <c r="L132" s="5" t="s">
        <v>36</v>
      </c>
      <c r="M132" s="5"/>
      <c r="N132" s="5" t="s">
        <v>32</v>
      </c>
      <c r="O132" s="5">
        <v>19</v>
      </c>
      <c r="P132" s="5"/>
      <c r="Q132" s="5"/>
      <c r="R132" s="8">
        <v>4.2824074074074075E-4</v>
      </c>
      <c r="S132" s="5" t="s">
        <v>37</v>
      </c>
      <c r="T132" t="str">
        <f>IF(Tabela1[[#This Row],[STATUS_NEGOCIO]]="Enviar E-mail",1,"")</f>
        <v/>
      </c>
      <c r="U132" t="str">
        <f>TEXT(Tabela1[[#This Row],[DATA]],"dd/mm/aaaa")</f>
        <v>20/04/2026</v>
      </c>
    </row>
    <row r="133" spans="1:21" x14ac:dyDescent="0.25">
      <c r="A133" s="4">
        <v>46132.531643518516</v>
      </c>
      <c r="B133" s="5" t="s">
        <v>19</v>
      </c>
      <c r="C133" s="5" t="s">
        <v>20</v>
      </c>
      <c r="D133" s="5"/>
      <c r="E133" s="6"/>
      <c r="F133" s="5">
        <v>2769361849</v>
      </c>
      <c r="G133" s="7">
        <v>177669993432711</v>
      </c>
      <c r="H133" s="5" t="s">
        <v>147</v>
      </c>
      <c r="I133" s="5" t="s">
        <v>28</v>
      </c>
      <c r="J133" s="5" t="s">
        <v>30</v>
      </c>
      <c r="K133" s="5" t="s">
        <v>36</v>
      </c>
      <c r="L133" s="5" t="s">
        <v>36</v>
      </c>
      <c r="M133" s="5"/>
      <c r="N133" s="5" t="s">
        <v>32</v>
      </c>
      <c r="O133" s="5">
        <v>19</v>
      </c>
      <c r="P133" s="5"/>
      <c r="Q133" s="5"/>
      <c r="R133" s="8">
        <v>3.0092592592592595E-4</v>
      </c>
      <c r="S133" s="5" t="s">
        <v>37</v>
      </c>
      <c r="T133" t="str">
        <f>IF(Tabela1[[#This Row],[STATUS_NEGOCIO]]="Enviar E-mail",1,"")</f>
        <v/>
      </c>
      <c r="U133" t="str">
        <f>TEXT(Tabela1[[#This Row],[DATA]],"dd/mm/aaaa")</f>
        <v>20/04/2026</v>
      </c>
    </row>
    <row r="134" spans="1:21" x14ac:dyDescent="0.25">
      <c r="A134" s="4">
        <v>46132.532129629632</v>
      </c>
      <c r="B134" s="5" t="s">
        <v>19</v>
      </c>
      <c r="C134" s="5" t="s">
        <v>20</v>
      </c>
      <c r="D134" s="5"/>
      <c r="E134" s="6"/>
      <c r="F134" s="5">
        <v>2774955224</v>
      </c>
      <c r="G134" s="7">
        <v>177669997632751</v>
      </c>
      <c r="H134" s="5" t="s">
        <v>148</v>
      </c>
      <c r="I134" s="5" t="s">
        <v>28</v>
      </c>
      <c r="J134" s="5" t="s">
        <v>30</v>
      </c>
      <c r="K134" s="5" t="s">
        <v>23</v>
      </c>
      <c r="L134" s="5" t="s">
        <v>40</v>
      </c>
      <c r="M134" s="5"/>
      <c r="N134" s="5" t="s">
        <v>32</v>
      </c>
      <c r="O134" s="5">
        <v>16</v>
      </c>
      <c r="P134" s="5"/>
      <c r="Q134" s="5"/>
      <c r="R134" s="8">
        <v>2.3032407407407407E-3</v>
      </c>
      <c r="S134" s="8">
        <v>2.1180555555555558E-3</v>
      </c>
      <c r="T134">
        <f>IF(Tabela1[[#This Row],[STATUS_NEGOCIO]]="Enviar E-mail",1,"")</f>
        <v>1</v>
      </c>
      <c r="U134" t="str">
        <f>TEXT(Tabela1[[#This Row],[DATA]],"dd/mm/aaaa")</f>
        <v>20/04/2026</v>
      </c>
    </row>
    <row r="135" spans="1:21" x14ac:dyDescent="0.25">
      <c r="A135" s="4">
        <v>46132.532500000001</v>
      </c>
      <c r="B135" s="5" t="s">
        <v>19</v>
      </c>
      <c r="C135" s="5" t="s">
        <v>27</v>
      </c>
      <c r="D135" s="5"/>
      <c r="E135" s="6"/>
      <c r="F135" s="5">
        <v>2775002915</v>
      </c>
      <c r="G135" s="7">
        <v>177670000832771</v>
      </c>
      <c r="H135" s="5" t="s">
        <v>143</v>
      </c>
      <c r="I135" s="5" t="s">
        <v>28</v>
      </c>
      <c r="J135" s="5" t="s">
        <v>30</v>
      </c>
      <c r="K135" s="5" t="s">
        <v>23</v>
      </c>
      <c r="L135" s="5" t="s">
        <v>31</v>
      </c>
      <c r="M135" s="5"/>
      <c r="N135" s="5" t="s">
        <v>26</v>
      </c>
      <c r="O135" s="5">
        <v>16</v>
      </c>
      <c r="P135" s="5"/>
      <c r="Q135" s="5"/>
      <c r="R135" s="8">
        <v>5.4398148148148144E-4</v>
      </c>
      <c r="S135" s="8">
        <v>1.1574074074074075E-4</v>
      </c>
      <c r="T135" t="str">
        <f>IF(Tabela1[[#This Row],[STATUS_NEGOCIO]]="Enviar E-mail",1,"")</f>
        <v/>
      </c>
      <c r="U135" t="str">
        <f>TEXT(Tabela1[[#This Row],[DATA]],"dd/mm/aaaa")</f>
        <v>20/04/2026</v>
      </c>
    </row>
    <row r="136" spans="1:21" x14ac:dyDescent="0.25">
      <c r="A136" s="4">
        <v>46132.533668981479</v>
      </c>
      <c r="B136" s="5" t="s">
        <v>19</v>
      </c>
      <c r="C136" s="5" t="s">
        <v>27</v>
      </c>
      <c r="D136" s="5"/>
      <c r="E136" s="6"/>
      <c r="F136" s="5">
        <v>2753078182</v>
      </c>
      <c r="G136" s="7">
        <v>177670010932981</v>
      </c>
      <c r="H136" s="5" t="s">
        <v>149</v>
      </c>
      <c r="I136" s="5" t="s">
        <v>28</v>
      </c>
      <c r="J136" s="5" t="s">
        <v>30</v>
      </c>
      <c r="K136" s="5" t="s">
        <v>36</v>
      </c>
      <c r="L136" s="5" t="s">
        <v>36</v>
      </c>
      <c r="M136" s="5"/>
      <c r="N136" s="5" t="s">
        <v>32</v>
      </c>
      <c r="O136" s="5">
        <v>19</v>
      </c>
      <c r="P136" s="5"/>
      <c r="Q136" s="5"/>
      <c r="R136" s="8">
        <v>1.5046296296296297E-4</v>
      </c>
      <c r="S136" s="5" t="s">
        <v>37</v>
      </c>
      <c r="T136" t="str">
        <f>IF(Tabela1[[#This Row],[STATUS_NEGOCIO]]="Enviar E-mail",1,"")</f>
        <v/>
      </c>
      <c r="U136" t="str">
        <f>TEXT(Tabela1[[#This Row],[DATA]],"dd/mm/aaaa")</f>
        <v>20/04/2026</v>
      </c>
    </row>
    <row r="137" spans="1:21" x14ac:dyDescent="0.25">
      <c r="A137" s="4">
        <v>46132.534560185188</v>
      </c>
      <c r="B137" s="5" t="s">
        <v>19</v>
      </c>
      <c r="C137" s="5" t="s">
        <v>27</v>
      </c>
      <c r="D137" s="5"/>
      <c r="E137" s="6"/>
      <c r="F137" s="5">
        <v>2770652189</v>
      </c>
      <c r="G137" s="7">
        <v>177670018633221</v>
      </c>
      <c r="H137" s="5" t="s">
        <v>150</v>
      </c>
      <c r="I137" s="5" t="s">
        <v>28</v>
      </c>
      <c r="J137" s="5" t="s">
        <v>30</v>
      </c>
      <c r="K137" s="5" t="s">
        <v>23</v>
      </c>
      <c r="L137" s="5" t="s">
        <v>40</v>
      </c>
      <c r="M137" s="5"/>
      <c r="N137" s="5" t="s">
        <v>32</v>
      </c>
      <c r="O137" s="5">
        <v>16</v>
      </c>
      <c r="P137" s="5"/>
      <c r="Q137" s="5"/>
      <c r="R137" s="8">
        <v>1.6782407407407408E-3</v>
      </c>
      <c r="S137" s="8">
        <v>1.5856481481481481E-3</v>
      </c>
      <c r="T137">
        <f>IF(Tabela1[[#This Row],[STATUS_NEGOCIO]]="Enviar E-mail",1,"")</f>
        <v>1</v>
      </c>
      <c r="U137" t="str">
        <f>TEXT(Tabela1[[#This Row],[DATA]],"dd/mm/aaaa")</f>
        <v>20/04/2026</v>
      </c>
    </row>
    <row r="138" spans="1:21" x14ac:dyDescent="0.25">
      <c r="A138" s="4">
        <v>46132.535138888888</v>
      </c>
      <c r="B138" s="5" t="s">
        <v>19</v>
      </c>
      <c r="C138" s="5" t="s">
        <v>20</v>
      </c>
      <c r="D138" s="5"/>
      <c r="E138" s="6"/>
      <c r="F138" s="5">
        <v>2771139887</v>
      </c>
      <c r="G138" s="7">
        <v>177670023633351</v>
      </c>
      <c r="H138" s="5" t="s">
        <v>151</v>
      </c>
      <c r="I138" s="5" t="s">
        <v>28</v>
      </c>
      <c r="J138" s="5" t="s">
        <v>30</v>
      </c>
      <c r="K138" s="5" t="s">
        <v>23</v>
      </c>
      <c r="L138" s="5" t="s">
        <v>152</v>
      </c>
      <c r="M138" s="5"/>
      <c r="N138" s="5" t="s">
        <v>32</v>
      </c>
      <c r="O138" s="5">
        <v>16</v>
      </c>
      <c r="P138" s="5"/>
      <c r="Q138" s="5"/>
      <c r="R138" s="8">
        <v>2.1412037037037038E-3</v>
      </c>
      <c r="S138" s="8">
        <v>2.0254629629629629E-3</v>
      </c>
      <c r="T138" t="str">
        <f>IF(Tabela1[[#This Row],[STATUS_NEGOCIO]]="Enviar E-mail",1,"")</f>
        <v/>
      </c>
      <c r="U138" t="str">
        <f>TEXT(Tabela1[[#This Row],[DATA]],"dd/mm/aaaa")</f>
        <v>20/04/2026</v>
      </c>
    </row>
    <row r="139" spans="1:21" x14ac:dyDescent="0.25">
      <c r="A139" s="4">
        <v>46132.538032407407</v>
      </c>
      <c r="B139" s="5" t="s">
        <v>19</v>
      </c>
      <c r="C139" s="5" t="s">
        <v>20</v>
      </c>
      <c r="D139" s="5"/>
      <c r="E139" s="6"/>
      <c r="F139" s="5">
        <v>2772104217</v>
      </c>
      <c r="G139" s="7">
        <v>177670048633961</v>
      </c>
      <c r="H139" s="5" t="s">
        <v>153</v>
      </c>
      <c r="I139" s="5" t="s">
        <v>28</v>
      </c>
      <c r="J139" s="5" t="s">
        <v>30</v>
      </c>
      <c r="K139" s="5" t="s">
        <v>36</v>
      </c>
      <c r="L139" s="5" t="s">
        <v>36</v>
      </c>
      <c r="M139" s="5"/>
      <c r="N139" s="5" t="s">
        <v>32</v>
      </c>
      <c r="O139" s="5">
        <v>19</v>
      </c>
      <c r="P139" s="5"/>
      <c r="Q139" s="5"/>
      <c r="R139" s="8">
        <v>1.273148148148148E-4</v>
      </c>
      <c r="S139" s="5" t="s">
        <v>37</v>
      </c>
      <c r="T139" t="str">
        <f>IF(Tabela1[[#This Row],[STATUS_NEGOCIO]]="Enviar E-mail",1,"")</f>
        <v/>
      </c>
      <c r="U139" t="str">
        <f>TEXT(Tabela1[[#This Row],[DATA]],"dd/mm/aaaa")</f>
        <v>20/04/2026</v>
      </c>
    </row>
    <row r="140" spans="1:21" x14ac:dyDescent="0.25">
      <c r="A140" s="4">
        <v>46132.538229166668</v>
      </c>
      <c r="B140" s="5" t="s">
        <v>19</v>
      </c>
      <c r="C140" s="5" t="s">
        <v>27</v>
      </c>
      <c r="D140" s="5"/>
      <c r="E140" s="6"/>
      <c r="F140" s="5">
        <v>2758521321</v>
      </c>
      <c r="G140" s="7">
        <v>177670050334111</v>
      </c>
      <c r="H140" s="5" t="s">
        <v>154</v>
      </c>
      <c r="I140" s="5" t="s">
        <v>28</v>
      </c>
      <c r="J140" s="5" t="s">
        <v>30</v>
      </c>
      <c r="K140" s="5" t="s">
        <v>23</v>
      </c>
      <c r="L140" s="5" t="s">
        <v>31</v>
      </c>
      <c r="M140" s="5"/>
      <c r="N140" s="5" t="s">
        <v>32</v>
      </c>
      <c r="O140" s="5">
        <v>16</v>
      </c>
      <c r="P140" s="5"/>
      <c r="Q140" s="5"/>
      <c r="R140" s="8">
        <v>4.1666666666666669E-4</v>
      </c>
      <c r="S140" s="8">
        <v>1.9675925925925926E-4</v>
      </c>
      <c r="T140" t="str">
        <f>IF(Tabela1[[#This Row],[STATUS_NEGOCIO]]="Enviar E-mail",1,"")</f>
        <v/>
      </c>
      <c r="U140" t="str">
        <f>TEXT(Tabela1[[#This Row],[DATA]],"dd/mm/aaaa")</f>
        <v>20/04/2026</v>
      </c>
    </row>
    <row r="141" spans="1:21" x14ac:dyDescent="0.25">
      <c r="A141" s="4">
        <v>46132.539340277777</v>
      </c>
      <c r="B141" s="5" t="s">
        <v>19</v>
      </c>
      <c r="C141" s="5" t="s">
        <v>27</v>
      </c>
      <c r="D141" s="5"/>
      <c r="E141" s="6"/>
      <c r="F141" s="5">
        <v>2774307707</v>
      </c>
      <c r="G141" s="7">
        <v>177670059934361</v>
      </c>
      <c r="H141" s="5" t="s">
        <v>155</v>
      </c>
      <c r="I141" s="5" t="s">
        <v>28</v>
      </c>
      <c r="J141" s="5" t="s">
        <v>30</v>
      </c>
      <c r="K141" s="5" t="s">
        <v>23</v>
      </c>
      <c r="L141" s="5" t="s">
        <v>31</v>
      </c>
      <c r="M141" s="5"/>
      <c r="N141" s="5" t="s">
        <v>32</v>
      </c>
      <c r="O141" s="5">
        <v>16</v>
      </c>
      <c r="P141" s="5"/>
      <c r="Q141" s="5"/>
      <c r="R141" s="8">
        <v>2.3148148148148149E-4</v>
      </c>
      <c r="S141" s="8">
        <v>1.6203703703703703E-4</v>
      </c>
      <c r="T141" t="str">
        <f>IF(Tabela1[[#This Row],[STATUS_NEGOCIO]]="Enviar E-mail",1,"")</f>
        <v/>
      </c>
      <c r="U141" t="str">
        <f>TEXT(Tabela1[[#This Row],[DATA]],"dd/mm/aaaa")</f>
        <v>20/04/2026</v>
      </c>
    </row>
    <row r="142" spans="1:21" x14ac:dyDescent="0.25">
      <c r="A142" s="4">
        <v>46132.540312500001</v>
      </c>
      <c r="B142" s="5" t="s">
        <v>19</v>
      </c>
      <c r="C142" s="5" t="s">
        <v>27</v>
      </c>
      <c r="D142" s="5"/>
      <c r="E142" s="6"/>
      <c r="F142" s="5">
        <v>2775016095</v>
      </c>
      <c r="G142" s="7">
        <v>177670068334691</v>
      </c>
      <c r="H142" s="5" t="s">
        <v>156</v>
      </c>
      <c r="I142" s="5" t="s">
        <v>28</v>
      </c>
      <c r="J142" s="5" t="s">
        <v>30</v>
      </c>
      <c r="K142" s="5" t="s">
        <v>23</v>
      </c>
      <c r="L142" s="5" t="s">
        <v>31</v>
      </c>
      <c r="M142" s="5"/>
      <c r="N142" s="5" t="s">
        <v>32</v>
      </c>
      <c r="O142" s="5">
        <v>16</v>
      </c>
      <c r="P142" s="5"/>
      <c r="Q142" s="5"/>
      <c r="R142" s="8">
        <v>1.0300925925925926E-3</v>
      </c>
      <c r="S142" s="8">
        <v>5.5555555555555556E-4</v>
      </c>
      <c r="T142" t="str">
        <f>IF(Tabela1[[#This Row],[STATUS_NEGOCIO]]="Enviar E-mail",1,"")</f>
        <v/>
      </c>
      <c r="U142" t="str">
        <f>TEXT(Tabela1[[#This Row],[DATA]],"dd/mm/aaaa")</f>
        <v>20/04/2026</v>
      </c>
    </row>
    <row r="143" spans="1:21" x14ac:dyDescent="0.25">
      <c r="A143" s="4">
        <v>46132.585046296299</v>
      </c>
      <c r="B143" s="5" t="s">
        <v>19</v>
      </c>
      <c r="C143" s="5" t="s">
        <v>27</v>
      </c>
      <c r="D143" s="5"/>
      <c r="E143" s="6"/>
      <c r="F143" s="5">
        <v>2758237102</v>
      </c>
      <c r="G143" s="7">
        <v>177670454839381</v>
      </c>
      <c r="H143" s="5" t="s">
        <v>157</v>
      </c>
      <c r="I143" s="5" t="s">
        <v>28</v>
      </c>
      <c r="J143" s="5" t="s">
        <v>30</v>
      </c>
      <c r="K143" s="5" t="s">
        <v>23</v>
      </c>
      <c r="L143" s="5" t="s">
        <v>31</v>
      </c>
      <c r="M143" s="5"/>
      <c r="N143" s="5" t="s">
        <v>32</v>
      </c>
      <c r="O143" s="5">
        <v>16</v>
      </c>
      <c r="P143" s="5"/>
      <c r="Q143" s="5"/>
      <c r="R143" s="8">
        <v>2.8935185185185184E-4</v>
      </c>
      <c r="S143" s="8">
        <v>1.5046296296296297E-4</v>
      </c>
      <c r="T143" t="str">
        <f>IF(Tabela1[[#This Row],[STATUS_NEGOCIO]]="Enviar E-mail",1,"")</f>
        <v/>
      </c>
      <c r="U143" t="str">
        <f>TEXT(Tabela1[[#This Row],[DATA]],"dd/mm/aaaa")</f>
        <v>20/04/2026</v>
      </c>
    </row>
    <row r="144" spans="1:21" x14ac:dyDescent="0.25">
      <c r="A144" s="4">
        <v>46132.585555555554</v>
      </c>
      <c r="B144" s="5" t="s">
        <v>19</v>
      </c>
      <c r="C144" s="5" t="s">
        <v>27</v>
      </c>
      <c r="D144" s="5"/>
      <c r="E144" s="6"/>
      <c r="F144" s="5">
        <v>2776695123</v>
      </c>
      <c r="G144" s="7">
        <v>177670459239471</v>
      </c>
      <c r="H144" s="5" t="s">
        <v>158</v>
      </c>
      <c r="I144" s="5" t="s">
        <v>28</v>
      </c>
      <c r="J144" s="5" t="s">
        <v>30</v>
      </c>
      <c r="K144" s="5" t="s">
        <v>23</v>
      </c>
      <c r="L144" s="5" t="s">
        <v>31</v>
      </c>
      <c r="M144" s="5"/>
      <c r="N144" s="5" t="s">
        <v>26</v>
      </c>
      <c r="O144" s="5">
        <v>16</v>
      </c>
      <c r="P144" s="5"/>
      <c r="Q144" s="5"/>
      <c r="R144" s="8">
        <v>1.5972222222222223E-3</v>
      </c>
      <c r="S144" s="8">
        <v>1.5162037037037036E-3</v>
      </c>
      <c r="T144" t="str">
        <f>IF(Tabela1[[#This Row],[STATUS_NEGOCIO]]="Enviar E-mail",1,"")</f>
        <v/>
      </c>
      <c r="U144" t="str">
        <f>TEXT(Tabela1[[#This Row],[DATA]],"dd/mm/aaaa")</f>
        <v>20/04/2026</v>
      </c>
    </row>
    <row r="145" spans="1:21" x14ac:dyDescent="0.25">
      <c r="A145" s="4">
        <v>46132.585972222223</v>
      </c>
      <c r="B145" s="5" t="s">
        <v>19</v>
      </c>
      <c r="C145" s="5" t="s">
        <v>20</v>
      </c>
      <c r="D145" s="5"/>
      <c r="E145" s="6"/>
      <c r="F145" s="5">
        <v>2758039368</v>
      </c>
      <c r="G145" s="7">
        <v>177670462839491</v>
      </c>
      <c r="H145" s="5" t="s">
        <v>159</v>
      </c>
      <c r="I145" s="5" t="s">
        <v>28</v>
      </c>
      <c r="J145" s="5" t="s">
        <v>30</v>
      </c>
      <c r="K145" s="5" t="s">
        <v>23</v>
      </c>
      <c r="L145" s="5" t="s">
        <v>31</v>
      </c>
      <c r="M145" s="5"/>
      <c r="N145" s="5" t="s">
        <v>32</v>
      </c>
      <c r="O145" s="5">
        <v>16</v>
      </c>
      <c r="P145" s="5"/>
      <c r="Q145" s="5"/>
      <c r="R145" s="8">
        <v>2.8935185185185184E-4</v>
      </c>
      <c r="S145" s="8">
        <v>1.1574074074074073E-5</v>
      </c>
      <c r="T145" t="str">
        <f>IF(Tabela1[[#This Row],[STATUS_NEGOCIO]]="Enviar E-mail",1,"")</f>
        <v/>
      </c>
      <c r="U145" t="str">
        <f>TEXT(Tabela1[[#This Row],[DATA]],"dd/mm/aaaa")</f>
        <v>20/04/2026</v>
      </c>
    </row>
    <row r="146" spans="1:21" x14ac:dyDescent="0.25">
      <c r="A146" s="4">
        <v>46132.586712962962</v>
      </c>
      <c r="B146" s="5" t="s">
        <v>19</v>
      </c>
      <c r="C146" s="5" t="s">
        <v>20</v>
      </c>
      <c r="D146" s="5"/>
      <c r="E146" s="6"/>
      <c r="F146" s="5">
        <v>2775005016</v>
      </c>
      <c r="G146" s="7">
        <v>177670469239581</v>
      </c>
      <c r="H146" s="5" t="s">
        <v>160</v>
      </c>
      <c r="I146" s="5" t="s">
        <v>28</v>
      </c>
      <c r="J146" s="5" t="s">
        <v>30</v>
      </c>
      <c r="K146" s="5" t="s">
        <v>36</v>
      </c>
      <c r="L146" s="5" t="s">
        <v>36</v>
      </c>
      <c r="M146" s="5"/>
      <c r="N146" s="5" t="s">
        <v>32</v>
      </c>
      <c r="O146" s="5">
        <v>19</v>
      </c>
      <c r="P146" s="5"/>
      <c r="Q146" s="5"/>
      <c r="R146" s="8">
        <v>1.3888888888888889E-4</v>
      </c>
      <c r="S146" s="5" t="s">
        <v>37</v>
      </c>
      <c r="T146" t="str">
        <f>IF(Tabela1[[#This Row],[STATUS_NEGOCIO]]="Enviar E-mail",1,"")</f>
        <v/>
      </c>
      <c r="U146" t="str">
        <f>TEXT(Tabela1[[#This Row],[DATA]],"dd/mm/aaaa")</f>
        <v>20/04/2026</v>
      </c>
    </row>
    <row r="147" spans="1:21" x14ac:dyDescent="0.25">
      <c r="A147" s="4">
        <v>46132.587094907409</v>
      </c>
      <c r="B147" s="5" t="s">
        <v>19</v>
      </c>
      <c r="C147" s="5" t="s">
        <v>20</v>
      </c>
      <c r="D147" s="5"/>
      <c r="E147" s="6"/>
      <c r="F147" s="5">
        <v>1809969175</v>
      </c>
      <c r="G147" s="7">
        <v>177670472539691</v>
      </c>
      <c r="H147" s="5" t="s">
        <v>161</v>
      </c>
      <c r="I147" s="5" t="s">
        <v>28</v>
      </c>
      <c r="J147" s="5" t="s">
        <v>30</v>
      </c>
      <c r="K147" s="5" t="s">
        <v>23</v>
      </c>
      <c r="L147" s="5" t="s">
        <v>44</v>
      </c>
      <c r="M147" s="5"/>
      <c r="N147" s="5" t="s">
        <v>32</v>
      </c>
      <c r="O147" s="5">
        <v>16</v>
      </c>
      <c r="P147" s="5"/>
      <c r="Q147" s="5"/>
      <c r="R147" s="8">
        <v>6.018518518518519E-4</v>
      </c>
      <c r="S147" s="8">
        <v>3.7037037037037035E-4</v>
      </c>
      <c r="T147" t="str">
        <f>IF(Tabela1[[#This Row],[STATUS_NEGOCIO]]="Enviar E-mail",1,"")</f>
        <v/>
      </c>
      <c r="U147" t="str">
        <f>TEXT(Tabela1[[#This Row],[DATA]],"dd/mm/aaaa")</f>
        <v>20/04/2026</v>
      </c>
    </row>
    <row r="148" spans="1:21" x14ac:dyDescent="0.25">
      <c r="A148" s="4">
        <v>46132.58792824074</v>
      </c>
      <c r="B148" s="5" t="s">
        <v>19</v>
      </c>
      <c r="C148" s="5" t="s">
        <v>20</v>
      </c>
      <c r="D148" s="5"/>
      <c r="E148" s="6"/>
      <c r="F148" s="5">
        <v>2776537796</v>
      </c>
      <c r="G148" s="7">
        <v>177670479739731</v>
      </c>
      <c r="H148" s="5" t="s">
        <v>116</v>
      </c>
      <c r="I148" s="5" t="s">
        <v>28</v>
      </c>
      <c r="J148" s="5" t="s">
        <v>30</v>
      </c>
      <c r="K148" s="5" t="s">
        <v>36</v>
      </c>
      <c r="L148" s="5" t="s">
        <v>36</v>
      </c>
      <c r="M148" s="5"/>
      <c r="N148" s="5" t="s">
        <v>32</v>
      </c>
      <c r="O148" s="5">
        <v>19</v>
      </c>
      <c r="P148" s="5"/>
      <c r="Q148" s="5"/>
      <c r="R148" s="8">
        <v>3.8194444444444446E-4</v>
      </c>
      <c r="S148" s="5" t="s">
        <v>37</v>
      </c>
      <c r="T148" t="str">
        <f>IF(Tabela1[[#This Row],[STATUS_NEGOCIO]]="Enviar E-mail",1,"")</f>
        <v/>
      </c>
      <c r="U148" t="str">
        <f>TEXT(Tabela1[[#This Row],[DATA]],"dd/mm/aaaa")</f>
        <v>20/04/2026</v>
      </c>
    </row>
    <row r="149" spans="1:21" x14ac:dyDescent="0.25">
      <c r="A149" s="4">
        <v>46132.588460648149</v>
      </c>
      <c r="B149" s="5" t="s">
        <v>19</v>
      </c>
      <c r="C149" s="5" t="s">
        <v>27</v>
      </c>
      <c r="D149" s="5"/>
      <c r="E149" s="6"/>
      <c r="F149" s="5">
        <v>2760256704</v>
      </c>
      <c r="G149" s="7">
        <v>177670484339761</v>
      </c>
      <c r="H149" s="5" t="s">
        <v>162</v>
      </c>
      <c r="I149" s="5" t="s">
        <v>28</v>
      </c>
      <c r="J149" s="5" t="s">
        <v>30</v>
      </c>
      <c r="K149" s="5" t="s">
        <v>23</v>
      </c>
      <c r="L149" s="5" t="s">
        <v>40</v>
      </c>
      <c r="M149" s="5"/>
      <c r="N149" s="5" t="s">
        <v>26</v>
      </c>
      <c r="O149" s="5">
        <v>16</v>
      </c>
      <c r="P149" s="5"/>
      <c r="Q149" s="5"/>
      <c r="R149" s="8">
        <v>1.5856481481481481E-3</v>
      </c>
      <c r="S149" s="8">
        <v>1.4236111111111112E-3</v>
      </c>
      <c r="T149">
        <f>IF(Tabela1[[#This Row],[STATUS_NEGOCIO]]="Enviar E-mail",1,"")</f>
        <v>1</v>
      </c>
      <c r="U149" t="str">
        <f>TEXT(Tabela1[[#This Row],[DATA]],"dd/mm/aaaa")</f>
        <v>20/04/2026</v>
      </c>
    </row>
    <row r="150" spans="1:21" x14ac:dyDescent="0.25">
      <c r="A150" s="4">
        <v>46132.588506944441</v>
      </c>
      <c r="B150" s="5" t="s">
        <v>19</v>
      </c>
      <c r="C150" s="5" t="s">
        <v>20</v>
      </c>
      <c r="D150" s="5"/>
      <c r="E150" s="6"/>
      <c r="F150" s="5">
        <v>2775420512</v>
      </c>
      <c r="G150" s="7">
        <v>177670484739781</v>
      </c>
      <c r="H150" s="5" t="s">
        <v>163</v>
      </c>
      <c r="I150" s="5" t="s">
        <v>28</v>
      </c>
      <c r="J150" s="5" t="s">
        <v>30</v>
      </c>
      <c r="K150" s="5" t="s">
        <v>36</v>
      </c>
      <c r="L150" s="5" t="s">
        <v>36</v>
      </c>
      <c r="M150" s="5"/>
      <c r="N150" s="5" t="s">
        <v>32</v>
      </c>
      <c r="O150" s="5">
        <v>19</v>
      </c>
      <c r="P150" s="5"/>
      <c r="Q150" s="5"/>
      <c r="R150" s="8">
        <v>4.0509259259259258E-4</v>
      </c>
      <c r="S150" s="5" t="s">
        <v>37</v>
      </c>
      <c r="T150" t="str">
        <f>IF(Tabela1[[#This Row],[STATUS_NEGOCIO]]="Enviar E-mail",1,"")</f>
        <v/>
      </c>
      <c r="U150" t="str">
        <f>TEXT(Tabela1[[#This Row],[DATA]],"dd/mm/aaaa")</f>
        <v>20/04/2026</v>
      </c>
    </row>
    <row r="151" spans="1:21" x14ac:dyDescent="0.25">
      <c r="A151" s="4">
        <v>46132.589050925926</v>
      </c>
      <c r="B151" s="5" t="s">
        <v>19</v>
      </c>
      <c r="C151" s="5" t="s">
        <v>20</v>
      </c>
      <c r="D151" s="5"/>
      <c r="E151" s="6"/>
      <c r="F151" s="5">
        <v>2775802002</v>
      </c>
      <c r="G151" s="7">
        <v>177670489439871</v>
      </c>
      <c r="H151" s="5" t="s">
        <v>164</v>
      </c>
      <c r="I151" s="5" t="s">
        <v>28</v>
      </c>
      <c r="J151" s="5" t="s">
        <v>30</v>
      </c>
      <c r="K151" s="5" t="s">
        <v>23</v>
      </c>
      <c r="L151" s="5" t="s">
        <v>31</v>
      </c>
      <c r="M151" s="5"/>
      <c r="N151" s="5" t="s">
        <v>32</v>
      </c>
      <c r="O151" s="5">
        <v>16</v>
      </c>
      <c r="P151" s="5"/>
      <c r="Q151" s="5"/>
      <c r="R151" s="8">
        <v>5.0925925925925921E-4</v>
      </c>
      <c r="S151" s="8">
        <v>4.861111111111111E-4</v>
      </c>
      <c r="T151" t="str">
        <f>IF(Tabela1[[#This Row],[STATUS_NEGOCIO]]="Enviar E-mail",1,"")</f>
        <v/>
      </c>
      <c r="U151" t="str">
        <f>TEXT(Tabela1[[#This Row],[DATA]],"dd/mm/aaaa")</f>
        <v>20/04/2026</v>
      </c>
    </row>
    <row r="152" spans="1:21" x14ac:dyDescent="0.25">
      <c r="A152" s="4">
        <v>46132.589733796296</v>
      </c>
      <c r="B152" s="5" t="s">
        <v>19</v>
      </c>
      <c r="C152" s="5" t="s">
        <v>20</v>
      </c>
      <c r="D152" s="5"/>
      <c r="E152" s="6"/>
      <c r="F152" s="5">
        <v>2769225116</v>
      </c>
      <c r="G152" s="7">
        <v>177670495339911</v>
      </c>
      <c r="H152" s="5" t="s">
        <v>165</v>
      </c>
      <c r="I152" s="5" t="s">
        <v>28</v>
      </c>
      <c r="J152" s="5" t="s">
        <v>30</v>
      </c>
      <c r="K152" s="5" t="s">
        <v>23</v>
      </c>
      <c r="L152" s="5" t="s">
        <v>95</v>
      </c>
      <c r="M152" s="5"/>
      <c r="N152" s="5" t="s">
        <v>26</v>
      </c>
      <c r="O152" s="5">
        <v>16</v>
      </c>
      <c r="P152" s="5"/>
      <c r="Q152" s="5"/>
      <c r="R152" s="8">
        <v>6.9444444444444447E-4</v>
      </c>
      <c r="S152" s="8">
        <v>5.0925925925925921E-4</v>
      </c>
      <c r="T152" t="str">
        <f>IF(Tabela1[[#This Row],[STATUS_NEGOCIO]]="Enviar E-mail",1,"")</f>
        <v/>
      </c>
      <c r="U152" t="str">
        <f>TEXT(Tabela1[[#This Row],[DATA]],"dd/mm/aaaa")</f>
        <v>20/04/2026</v>
      </c>
    </row>
    <row r="153" spans="1:21" x14ac:dyDescent="0.25">
      <c r="A153" s="4">
        <v>46132.590729166666</v>
      </c>
      <c r="B153" s="5" t="s">
        <v>19</v>
      </c>
      <c r="C153" s="5" t="s">
        <v>20</v>
      </c>
      <c r="D153" s="5"/>
      <c r="E153" s="6"/>
      <c r="F153" s="5">
        <v>2771323174</v>
      </c>
      <c r="G153" s="7">
        <v>177670503940231</v>
      </c>
      <c r="H153" s="5" t="s">
        <v>166</v>
      </c>
      <c r="I153" s="5" t="s">
        <v>28</v>
      </c>
      <c r="J153" s="5" t="s">
        <v>30</v>
      </c>
      <c r="K153" s="5" t="s">
        <v>36</v>
      </c>
      <c r="L153" s="5" t="s">
        <v>36</v>
      </c>
      <c r="M153" s="5"/>
      <c r="N153" s="5" t="s">
        <v>32</v>
      </c>
      <c r="O153" s="5">
        <v>19</v>
      </c>
      <c r="P153" s="5"/>
      <c r="Q153" s="5"/>
      <c r="R153" s="8">
        <v>3.9351851851851852E-4</v>
      </c>
      <c r="S153" s="5" t="s">
        <v>37</v>
      </c>
      <c r="T153" t="str">
        <f>IF(Tabela1[[#This Row],[STATUS_NEGOCIO]]="Enviar E-mail",1,"")</f>
        <v/>
      </c>
      <c r="U153" t="str">
        <f>TEXT(Tabela1[[#This Row],[DATA]],"dd/mm/aaaa")</f>
        <v>20/04/2026</v>
      </c>
    </row>
    <row r="154" spans="1:21" x14ac:dyDescent="0.25">
      <c r="A154" s="4">
        <v>46132.591296296298</v>
      </c>
      <c r="B154" s="5" t="s">
        <v>19</v>
      </c>
      <c r="C154" s="5" t="s">
        <v>20</v>
      </c>
      <c r="D154" s="5"/>
      <c r="E154" s="6"/>
      <c r="F154" s="5">
        <v>2771323223</v>
      </c>
      <c r="G154" s="7">
        <v>177670508840401</v>
      </c>
      <c r="H154" s="5" t="s">
        <v>166</v>
      </c>
      <c r="I154" s="5" t="s">
        <v>28</v>
      </c>
      <c r="J154" s="5" t="s">
        <v>30</v>
      </c>
      <c r="K154" s="5" t="s">
        <v>36</v>
      </c>
      <c r="L154" s="5" t="s">
        <v>36</v>
      </c>
      <c r="M154" s="5"/>
      <c r="N154" s="5" t="s">
        <v>32</v>
      </c>
      <c r="O154" s="5">
        <v>19</v>
      </c>
      <c r="P154" s="5"/>
      <c r="Q154" s="5"/>
      <c r="R154" s="8">
        <v>3.9351851851851852E-4</v>
      </c>
      <c r="S154" s="5" t="s">
        <v>37</v>
      </c>
      <c r="T154" t="str">
        <f>IF(Tabela1[[#This Row],[STATUS_NEGOCIO]]="Enviar E-mail",1,"")</f>
        <v/>
      </c>
      <c r="U154" t="str">
        <f>TEXT(Tabela1[[#This Row],[DATA]],"dd/mm/aaaa")</f>
        <v>20/04/2026</v>
      </c>
    </row>
    <row r="155" spans="1:21" x14ac:dyDescent="0.25">
      <c r="A155" s="4">
        <v>46132.591828703706</v>
      </c>
      <c r="B155" s="5" t="s">
        <v>19</v>
      </c>
      <c r="C155" s="5" t="s">
        <v>20</v>
      </c>
      <c r="D155" s="5"/>
      <c r="E155" s="6"/>
      <c r="F155" s="5">
        <v>2770334844</v>
      </c>
      <c r="G155" s="7">
        <v>177670513440551</v>
      </c>
      <c r="H155" s="5" t="s">
        <v>167</v>
      </c>
      <c r="I155" s="5" t="s">
        <v>28</v>
      </c>
      <c r="J155" s="5" t="s">
        <v>30</v>
      </c>
      <c r="K155" s="5" t="s">
        <v>23</v>
      </c>
      <c r="L155" s="5" t="s">
        <v>31</v>
      </c>
      <c r="M155" s="5"/>
      <c r="N155" s="5" t="s">
        <v>32</v>
      </c>
      <c r="O155" s="5">
        <v>16</v>
      </c>
      <c r="P155" s="5"/>
      <c r="Q155" s="5"/>
      <c r="R155" s="8">
        <v>6.9444444444444444E-5</v>
      </c>
      <c r="S155" s="8">
        <v>2.3148148148148147E-5</v>
      </c>
      <c r="T155" t="str">
        <f>IF(Tabela1[[#This Row],[STATUS_NEGOCIO]]="Enviar E-mail",1,"")</f>
        <v/>
      </c>
      <c r="U155" t="str">
        <f>TEXT(Tabela1[[#This Row],[DATA]],"dd/mm/aaaa")</f>
        <v>20/04/2026</v>
      </c>
    </row>
    <row r="156" spans="1:21" x14ac:dyDescent="0.25">
      <c r="A156" s="4">
        <v>46132.592164351852</v>
      </c>
      <c r="B156" s="5" t="s">
        <v>19</v>
      </c>
      <c r="C156" s="5" t="s">
        <v>20</v>
      </c>
      <c r="D156" s="5"/>
      <c r="E156" s="6"/>
      <c r="F156" s="5">
        <v>2774404813</v>
      </c>
      <c r="G156" s="7">
        <v>177670516340771</v>
      </c>
      <c r="H156" s="5" t="s">
        <v>168</v>
      </c>
      <c r="I156" s="5" t="s">
        <v>28</v>
      </c>
      <c r="J156" s="5" t="s">
        <v>30</v>
      </c>
      <c r="K156" s="5" t="s">
        <v>36</v>
      </c>
      <c r="L156" s="5" t="s">
        <v>36</v>
      </c>
      <c r="M156" s="5"/>
      <c r="N156" s="5" t="s">
        <v>32</v>
      </c>
      <c r="O156" s="5">
        <v>19</v>
      </c>
      <c r="P156" s="5"/>
      <c r="Q156" s="5"/>
      <c r="R156" s="8">
        <v>4.0509259259259258E-4</v>
      </c>
      <c r="S156" s="5" t="s">
        <v>37</v>
      </c>
      <c r="T156" t="str">
        <f>IF(Tabela1[[#This Row],[STATUS_NEGOCIO]]="Enviar E-mail",1,"")</f>
        <v/>
      </c>
      <c r="U156" t="str">
        <f>TEXT(Tabela1[[#This Row],[DATA]],"dd/mm/aaaa")</f>
        <v>20/04/2026</v>
      </c>
    </row>
    <row r="157" spans="1:21" x14ac:dyDescent="0.25">
      <c r="A157" s="4">
        <v>46132.592743055553</v>
      </c>
      <c r="B157" s="5" t="s">
        <v>19</v>
      </c>
      <c r="C157" s="5" t="s">
        <v>20</v>
      </c>
      <c r="D157" s="5"/>
      <c r="E157" s="6"/>
      <c r="F157" s="5">
        <v>2775148471</v>
      </c>
      <c r="G157" s="7">
        <v>177670521340861</v>
      </c>
      <c r="H157" s="5" t="s">
        <v>169</v>
      </c>
      <c r="I157" s="5" t="s">
        <v>28</v>
      </c>
      <c r="J157" s="5" t="s">
        <v>30</v>
      </c>
      <c r="K157" s="5" t="s">
        <v>36</v>
      </c>
      <c r="L157" s="5" t="s">
        <v>36</v>
      </c>
      <c r="M157" s="5"/>
      <c r="N157" s="5" t="s">
        <v>32</v>
      </c>
      <c r="O157" s="5">
        <v>19</v>
      </c>
      <c r="P157" s="5"/>
      <c r="Q157" s="5"/>
      <c r="R157" s="8">
        <v>4.1666666666666669E-4</v>
      </c>
      <c r="S157" s="5" t="s">
        <v>37</v>
      </c>
      <c r="T157" t="str">
        <f>IF(Tabela1[[#This Row],[STATUS_NEGOCIO]]="Enviar E-mail",1,"")</f>
        <v/>
      </c>
      <c r="U157" t="str">
        <f>TEXT(Tabela1[[#This Row],[DATA]],"dd/mm/aaaa")</f>
        <v>20/04/2026</v>
      </c>
    </row>
    <row r="158" spans="1:21" x14ac:dyDescent="0.25">
      <c r="A158" s="4">
        <v>46132.593391203707</v>
      </c>
      <c r="B158" s="5" t="s">
        <v>19</v>
      </c>
      <c r="C158" s="5" t="s">
        <v>20</v>
      </c>
      <c r="D158" s="5"/>
      <c r="E158" s="6"/>
      <c r="F158" s="5">
        <v>2758517923</v>
      </c>
      <c r="G158" s="7">
        <v>177670526940971</v>
      </c>
      <c r="H158" s="5" t="s">
        <v>170</v>
      </c>
      <c r="I158" s="5" t="s">
        <v>28</v>
      </c>
      <c r="J158" s="5" t="s">
        <v>30</v>
      </c>
      <c r="K158" s="5" t="s">
        <v>23</v>
      </c>
      <c r="L158" s="5" t="s">
        <v>31</v>
      </c>
      <c r="M158" s="5"/>
      <c r="N158" s="5" t="s">
        <v>32</v>
      </c>
      <c r="O158" s="5">
        <v>16</v>
      </c>
      <c r="P158" s="5"/>
      <c r="Q158" s="5"/>
      <c r="R158" s="8">
        <v>2.7777777777777778E-4</v>
      </c>
      <c r="S158" s="8">
        <v>3.4722222222222222E-5</v>
      </c>
      <c r="T158" t="str">
        <f>IF(Tabela1[[#This Row],[STATUS_NEGOCIO]]="Enviar E-mail",1,"")</f>
        <v/>
      </c>
      <c r="U158" t="str">
        <f>TEXT(Tabela1[[#This Row],[DATA]],"dd/mm/aaaa")</f>
        <v>20/04/2026</v>
      </c>
    </row>
    <row r="159" spans="1:21" x14ac:dyDescent="0.25">
      <c r="A159" s="4">
        <v>46132.593877314815</v>
      </c>
      <c r="B159" s="5" t="s">
        <v>19</v>
      </c>
      <c r="C159" s="5" t="s">
        <v>27</v>
      </c>
      <c r="D159" s="5"/>
      <c r="E159" s="6"/>
      <c r="F159" s="5">
        <v>2775789224</v>
      </c>
      <c r="G159" s="7">
        <v>177670529141051</v>
      </c>
      <c r="H159" s="5" t="s">
        <v>171</v>
      </c>
      <c r="I159" s="5" t="s">
        <v>28</v>
      </c>
      <c r="J159" s="5" t="s">
        <v>30</v>
      </c>
      <c r="K159" s="5" t="s">
        <v>134</v>
      </c>
      <c r="L159" s="5" t="s">
        <v>36</v>
      </c>
      <c r="M159" s="5"/>
      <c r="N159" s="5" t="s">
        <v>26</v>
      </c>
      <c r="O159" s="5">
        <v>34</v>
      </c>
      <c r="P159" s="5"/>
      <c r="Q159" s="5"/>
      <c r="R159" s="8">
        <v>1.1574074074074073E-5</v>
      </c>
      <c r="S159" s="5" t="s">
        <v>37</v>
      </c>
      <c r="T159" t="str">
        <f>IF(Tabela1[[#This Row],[STATUS_NEGOCIO]]="Enviar E-mail",1,"")</f>
        <v/>
      </c>
      <c r="U159" t="str">
        <f>TEXT(Tabela1[[#This Row],[DATA]],"dd/mm/aaaa")</f>
        <v>20/04/2026</v>
      </c>
    </row>
    <row r="160" spans="1:21" x14ac:dyDescent="0.25">
      <c r="A160" s="4">
        <v>46132.593900462962</v>
      </c>
      <c r="B160" s="5" t="s">
        <v>19</v>
      </c>
      <c r="C160" s="5" t="s">
        <v>20</v>
      </c>
      <c r="D160" s="5"/>
      <c r="E160" s="6"/>
      <c r="F160" s="5">
        <v>2758163222</v>
      </c>
      <c r="G160" s="7">
        <v>177670531341101</v>
      </c>
      <c r="H160" s="5" t="s">
        <v>172</v>
      </c>
      <c r="I160" s="5" t="s">
        <v>28</v>
      </c>
      <c r="J160" s="5" t="s">
        <v>30</v>
      </c>
      <c r="K160" s="5" t="s">
        <v>23</v>
      </c>
      <c r="L160" s="5" t="s">
        <v>40</v>
      </c>
      <c r="M160" s="5"/>
      <c r="N160" s="5" t="s">
        <v>32</v>
      </c>
      <c r="O160" s="5">
        <v>16</v>
      </c>
      <c r="P160" s="5"/>
      <c r="Q160" s="5"/>
      <c r="R160" s="8">
        <v>2.2685185185185187E-3</v>
      </c>
      <c r="S160" s="8">
        <v>2.0138888888888888E-3</v>
      </c>
      <c r="T160">
        <f>IF(Tabela1[[#This Row],[STATUS_NEGOCIO]]="Enviar E-mail",1,"")</f>
        <v>1</v>
      </c>
      <c r="U160" t="str">
        <f>TEXT(Tabela1[[#This Row],[DATA]],"dd/mm/aaaa")</f>
        <v>20/04/2026</v>
      </c>
    </row>
    <row r="161" spans="1:21" x14ac:dyDescent="0.25">
      <c r="A161" s="4">
        <v>46132.594409722224</v>
      </c>
      <c r="B161" s="5" t="s">
        <v>19</v>
      </c>
      <c r="C161" s="5" t="s">
        <v>27</v>
      </c>
      <c r="D161" s="5"/>
      <c r="E161" s="6"/>
      <c r="F161" s="5">
        <v>2775789285</v>
      </c>
      <c r="G161" s="7">
        <v>177670535241211</v>
      </c>
      <c r="H161" s="5" t="s">
        <v>171</v>
      </c>
      <c r="I161" s="5" t="s">
        <v>28</v>
      </c>
      <c r="J161" s="5" t="s">
        <v>30</v>
      </c>
      <c r="K161" s="5" t="s">
        <v>134</v>
      </c>
      <c r="L161" s="5" t="s">
        <v>36</v>
      </c>
      <c r="M161" s="5"/>
      <c r="N161" s="5" t="s">
        <v>26</v>
      </c>
      <c r="O161" s="5">
        <v>34</v>
      </c>
      <c r="P161" s="5"/>
      <c r="Q161" s="5"/>
      <c r="R161" s="8">
        <v>1.1574074074074073E-5</v>
      </c>
      <c r="S161" s="5" t="s">
        <v>37</v>
      </c>
      <c r="T161" t="str">
        <f>IF(Tabela1[[#This Row],[STATUS_NEGOCIO]]="Enviar E-mail",1,"")</f>
        <v/>
      </c>
      <c r="U161" t="str">
        <f>TEXT(Tabela1[[#This Row],[DATA]],"dd/mm/aaaa")</f>
        <v>20/04/2026</v>
      </c>
    </row>
    <row r="162" spans="1:21" x14ac:dyDescent="0.25">
      <c r="A162" s="4">
        <v>46132.594756944447</v>
      </c>
      <c r="B162" s="5" t="s">
        <v>19</v>
      </c>
      <c r="C162" s="5" t="s">
        <v>27</v>
      </c>
      <c r="D162" s="5"/>
      <c r="E162" s="6"/>
      <c r="F162" s="5">
        <v>2774865810</v>
      </c>
      <c r="G162" s="7">
        <v>177670538741331</v>
      </c>
      <c r="H162" s="5" t="s">
        <v>173</v>
      </c>
      <c r="I162" s="5" t="s">
        <v>28</v>
      </c>
      <c r="J162" s="5" t="s">
        <v>30</v>
      </c>
      <c r="K162" s="5" t="s">
        <v>23</v>
      </c>
      <c r="L162" s="5" t="s">
        <v>31</v>
      </c>
      <c r="M162" s="5"/>
      <c r="N162" s="5" t="s">
        <v>26</v>
      </c>
      <c r="O162" s="5">
        <v>16</v>
      </c>
      <c r="P162" s="5"/>
      <c r="Q162" s="5"/>
      <c r="R162" s="8">
        <v>1.9675925925925926E-4</v>
      </c>
      <c r="S162" s="8">
        <v>1.1574074074074075E-4</v>
      </c>
      <c r="T162" t="str">
        <f>IF(Tabela1[[#This Row],[STATUS_NEGOCIO]]="Enviar E-mail",1,"")</f>
        <v/>
      </c>
      <c r="U162" t="str">
        <f>TEXT(Tabela1[[#This Row],[DATA]],"dd/mm/aaaa")</f>
        <v>20/04/2026</v>
      </c>
    </row>
    <row r="163" spans="1:21" x14ac:dyDescent="0.25">
      <c r="A163" s="4">
        <v>46132.595347222225</v>
      </c>
      <c r="B163" s="5" t="s">
        <v>19</v>
      </c>
      <c r="C163" s="5" t="s">
        <v>27</v>
      </c>
      <c r="D163" s="5"/>
      <c r="E163" s="6"/>
      <c r="F163" s="5">
        <v>2773724449</v>
      </c>
      <c r="G163" s="7">
        <v>177670543841451</v>
      </c>
      <c r="H163" s="5" t="s">
        <v>174</v>
      </c>
      <c r="I163" s="5" t="s">
        <v>28</v>
      </c>
      <c r="J163" s="5" t="s">
        <v>30</v>
      </c>
      <c r="K163" s="5" t="s">
        <v>23</v>
      </c>
      <c r="L163" s="5" t="s">
        <v>31</v>
      </c>
      <c r="M163" s="5"/>
      <c r="N163" s="5" t="s">
        <v>26</v>
      </c>
      <c r="O163" s="5">
        <v>16</v>
      </c>
      <c r="P163" s="5"/>
      <c r="Q163" s="5"/>
      <c r="R163" s="8">
        <v>1.3888888888888889E-4</v>
      </c>
      <c r="S163" s="8">
        <v>3.4722222222222222E-5</v>
      </c>
      <c r="T163" t="str">
        <f>IF(Tabela1[[#This Row],[STATUS_NEGOCIO]]="Enviar E-mail",1,"")</f>
        <v/>
      </c>
      <c r="U163" t="str">
        <f>TEXT(Tabela1[[#This Row],[DATA]],"dd/mm/aaaa")</f>
        <v>20/04/2026</v>
      </c>
    </row>
    <row r="164" spans="1:21" x14ac:dyDescent="0.25">
      <c r="A164" s="4">
        <v>46132.595810185187</v>
      </c>
      <c r="B164" s="5" t="s">
        <v>19</v>
      </c>
      <c r="C164" s="5" t="s">
        <v>27</v>
      </c>
      <c r="D164" s="5"/>
      <c r="E164" s="6"/>
      <c r="F164" s="5">
        <v>2745087903</v>
      </c>
      <c r="G164" s="7">
        <v>177670547841551</v>
      </c>
      <c r="H164" s="5" t="s">
        <v>175</v>
      </c>
      <c r="I164" s="5" t="s">
        <v>28</v>
      </c>
      <c r="J164" s="5" t="s">
        <v>30</v>
      </c>
      <c r="K164" s="5" t="s">
        <v>23</v>
      </c>
      <c r="L164" s="5" t="s">
        <v>40</v>
      </c>
      <c r="M164" s="5"/>
      <c r="N164" s="5" t="s">
        <v>26</v>
      </c>
      <c r="O164" s="5">
        <v>16</v>
      </c>
      <c r="P164" s="5"/>
      <c r="Q164" s="5"/>
      <c r="R164" s="8">
        <v>1.8402777777777777E-3</v>
      </c>
      <c r="S164" s="8">
        <v>1.6550925925925926E-3</v>
      </c>
      <c r="T164">
        <f>IF(Tabela1[[#This Row],[STATUS_NEGOCIO]]="Enviar E-mail",1,"")</f>
        <v>1</v>
      </c>
      <c r="U164" t="str">
        <f>TEXT(Tabela1[[#This Row],[DATA]],"dd/mm/aaaa")</f>
        <v>20/04/2026</v>
      </c>
    </row>
    <row r="165" spans="1:21" x14ac:dyDescent="0.25">
      <c r="A165" s="4">
        <v>46132.597777777781</v>
      </c>
      <c r="B165" s="5" t="s">
        <v>19</v>
      </c>
      <c r="C165" s="5" t="s">
        <v>20</v>
      </c>
      <c r="D165" s="5"/>
      <c r="E165" s="6"/>
      <c r="F165" s="5">
        <v>2765347980</v>
      </c>
      <c r="G165" s="7">
        <v>177670564841901</v>
      </c>
      <c r="H165" s="5" t="s">
        <v>176</v>
      </c>
      <c r="I165" s="5" t="s">
        <v>28</v>
      </c>
      <c r="J165" s="5" t="s">
        <v>30</v>
      </c>
      <c r="K165" s="5" t="s">
        <v>36</v>
      </c>
      <c r="L165" s="5" t="s">
        <v>36</v>
      </c>
      <c r="M165" s="5"/>
      <c r="N165" s="5" t="s">
        <v>32</v>
      </c>
      <c r="O165" s="5">
        <v>19</v>
      </c>
      <c r="P165" s="5"/>
      <c r="Q165" s="5"/>
      <c r="R165" s="8">
        <v>1.7361111111111112E-4</v>
      </c>
      <c r="S165" s="5" t="s">
        <v>37</v>
      </c>
      <c r="T165" t="str">
        <f>IF(Tabela1[[#This Row],[STATUS_NEGOCIO]]="Enviar E-mail",1,"")</f>
        <v/>
      </c>
      <c r="U165" t="str">
        <f>TEXT(Tabela1[[#This Row],[DATA]],"dd/mm/aaaa")</f>
        <v>20/04/2026</v>
      </c>
    </row>
    <row r="166" spans="1:21" x14ac:dyDescent="0.25">
      <c r="A166" s="4">
        <v>46132.598136574074</v>
      </c>
      <c r="B166" s="5" t="s">
        <v>19</v>
      </c>
      <c r="C166" s="5" t="s">
        <v>20</v>
      </c>
      <c r="D166" s="5"/>
      <c r="E166" s="6"/>
      <c r="F166" s="5">
        <v>2769283294</v>
      </c>
      <c r="G166" s="7">
        <v>177670567941931</v>
      </c>
      <c r="H166" s="5" t="s">
        <v>177</v>
      </c>
      <c r="I166" s="5" t="s">
        <v>28</v>
      </c>
      <c r="J166" s="5" t="s">
        <v>30</v>
      </c>
      <c r="K166" s="5" t="s">
        <v>36</v>
      </c>
      <c r="L166" s="5" t="s">
        <v>36</v>
      </c>
      <c r="M166" s="5"/>
      <c r="N166" s="5" t="s">
        <v>32</v>
      </c>
      <c r="O166" s="5">
        <v>19</v>
      </c>
      <c r="P166" s="5"/>
      <c r="Q166" s="5"/>
      <c r="R166" s="8">
        <v>2.4305555555555555E-4</v>
      </c>
      <c r="S166" s="5" t="s">
        <v>37</v>
      </c>
      <c r="T166" t="str">
        <f>IF(Tabela1[[#This Row],[STATUS_NEGOCIO]]="Enviar E-mail",1,"")</f>
        <v/>
      </c>
      <c r="U166" t="str">
        <f>TEXT(Tabela1[[#This Row],[DATA]],"dd/mm/aaaa")</f>
        <v>20/04/2026</v>
      </c>
    </row>
    <row r="167" spans="1:21" x14ac:dyDescent="0.25">
      <c r="A167" s="4">
        <v>46132.598576388889</v>
      </c>
      <c r="B167" s="5" t="s">
        <v>19</v>
      </c>
      <c r="C167" s="5" t="s">
        <v>20</v>
      </c>
      <c r="D167" s="5"/>
      <c r="E167" s="6"/>
      <c r="F167" s="5">
        <v>2769653896</v>
      </c>
      <c r="G167" s="7">
        <v>177670571742121</v>
      </c>
      <c r="H167" s="5" t="s">
        <v>178</v>
      </c>
      <c r="I167" s="5" t="s">
        <v>28</v>
      </c>
      <c r="J167" s="5" t="s">
        <v>30</v>
      </c>
      <c r="K167" s="5" t="s">
        <v>23</v>
      </c>
      <c r="L167" s="5" t="s">
        <v>44</v>
      </c>
      <c r="M167" s="5"/>
      <c r="N167" s="5" t="s">
        <v>26</v>
      </c>
      <c r="O167" s="5">
        <v>16</v>
      </c>
      <c r="P167" s="5"/>
      <c r="Q167" s="5"/>
      <c r="R167" s="8">
        <v>5.4398148148148144E-4</v>
      </c>
      <c r="S167" s="8">
        <v>4.861111111111111E-4</v>
      </c>
      <c r="T167" t="str">
        <f>IF(Tabela1[[#This Row],[STATUS_NEGOCIO]]="Enviar E-mail",1,"")</f>
        <v/>
      </c>
      <c r="U167" t="str">
        <f>TEXT(Tabela1[[#This Row],[DATA]],"dd/mm/aaaa")</f>
        <v>20/04/2026</v>
      </c>
    </row>
    <row r="168" spans="1:21" x14ac:dyDescent="0.25">
      <c r="A168" s="4">
        <v>46132.599317129629</v>
      </c>
      <c r="B168" s="5" t="s">
        <v>19</v>
      </c>
      <c r="C168" s="5" t="s">
        <v>20</v>
      </c>
      <c r="D168" s="5"/>
      <c r="E168" s="6"/>
      <c r="F168" s="5">
        <v>2769653960</v>
      </c>
      <c r="G168" s="7">
        <v>177670578142151</v>
      </c>
      <c r="H168" s="5" t="s">
        <v>178</v>
      </c>
      <c r="I168" s="5" t="s">
        <v>28</v>
      </c>
      <c r="J168" s="5" t="s">
        <v>30</v>
      </c>
      <c r="K168" s="5" t="s">
        <v>23</v>
      </c>
      <c r="L168" s="5" t="s">
        <v>40</v>
      </c>
      <c r="M168" s="5"/>
      <c r="N168" s="5" t="s">
        <v>26</v>
      </c>
      <c r="O168" s="5">
        <v>16</v>
      </c>
      <c r="P168" s="5"/>
      <c r="Q168" s="5"/>
      <c r="R168" s="8">
        <v>1.8055555555555555E-3</v>
      </c>
      <c r="S168" s="8">
        <v>1.7476851851851852E-3</v>
      </c>
      <c r="T168">
        <f>IF(Tabela1[[#This Row],[STATUS_NEGOCIO]]="Enviar E-mail",1,"")</f>
        <v>1</v>
      </c>
      <c r="U168" t="str">
        <f>TEXT(Tabela1[[#This Row],[DATA]],"dd/mm/aaaa")</f>
        <v>20/04/2026</v>
      </c>
    </row>
    <row r="169" spans="1:21" x14ac:dyDescent="0.25">
      <c r="A169" s="4">
        <v>46132.599791666667</v>
      </c>
      <c r="B169" s="5" t="s">
        <v>19</v>
      </c>
      <c r="C169" s="5" t="s">
        <v>27</v>
      </c>
      <c r="D169" s="5"/>
      <c r="E169" s="6"/>
      <c r="F169" s="5">
        <v>2757860023</v>
      </c>
      <c r="G169" s="7">
        <v>177670582242181</v>
      </c>
      <c r="H169" s="5" t="s">
        <v>179</v>
      </c>
      <c r="I169" s="5" t="s">
        <v>28</v>
      </c>
      <c r="J169" s="5" t="s">
        <v>30</v>
      </c>
      <c r="K169" s="5" t="s">
        <v>23</v>
      </c>
      <c r="L169" s="5" t="s">
        <v>31</v>
      </c>
      <c r="M169" s="5"/>
      <c r="N169" s="5" t="s">
        <v>32</v>
      </c>
      <c r="O169" s="5">
        <v>16</v>
      </c>
      <c r="P169" s="5"/>
      <c r="Q169" s="5"/>
      <c r="R169" s="8">
        <v>4.9768518518518521E-4</v>
      </c>
      <c r="S169" s="8">
        <v>5.7870370370370373E-5</v>
      </c>
      <c r="T169" t="str">
        <f>IF(Tabela1[[#This Row],[STATUS_NEGOCIO]]="Enviar E-mail",1,"")</f>
        <v/>
      </c>
      <c r="U169" t="str">
        <f>TEXT(Tabela1[[#This Row],[DATA]],"dd/mm/aaaa")</f>
        <v>20/04/2026</v>
      </c>
    </row>
    <row r="170" spans="1:21" x14ac:dyDescent="0.25">
      <c r="A170" s="4">
        <v>46132.601655092592</v>
      </c>
      <c r="B170" s="5" t="s">
        <v>19</v>
      </c>
      <c r="C170" s="5" t="s">
        <v>20</v>
      </c>
      <c r="D170" s="5"/>
      <c r="E170" s="6"/>
      <c r="F170" s="5">
        <v>2775300457</v>
      </c>
      <c r="G170" s="7">
        <v>177670598342461</v>
      </c>
      <c r="H170" s="5" t="s">
        <v>180</v>
      </c>
      <c r="I170" s="5" t="s">
        <v>28</v>
      </c>
      <c r="J170" s="5" t="s">
        <v>30</v>
      </c>
      <c r="K170" s="5" t="s">
        <v>36</v>
      </c>
      <c r="L170" s="5" t="s">
        <v>36</v>
      </c>
      <c r="M170" s="5"/>
      <c r="N170" s="5" t="s">
        <v>32</v>
      </c>
      <c r="O170" s="5">
        <v>19</v>
      </c>
      <c r="P170" s="5"/>
      <c r="Q170" s="5"/>
      <c r="R170" s="8">
        <v>4.0509259259259258E-4</v>
      </c>
      <c r="S170" s="5" t="s">
        <v>37</v>
      </c>
      <c r="T170" t="str">
        <f>IF(Tabela1[[#This Row],[STATUS_NEGOCIO]]="Enviar E-mail",1,"")</f>
        <v/>
      </c>
      <c r="U170" t="str">
        <f>TEXT(Tabela1[[#This Row],[DATA]],"dd/mm/aaaa")</f>
        <v>20/04/2026</v>
      </c>
    </row>
    <row r="171" spans="1:21" x14ac:dyDescent="0.25">
      <c r="A171" s="4">
        <v>46132.602175925924</v>
      </c>
      <c r="B171" s="5" t="s">
        <v>19</v>
      </c>
      <c r="C171" s="5" t="s">
        <v>20</v>
      </c>
      <c r="D171" s="5"/>
      <c r="E171" s="6"/>
      <c r="F171" s="5">
        <v>2769244553</v>
      </c>
      <c r="G171" s="7">
        <v>177670602842521</v>
      </c>
      <c r="H171" s="5" t="s">
        <v>181</v>
      </c>
      <c r="I171" s="5" t="s">
        <v>28</v>
      </c>
      <c r="J171" s="5" t="s">
        <v>30</v>
      </c>
      <c r="K171" s="5" t="s">
        <v>23</v>
      </c>
      <c r="L171" s="5" t="s">
        <v>31</v>
      </c>
      <c r="M171" s="5"/>
      <c r="N171" s="5" t="s">
        <v>32</v>
      </c>
      <c r="O171" s="5">
        <v>16</v>
      </c>
      <c r="P171" s="5"/>
      <c r="Q171" s="5"/>
      <c r="R171" s="8">
        <v>1.1574074074074075E-4</v>
      </c>
      <c r="S171" s="8">
        <v>1.1574074074074073E-5</v>
      </c>
      <c r="T171" t="str">
        <f>IF(Tabela1[[#This Row],[STATUS_NEGOCIO]]="Enviar E-mail",1,"")</f>
        <v/>
      </c>
      <c r="U171" t="str">
        <f>TEXT(Tabela1[[#This Row],[DATA]],"dd/mm/aaaa")</f>
        <v>20/04/2026</v>
      </c>
    </row>
    <row r="172" spans="1:21" x14ac:dyDescent="0.25">
      <c r="A172" s="4">
        <v>46132.602500000001</v>
      </c>
      <c r="B172" s="5" t="s">
        <v>19</v>
      </c>
      <c r="C172" s="5" t="s">
        <v>20</v>
      </c>
      <c r="D172" s="5"/>
      <c r="E172" s="6"/>
      <c r="F172" s="5">
        <v>2776300849</v>
      </c>
      <c r="G172" s="7">
        <v>177670605542571</v>
      </c>
      <c r="H172" s="5" t="s">
        <v>182</v>
      </c>
      <c r="I172" s="5" t="s">
        <v>28</v>
      </c>
      <c r="J172" s="5" t="s">
        <v>30</v>
      </c>
      <c r="K172" s="5" t="s">
        <v>23</v>
      </c>
      <c r="L172" s="5" t="s">
        <v>95</v>
      </c>
      <c r="M172" s="5"/>
      <c r="N172" s="5" t="s">
        <v>32</v>
      </c>
      <c r="O172" s="5">
        <v>16</v>
      </c>
      <c r="P172" s="5"/>
      <c r="Q172" s="5"/>
      <c r="R172" s="8">
        <v>5.2083333333333333E-4</v>
      </c>
      <c r="S172" s="8">
        <v>4.861111111111111E-4</v>
      </c>
      <c r="T172" t="str">
        <f>IF(Tabela1[[#This Row],[STATUS_NEGOCIO]]="Enviar E-mail",1,"")</f>
        <v/>
      </c>
      <c r="U172" t="str">
        <f>TEXT(Tabela1[[#This Row],[DATA]],"dd/mm/aaaa")</f>
        <v>20/04/2026</v>
      </c>
    </row>
    <row r="173" spans="1:21" x14ac:dyDescent="0.25">
      <c r="A173" s="4">
        <v>46132.603252314817</v>
      </c>
      <c r="B173" s="5" t="s">
        <v>19</v>
      </c>
      <c r="C173" s="5" t="s">
        <v>20</v>
      </c>
      <c r="D173" s="5"/>
      <c r="E173" s="6"/>
      <c r="F173" s="5">
        <v>2769494279</v>
      </c>
      <c r="G173" s="7">
        <v>177670612142661</v>
      </c>
      <c r="H173" s="5" t="s">
        <v>183</v>
      </c>
      <c r="I173" s="5" t="s">
        <v>28</v>
      </c>
      <c r="J173" s="5" t="s">
        <v>30</v>
      </c>
      <c r="K173" s="5" t="s">
        <v>23</v>
      </c>
      <c r="L173" s="5" t="s">
        <v>31</v>
      </c>
      <c r="M173" s="5"/>
      <c r="N173" s="5" t="s">
        <v>32</v>
      </c>
      <c r="O173" s="5">
        <v>16</v>
      </c>
      <c r="P173" s="5"/>
      <c r="Q173" s="5"/>
      <c r="R173" s="8">
        <v>1.1574074074074075E-4</v>
      </c>
      <c r="S173" s="8">
        <v>3.4722222222222222E-5</v>
      </c>
      <c r="T173" t="str">
        <f>IF(Tabela1[[#This Row],[STATUS_NEGOCIO]]="Enviar E-mail",1,"")</f>
        <v/>
      </c>
      <c r="U173" t="str">
        <f>TEXT(Tabela1[[#This Row],[DATA]],"dd/mm/aaaa")</f>
        <v>20/04/2026</v>
      </c>
    </row>
    <row r="174" spans="1:21" x14ac:dyDescent="0.25">
      <c r="A174" s="4">
        <v>46132.603541666664</v>
      </c>
      <c r="B174" s="5" t="s">
        <v>19</v>
      </c>
      <c r="C174" s="5" t="s">
        <v>20</v>
      </c>
      <c r="D174" s="5"/>
      <c r="E174" s="6"/>
      <c r="F174" s="5">
        <v>2775040468</v>
      </c>
      <c r="G174" s="7">
        <v>177670614642751</v>
      </c>
      <c r="H174" s="5" t="s">
        <v>184</v>
      </c>
      <c r="I174" s="5" t="s">
        <v>28</v>
      </c>
      <c r="J174" s="5" t="s">
        <v>30</v>
      </c>
      <c r="K174" s="5" t="s">
        <v>36</v>
      </c>
      <c r="L174" s="5" t="s">
        <v>36</v>
      </c>
      <c r="M174" s="5"/>
      <c r="N174" s="5" t="s">
        <v>32</v>
      </c>
      <c r="O174" s="5">
        <v>19</v>
      </c>
      <c r="P174" s="5"/>
      <c r="Q174" s="5"/>
      <c r="R174" s="8">
        <v>4.6296296296296294E-5</v>
      </c>
      <c r="S174" s="5" t="s">
        <v>37</v>
      </c>
      <c r="T174" t="str">
        <f>IF(Tabela1[[#This Row],[STATUS_NEGOCIO]]="Enviar E-mail",1,"")</f>
        <v/>
      </c>
      <c r="U174" t="str">
        <f>TEXT(Tabela1[[#This Row],[DATA]],"dd/mm/aaaa")</f>
        <v>20/04/2026</v>
      </c>
    </row>
    <row r="175" spans="1:21" x14ac:dyDescent="0.25">
      <c r="A175" s="4">
        <v>46132.603726851848</v>
      </c>
      <c r="B175" s="5" t="s">
        <v>19</v>
      </c>
      <c r="C175" s="5" t="s">
        <v>20</v>
      </c>
      <c r="D175" s="5"/>
      <c r="E175" s="6"/>
      <c r="F175" s="5">
        <v>2775433417</v>
      </c>
      <c r="G175" s="7">
        <v>177670616242821</v>
      </c>
      <c r="H175" s="5" t="s">
        <v>185</v>
      </c>
      <c r="I175" s="5" t="s">
        <v>28</v>
      </c>
      <c r="J175" s="5" t="s">
        <v>30</v>
      </c>
      <c r="K175" s="5" t="s">
        <v>36</v>
      </c>
      <c r="L175" s="5" t="s">
        <v>36</v>
      </c>
      <c r="M175" s="5"/>
      <c r="N175" s="5" t="s">
        <v>32</v>
      </c>
      <c r="O175" s="5">
        <v>19</v>
      </c>
      <c r="P175" s="5"/>
      <c r="Q175" s="5"/>
      <c r="R175" s="8">
        <v>4.1666666666666669E-4</v>
      </c>
      <c r="S175" s="5" t="s">
        <v>37</v>
      </c>
      <c r="T175" t="str">
        <f>IF(Tabela1[[#This Row],[STATUS_NEGOCIO]]="Enviar E-mail",1,"")</f>
        <v/>
      </c>
      <c r="U175" t="str">
        <f>TEXT(Tabela1[[#This Row],[DATA]],"dd/mm/aaaa")</f>
        <v>20/04/2026</v>
      </c>
    </row>
    <row r="176" spans="1:21" x14ac:dyDescent="0.25">
      <c r="A176" s="4">
        <v>46132.604317129626</v>
      </c>
      <c r="B176" s="5" t="s">
        <v>19</v>
      </c>
      <c r="C176" s="5" t="s">
        <v>20</v>
      </c>
      <c r="D176" s="5"/>
      <c r="E176" s="6"/>
      <c r="F176" s="5">
        <v>2769344022</v>
      </c>
      <c r="G176" s="7">
        <v>177670621342911</v>
      </c>
      <c r="H176" s="5" t="s">
        <v>186</v>
      </c>
      <c r="I176" s="5" t="s">
        <v>28</v>
      </c>
      <c r="J176" s="5" t="s">
        <v>30</v>
      </c>
      <c r="K176" s="5" t="s">
        <v>23</v>
      </c>
      <c r="L176" s="5" t="s">
        <v>44</v>
      </c>
      <c r="M176" s="5"/>
      <c r="N176" s="5" t="s">
        <v>32</v>
      </c>
      <c r="O176" s="5">
        <v>16</v>
      </c>
      <c r="P176" s="5"/>
      <c r="Q176" s="5"/>
      <c r="R176" s="8">
        <v>5.4398148148148144E-4</v>
      </c>
      <c r="S176" s="8">
        <v>4.861111111111111E-4</v>
      </c>
      <c r="T176" t="str">
        <f>IF(Tabela1[[#This Row],[STATUS_NEGOCIO]]="Enviar E-mail",1,"")</f>
        <v/>
      </c>
      <c r="U176" t="str">
        <f>TEXT(Tabela1[[#This Row],[DATA]],"dd/mm/aaaa")</f>
        <v>20/04/2026</v>
      </c>
    </row>
    <row r="177" spans="1:21" x14ac:dyDescent="0.25">
      <c r="A177" s="4">
        <v>46132.60601851852</v>
      </c>
      <c r="B177" s="5" t="s">
        <v>19</v>
      </c>
      <c r="C177" s="5" t="s">
        <v>27</v>
      </c>
      <c r="D177" s="5"/>
      <c r="E177" s="6"/>
      <c r="F177" s="5">
        <v>2776221635</v>
      </c>
      <c r="G177" s="7">
        <v>177670636043191</v>
      </c>
      <c r="H177" s="5" t="s">
        <v>187</v>
      </c>
      <c r="I177" s="5" t="s">
        <v>28</v>
      </c>
      <c r="J177" s="5" t="s">
        <v>30</v>
      </c>
      <c r="K177" s="5" t="s">
        <v>23</v>
      </c>
      <c r="L177" s="5" t="s">
        <v>31</v>
      </c>
      <c r="M177" s="5"/>
      <c r="N177" s="5" t="s">
        <v>32</v>
      </c>
      <c r="O177" s="5">
        <v>16</v>
      </c>
      <c r="P177" s="5"/>
      <c r="Q177" s="5"/>
      <c r="R177" s="8">
        <v>4.2824074074074075E-4</v>
      </c>
      <c r="S177" s="8">
        <v>2.0833333333333335E-4</v>
      </c>
      <c r="T177" t="str">
        <f>IF(Tabela1[[#This Row],[STATUS_NEGOCIO]]="Enviar E-mail",1,"")</f>
        <v/>
      </c>
      <c r="U177" t="str">
        <f>TEXT(Tabela1[[#This Row],[DATA]],"dd/mm/aaaa")</f>
        <v>20/04/2026</v>
      </c>
    </row>
    <row r="178" spans="1:21" x14ac:dyDescent="0.25">
      <c r="A178" s="4">
        <v>46132.607164351852</v>
      </c>
      <c r="B178" s="5" t="s">
        <v>19</v>
      </c>
      <c r="C178" s="5" t="s">
        <v>27</v>
      </c>
      <c r="D178" s="5"/>
      <c r="E178" s="6"/>
      <c r="F178" s="5">
        <v>2774585045</v>
      </c>
      <c r="G178" s="7">
        <v>177670645943321</v>
      </c>
      <c r="H178" s="5" t="s">
        <v>188</v>
      </c>
      <c r="I178" s="5" t="s">
        <v>28</v>
      </c>
      <c r="J178" s="5" t="s">
        <v>30</v>
      </c>
      <c r="K178" s="5" t="s">
        <v>23</v>
      </c>
      <c r="L178" s="5" t="s">
        <v>31</v>
      </c>
      <c r="M178" s="5"/>
      <c r="N178" s="5" t="s">
        <v>26</v>
      </c>
      <c r="O178" s="5">
        <v>16</v>
      </c>
      <c r="P178" s="5"/>
      <c r="Q178" s="5"/>
      <c r="R178" s="8">
        <v>8.1018518518518516E-5</v>
      </c>
      <c r="S178" s="8">
        <v>6.9444444444444444E-5</v>
      </c>
      <c r="T178" t="str">
        <f>IF(Tabela1[[#This Row],[STATUS_NEGOCIO]]="Enviar E-mail",1,"")</f>
        <v/>
      </c>
      <c r="U178" t="str">
        <f>TEXT(Tabela1[[#This Row],[DATA]],"dd/mm/aaaa")</f>
        <v>20/04/2026</v>
      </c>
    </row>
    <row r="179" spans="1:21" x14ac:dyDescent="0.25">
      <c r="A179" s="4">
        <v>46132.608923611115</v>
      </c>
      <c r="B179" s="5" t="s">
        <v>19</v>
      </c>
      <c r="C179" s="5" t="s">
        <v>27</v>
      </c>
      <c r="D179" s="5"/>
      <c r="E179" s="6"/>
      <c r="F179" s="5">
        <v>2767298165</v>
      </c>
      <c r="G179" s="7">
        <v>177670661143711</v>
      </c>
      <c r="H179" s="5" t="s">
        <v>189</v>
      </c>
      <c r="I179" s="5" t="s">
        <v>28</v>
      </c>
      <c r="J179" s="5" t="s">
        <v>30</v>
      </c>
      <c r="K179" s="5" t="s">
        <v>23</v>
      </c>
      <c r="L179" s="5" t="s">
        <v>31</v>
      </c>
      <c r="M179" s="5"/>
      <c r="N179" s="5" t="s">
        <v>26</v>
      </c>
      <c r="O179" s="5">
        <v>16</v>
      </c>
      <c r="P179" s="5"/>
      <c r="Q179" s="5"/>
      <c r="R179" s="8">
        <v>3.2407407407407406E-4</v>
      </c>
      <c r="S179" s="8">
        <v>2.3148148148148149E-4</v>
      </c>
      <c r="T179" t="str">
        <f>IF(Tabela1[[#This Row],[STATUS_NEGOCIO]]="Enviar E-mail",1,"")</f>
        <v/>
      </c>
      <c r="U179" t="str">
        <f>TEXT(Tabela1[[#This Row],[DATA]],"dd/mm/aaaa")</f>
        <v>20/04/2026</v>
      </c>
    </row>
    <row r="180" spans="1:21" x14ac:dyDescent="0.25">
      <c r="A180" s="4">
        <v>46132.609699074077</v>
      </c>
      <c r="B180" s="5" t="s">
        <v>19</v>
      </c>
      <c r="C180" s="5" t="s">
        <v>27</v>
      </c>
      <c r="D180" s="5"/>
      <c r="E180" s="6"/>
      <c r="F180" s="5">
        <v>2758790606</v>
      </c>
      <c r="G180" s="7">
        <v>177670667843961</v>
      </c>
      <c r="H180" s="5" t="s">
        <v>190</v>
      </c>
      <c r="I180" s="5" t="s">
        <v>28</v>
      </c>
      <c r="J180" s="5" t="s">
        <v>30</v>
      </c>
      <c r="K180" s="5" t="s">
        <v>23</v>
      </c>
      <c r="L180" s="5" t="s">
        <v>31</v>
      </c>
      <c r="M180" s="5"/>
      <c r="N180" s="5" t="s">
        <v>32</v>
      </c>
      <c r="O180" s="5">
        <v>16</v>
      </c>
      <c r="P180" s="5"/>
      <c r="Q180" s="5"/>
      <c r="R180" s="8">
        <v>9.837962962962962E-4</v>
      </c>
      <c r="S180" s="8">
        <v>7.407407407407407E-4</v>
      </c>
      <c r="T180" t="str">
        <f>IF(Tabela1[[#This Row],[STATUS_NEGOCIO]]="Enviar E-mail",1,"")</f>
        <v/>
      </c>
      <c r="U180" t="str">
        <f>TEXT(Tabela1[[#This Row],[DATA]],"dd/mm/aaaa")</f>
        <v>20/04/2026</v>
      </c>
    </row>
    <row r="181" spans="1:21" x14ac:dyDescent="0.25">
      <c r="A181" s="4">
        <v>46132.60974537037</v>
      </c>
      <c r="B181" s="5" t="s">
        <v>19</v>
      </c>
      <c r="C181" s="5" t="s">
        <v>20</v>
      </c>
      <c r="D181" s="5"/>
      <c r="E181" s="6"/>
      <c r="F181" s="5">
        <v>2758497498</v>
      </c>
      <c r="G181" s="7">
        <v>177670668244011</v>
      </c>
      <c r="H181" s="5" t="s">
        <v>191</v>
      </c>
      <c r="I181" s="5" t="s">
        <v>28</v>
      </c>
      <c r="J181" s="5" t="s">
        <v>30</v>
      </c>
      <c r="K181" s="5" t="s">
        <v>36</v>
      </c>
      <c r="L181" s="5" t="s">
        <v>36</v>
      </c>
      <c r="M181" s="5"/>
      <c r="N181" s="5" t="s">
        <v>32</v>
      </c>
      <c r="O181" s="5">
        <v>19</v>
      </c>
      <c r="P181" s="5"/>
      <c r="Q181" s="5"/>
      <c r="R181" s="8">
        <v>4.1666666666666669E-4</v>
      </c>
      <c r="S181" s="5" t="s">
        <v>37</v>
      </c>
      <c r="T181" t="str">
        <f>IF(Tabela1[[#This Row],[STATUS_NEGOCIO]]="Enviar E-mail",1,"")</f>
        <v/>
      </c>
      <c r="U181" t="str">
        <f>TEXT(Tabela1[[#This Row],[DATA]],"dd/mm/aaaa")</f>
        <v>20/04/2026</v>
      </c>
    </row>
    <row r="182" spans="1:21" x14ac:dyDescent="0.25">
      <c r="A182" s="4">
        <v>46132.610324074078</v>
      </c>
      <c r="B182" s="5" t="s">
        <v>19</v>
      </c>
      <c r="C182" s="5" t="s">
        <v>20</v>
      </c>
      <c r="D182" s="5"/>
      <c r="E182" s="6"/>
      <c r="F182" s="5">
        <v>2775319442</v>
      </c>
      <c r="G182" s="7">
        <v>177670673244091</v>
      </c>
      <c r="H182" s="5" t="s">
        <v>192</v>
      </c>
      <c r="I182" s="5" t="s">
        <v>28</v>
      </c>
      <c r="J182" s="5" t="s">
        <v>30</v>
      </c>
      <c r="K182" s="5" t="s">
        <v>36</v>
      </c>
      <c r="L182" s="5" t="s">
        <v>36</v>
      </c>
      <c r="M182" s="5"/>
      <c r="N182" s="5" t="s">
        <v>32</v>
      </c>
      <c r="O182" s="5">
        <v>19</v>
      </c>
      <c r="P182" s="5"/>
      <c r="Q182" s="5"/>
      <c r="R182" s="8">
        <v>3.1250000000000001E-4</v>
      </c>
      <c r="S182" s="5" t="s">
        <v>37</v>
      </c>
      <c r="T182" t="str">
        <f>IF(Tabela1[[#This Row],[STATUS_NEGOCIO]]="Enviar E-mail",1,"")</f>
        <v/>
      </c>
      <c r="U182" t="str">
        <f>TEXT(Tabela1[[#This Row],[DATA]],"dd/mm/aaaa")</f>
        <v>20/04/2026</v>
      </c>
    </row>
    <row r="183" spans="1:21" x14ac:dyDescent="0.25">
      <c r="A183" s="4">
        <v>46132.61078703704</v>
      </c>
      <c r="B183" s="5" t="s">
        <v>19</v>
      </c>
      <c r="C183" s="5" t="s">
        <v>20</v>
      </c>
      <c r="D183" s="5"/>
      <c r="E183" s="6"/>
      <c r="F183" s="5">
        <v>2750723131</v>
      </c>
      <c r="G183" s="7">
        <v>177670677244331</v>
      </c>
      <c r="H183" s="5" t="s">
        <v>193</v>
      </c>
      <c r="I183" s="5" t="s">
        <v>28</v>
      </c>
      <c r="J183" s="5" t="s">
        <v>30</v>
      </c>
      <c r="K183" s="5" t="s">
        <v>23</v>
      </c>
      <c r="L183" s="5" t="s">
        <v>40</v>
      </c>
      <c r="M183" s="5"/>
      <c r="N183" s="5" t="s">
        <v>32</v>
      </c>
      <c r="O183" s="5">
        <v>16</v>
      </c>
      <c r="P183" s="5"/>
      <c r="Q183" s="5"/>
      <c r="R183" s="8">
        <v>1.6435185185185185E-3</v>
      </c>
      <c r="S183" s="8">
        <v>1.5740740740740741E-3</v>
      </c>
      <c r="T183">
        <f>IF(Tabela1[[#This Row],[STATUS_NEGOCIO]]="Enviar E-mail",1,"")</f>
        <v>1</v>
      </c>
      <c r="U183" t="str">
        <f>TEXT(Tabela1[[#This Row],[DATA]],"dd/mm/aaaa")</f>
        <v>20/04/2026</v>
      </c>
    </row>
    <row r="184" spans="1:21" x14ac:dyDescent="0.25">
      <c r="A184" s="4">
        <v>46132.613182870373</v>
      </c>
      <c r="B184" s="5" t="s">
        <v>19</v>
      </c>
      <c r="C184" s="5" t="s">
        <v>20</v>
      </c>
      <c r="D184" s="5"/>
      <c r="E184" s="6"/>
      <c r="F184" s="5">
        <v>2775640833</v>
      </c>
      <c r="G184" s="7">
        <v>177670697944611</v>
      </c>
      <c r="H184" s="5" t="s">
        <v>194</v>
      </c>
      <c r="I184" s="5" t="s">
        <v>28</v>
      </c>
      <c r="J184" s="5" t="s">
        <v>30</v>
      </c>
      <c r="K184" s="5" t="s">
        <v>36</v>
      </c>
      <c r="L184" s="5" t="s">
        <v>36</v>
      </c>
      <c r="M184" s="5"/>
      <c r="N184" s="5" t="s">
        <v>32</v>
      </c>
      <c r="O184" s="5">
        <v>19</v>
      </c>
      <c r="P184" s="5"/>
      <c r="Q184" s="5"/>
      <c r="R184" s="8">
        <v>2.199074074074074E-4</v>
      </c>
      <c r="S184" s="5" t="s">
        <v>37</v>
      </c>
      <c r="T184" t="str">
        <f>IF(Tabela1[[#This Row],[STATUS_NEGOCIO]]="Enviar E-mail",1,"")</f>
        <v/>
      </c>
      <c r="U184" t="str">
        <f>TEXT(Tabela1[[#This Row],[DATA]],"dd/mm/aaaa")</f>
        <v>20/04/2026</v>
      </c>
    </row>
    <row r="185" spans="1:21" x14ac:dyDescent="0.25">
      <c r="A185" s="4">
        <v>46132.614166666666</v>
      </c>
      <c r="B185" s="5" t="s">
        <v>19</v>
      </c>
      <c r="C185" s="5" t="s">
        <v>20</v>
      </c>
      <c r="D185" s="5"/>
      <c r="E185" s="6"/>
      <c r="F185" s="5">
        <v>2775640918</v>
      </c>
      <c r="G185" s="7">
        <v>177670706444641</v>
      </c>
      <c r="H185" s="5" t="s">
        <v>194</v>
      </c>
      <c r="I185" s="5" t="s">
        <v>28</v>
      </c>
      <c r="J185" s="5" t="s">
        <v>30</v>
      </c>
      <c r="K185" s="5" t="s">
        <v>36</v>
      </c>
      <c r="L185" s="5" t="s">
        <v>36</v>
      </c>
      <c r="M185" s="5"/>
      <c r="N185" s="5" t="s">
        <v>32</v>
      </c>
      <c r="O185" s="5">
        <v>19</v>
      </c>
      <c r="P185" s="5"/>
      <c r="Q185" s="5"/>
      <c r="R185" s="8">
        <v>4.0509259259259258E-4</v>
      </c>
      <c r="S185" s="5" t="s">
        <v>37</v>
      </c>
      <c r="T185" t="str">
        <f>IF(Tabela1[[#This Row],[STATUS_NEGOCIO]]="Enviar E-mail",1,"")</f>
        <v/>
      </c>
      <c r="U185" t="str">
        <f>TEXT(Tabela1[[#This Row],[DATA]],"dd/mm/aaaa")</f>
        <v>20/04/2026</v>
      </c>
    </row>
    <row r="186" spans="1:21" x14ac:dyDescent="0.25">
      <c r="A186" s="4">
        <v>46132.614733796298</v>
      </c>
      <c r="B186" s="5" t="s">
        <v>19</v>
      </c>
      <c r="C186" s="5" t="s">
        <v>20</v>
      </c>
      <c r="D186" s="5"/>
      <c r="E186" s="6"/>
      <c r="F186" s="5">
        <v>2765112008</v>
      </c>
      <c r="G186" s="7">
        <v>177670711344671</v>
      </c>
      <c r="H186" s="5" t="s">
        <v>195</v>
      </c>
      <c r="I186" s="5" t="s">
        <v>28</v>
      </c>
      <c r="J186" s="5" t="s">
        <v>30</v>
      </c>
      <c r="K186" s="5" t="s">
        <v>36</v>
      </c>
      <c r="L186" s="5" t="s">
        <v>36</v>
      </c>
      <c r="M186" s="5"/>
      <c r="N186" s="5" t="s">
        <v>32</v>
      </c>
      <c r="O186" s="5">
        <v>19</v>
      </c>
      <c r="P186" s="5"/>
      <c r="Q186" s="5"/>
      <c r="R186" s="8">
        <v>6.9444444444444444E-5</v>
      </c>
      <c r="S186" s="5" t="s">
        <v>37</v>
      </c>
      <c r="T186" t="str">
        <f>IF(Tabela1[[#This Row],[STATUS_NEGOCIO]]="Enviar E-mail",1,"")</f>
        <v/>
      </c>
      <c r="U186" t="str">
        <f>TEXT(Tabela1[[#This Row],[DATA]],"dd/mm/aaaa")</f>
        <v>20/04/2026</v>
      </c>
    </row>
    <row r="187" spans="1:21" x14ac:dyDescent="0.25">
      <c r="A187" s="4">
        <v>46132.614976851852</v>
      </c>
      <c r="B187" s="5" t="s">
        <v>19</v>
      </c>
      <c r="C187" s="5" t="s">
        <v>20</v>
      </c>
      <c r="D187" s="5"/>
      <c r="E187" s="6"/>
      <c r="F187" s="5">
        <v>2775273887</v>
      </c>
      <c r="G187" s="7">
        <v>177670713444701</v>
      </c>
      <c r="H187" s="5" t="s">
        <v>196</v>
      </c>
      <c r="I187" s="5" t="s">
        <v>28</v>
      </c>
      <c r="J187" s="5" t="s">
        <v>30</v>
      </c>
      <c r="K187" s="5" t="s">
        <v>23</v>
      </c>
      <c r="L187" s="5" t="s">
        <v>31</v>
      </c>
      <c r="M187" s="5"/>
      <c r="N187" s="5" t="s">
        <v>32</v>
      </c>
      <c r="O187" s="5">
        <v>16</v>
      </c>
      <c r="P187" s="5"/>
      <c r="Q187" s="5"/>
      <c r="R187" s="8">
        <v>8.1018518518518516E-5</v>
      </c>
      <c r="S187" s="8">
        <v>2.3148148148148147E-5</v>
      </c>
      <c r="T187" t="str">
        <f>IF(Tabela1[[#This Row],[STATUS_NEGOCIO]]="Enviar E-mail",1,"")</f>
        <v/>
      </c>
      <c r="U187" t="str">
        <f>TEXT(Tabela1[[#This Row],[DATA]],"dd/mm/aaaa")</f>
        <v>20/04/2026</v>
      </c>
    </row>
    <row r="188" spans="1:21" x14ac:dyDescent="0.25">
      <c r="A188" s="4">
        <v>46132.615335648145</v>
      </c>
      <c r="B188" s="5" t="s">
        <v>19</v>
      </c>
      <c r="C188" s="5" t="s">
        <v>20</v>
      </c>
      <c r="D188" s="5"/>
      <c r="E188" s="6"/>
      <c r="F188" s="5">
        <v>2765025633</v>
      </c>
      <c r="G188" s="7">
        <v>177670716544731</v>
      </c>
      <c r="H188" s="5" t="s">
        <v>197</v>
      </c>
      <c r="I188" s="5" t="s">
        <v>28</v>
      </c>
      <c r="J188" s="5" t="s">
        <v>30</v>
      </c>
      <c r="K188" s="5" t="s">
        <v>23</v>
      </c>
      <c r="L188" s="5" t="s">
        <v>31</v>
      </c>
      <c r="M188" s="5"/>
      <c r="N188" s="5" t="s">
        <v>32</v>
      </c>
      <c r="O188" s="5">
        <v>16</v>
      </c>
      <c r="P188" s="5"/>
      <c r="Q188" s="5"/>
      <c r="R188" s="8">
        <v>3.0092592592592595E-4</v>
      </c>
      <c r="S188" s="8">
        <v>2.3148148148148147E-5</v>
      </c>
      <c r="T188" t="str">
        <f>IF(Tabela1[[#This Row],[STATUS_NEGOCIO]]="Enviar E-mail",1,"")</f>
        <v/>
      </c>
      <c r="U188" t="str">
        <f>TEXT(Tabela1[[#This Row],[DATA]],"dd/mm/aaaa")</f>
        <v>20/04/2026</v>
      </c>
    </row>
    <row r="189" spans="1:21" x14ac:dyDescent="0.25">
      <c r="A189" s="4">
        <v>46132.615844907406</v>
      </c>
      <c r="B189" s="5" t="s">
        <v>19</v>
      </c>
      <c r="C189" s="5" t="s">
        <v>27</v>
      </c>
      <c r="D189" s="5"/>
      <c r="E189" s="6"/>
      <c r="F189" s="5">
        <v>2764727782</v>
      </c>
      <c r="G189" s="7">
        <v>177670720944761</v>
      </c>
      <c r="H189" s="5" t="s">
        <v>198</v>
      </c>
      <c r="I189" s="5" t="s">
        <v>28</v>
      </c>
      <c r="J189" s="5" t="s">
        <v>30</v>
      </c>
      <c r="K189" s="5" t="s">
        <v>23</v>
      </c>
      <c r="L189" s="5" t="s">
        <v>31</v>
      </c>
      <c r="M189" s="5"/>
      <c r="N189" s="5" t="s">
        <v>32</v>
      </c>
      <c r="O189" s="5">
        <v>16</v>
      </c>
      <c r="P189" s="5"/>
      <c r="Q189" s="5"/>
      <c r="R189" s="8">
        <v>4.7453703703703704E-4</v>
      </c>
      <c r="S189" s="8">
        <v>3.9351851851851852E-4</v>
      </c>
      <c r="T189" t="str">
        <f>IF(Tabela1[[#This Row],[STATUS_NEGOCIO]]="Enviar E-mail",1,"")</f>
        <v/>
      </c>
      <c r="U189" t="str">
        <f>TEXT(Tabela1[[#This Row],[DATA]],"dd/mm/aaaa")</f>
        <v>20/04/2026</v>
      </c>
    </row>
    <row r="190" spans="1:21" x14ac:dyDescent="0.25">
      <c r="A190" s="4">
        <v>46132.615972222222</v>
      </c>
      <c r="B190" s="5" t="s">
        <v>19</v>
      </c>
      <c r="C190" s="5" t="s">
        <v>20</v>
      </c>
      <c r="D190" s="5"/>
      <c r="E190" s="6"/>
      <c r="F190" s="5">
        <v>2741037333</v>
      </c>
      <c r="G190" s="7">
        <v>177670722044781</v>
      </c>
      <c r="H190" s="5" t="s">
        <v>199</v>
      </c>
      <c r="I190" s="5" t="s">
        <v>28</v>
      </c>
      <c r="J190" s="5" t="s">
        <v>30</v>
      </c>
      <c r="K190" s="5" t="s">
        <v>36</v>
      </c>
      <c r="L190" s="5" t="s">
        <v>36</v>
      </c>
      <c r="M190" s="5"/>
      <c r="N190" s="5" t="s">
        <v>32</v>
      </c>
      <c r="O190" s="5">
        <v>19</v>
      </c>
      <c r="P190" s="5"/>
      <c r="Q190" s="5"/>
      <c r="R190" s="8">
        <v>4.6296296296296294E-5</v>
      </c>
      <c r="S190" s="5" t="s">
        <v>37</v>
      </c>
      <c r="T190" t="str">
        <f>IF(Tabela1[[#This Row],[STATUS_NEGOCIO]]="Enviar E-mail",1,"")</f>
        <v/>
      </c>
      <c r="U190" t="str">
        <f>TEXT(Tabela1[[#This Row],[DATA]],"dd/mm/aaaa")</f>
        <v>20/04/2026</v>
      </c>
    </row>
    <row r="191" spans="1:21" x14ac:dyDescent="0.25">
      <c r="A191" s="4">
        <v>46132.616180555553</v>
      </c>
      <c r="B191" s="5" t="s">
        <v>19</v>
      </c>
      <c r="C191" s="5" t="s">
        <v>20</v>
      </c>
      <c r="D191" s="5"/>
      <c r="E191" s="6"/>
      <c r="F191" s="5">
        <v>2771645690</v>
      </c>
      <c r="G191" s="7">
        <v>177670723844871</v>
      </c>
      <c r="H191" s="5" t="s">
        <v>200</v>
      </c>
      <c r="I191" s="5" t="s">
        <v>28</v>
      </c>
      <c r="J191" s="5" t="s">
        <v>30</v>
      </c>
      <c r="K191" s="5" t="s">
        <v>36</v>
      </c>
      <c r="L191" s="5" t="s">
        <v>36</v>
      </c>
      <c r="M191" s="5"/>
      <c r="N191" s="5" t="s">
        <v>32</v>
      </c>
      <c r="O191" s="5">
        <v>19</v>
      </c>
      <c r="P191" s="5"/>
      <c r="Q191" s="5"/>
      <c r="R191" s="8">
        <v>3.8194444444444446E-4</v>
      </c>
      <c r="S191" s="5" t="s">
        <v>37</v>
      </c>
      <c r="T191" t="str">
        <f>IF(Tabela1[[#This Row],[STATUS_NEGOCIO]]="Enviar E-mail",1,"")</f>
        <v/>
      </c>
      <c r="U191" t="str">
        <f>TEXT(Tabela1[[#This Row],[DATA]],"dd/mm/aaaa")</f>
        <v>20/04/2026</v>
      </c>
    </row>
    <row r="192" spans="1:21" x14ac:dyDescent="0.25">
      <c r="A192" s="4">
        <v>46132.616759259261</v>
      </c>
      <c r="B192" s="5" t="s">
        <v>19</v>
      </c>
      <c r="C192" s="5" t="s">
        <v>20</v>
      </c>
      <c r="D192" s="5"/>
      <c r="E192" s="6"/>
      <c r="F192" s="5">
        <v>2762288052</v>
      </c>
      <c r="G192" s="7">
        <v>177670728844951</v>
      </c>
      <c r="H192" s="5" t="s">
        <v>201</v>
      </c>
      <c r="I192" s="5" t="s">
        <v>28</v>
      </c>
      <c r="J192" s="5" t="s">
        <v>30</v>
      </c>
      <c r="K192" s="5" t="s">
        <v>23</v>
      </c>
      <c r="L192" s="5" t="s">
        <v>40</v>
      </c>
      <c r="M192" s="5"/>
      <c r="N192" s="5" t="s">
        <v>32</v>
      </c>
      <c r="O192" s="5">
        <v>16</v>
      </c>
      <c r="P192" s="5"/>
      <c r="Q192" s="5"/>
      <c r="R192" s="8">
        <v>1.8749999999999999E-3</v>
      </c>
      <c r="S192" s="8">
        <v>1.6435185185185185E-3</v>
      </c>
      <c r="T192">
        <f>IF(Tabela1[[#This Row],[STATUS_NEGOCIO]]="Enviar E-mail",1,"")</f>
        <v>1</v>
      </c>
      <c r="U192" t="str">
        <f>TEXT(Tabela1[[#This Row],[DATA]],"dd/mm/aaaa")</f>
        <v>20/04/2026</v>
      </c>
    </row>
    <row r="193" spans="1:21" x14ac:dyDescent="0.25">
      <c r="A193" s="4">
        <v>46132.61818287037</v>
      </c>
      <c r="B193" s="5" t="s">
        <v>19</v>
      </c>
      <c r="C193" s="5" t="s">
        <v>27</v>
      </c>
      <c r="D193" s="5"/>
      <c r="E193" s="6"/>
      <c r="F193" s="5">
        <v>2758279594</v>
      </c>
      <c r="G193" s="7">
        <v>177670741145051</v>
      </c>
      <c r="H193" s="5" t="s">
        <v>202</v>
      </c>
      <c r="I193" s="5" t="s">
        <v>28</v>
      </c>
      <c r="J193" s="5" t="s">
        <v>30</v>
      </c>
      <c r="K193" s="5" t="s">
        <v>23</v>
      </c>
      <c r="L193" s="5" t="s">
        <v>40</v>
      </c>
      <c r="M193" s="5"/>
      <c r="N193" s="5" t="s">
        <v>26</v>
      </c>
      <c r="O193" s="5">
        <v>16</v>
      </c>
      <c r="P193" s="5"/>
      <c r="Q193" s="5"/>
      <c r="R193" s="8">
        <v>1.8171296296296297E-3</v>
      </c>
      <c r="S193" s="8">
        <v>1.6898148148148148E-3</v>
      </c>
      <c r="T193">
        <f>IF(Tabela1[[#This Row],[STATUS_NEGOCIO]]="Enviar E-mail",1,"")</f>
        <v>1</v>
      </c>
      <c r="U193" t="str">
        <f>TEXT(Tabela1[[#This Row],[DATA]],"dd/mm/aaaa")</f>
        <v>20/04/2026</v>
      </c>
    </row>
    <row r="194" spans="1:21" x14ac:dyDescent="0.25">
      <c r="A194" s="4">
        <v>46132.619270833333</v>
      </c>
      <c r="B194" s="5" t="s">
        <v>19</v>
      </c>
      <c r="C194" s="5" t="s">
        <v>20</v>
      </c>
      <c r="D194" s="5"/>
      <c r="E194" s="6"/>
      <c r="F194" s="5">
        <v>2765283424</v>
      </c>
      <c r="G194" s="7">
        <v>177670750545151</v>
      </c>
      <c r="H194" s="5" t="s">
        <v>203</v>
      </c>
      <c r="I194" s="5" t="s">
        <v>28</v>
      </c>
      <c r="J194" s="5" t="s">
        <v>30</v>
      </c>
      <c r="K194" s="5" t="s">
        <v>23</v>
      </c>
      <c r="L194" s="5" t="s">
        <v>40</v>
      </c>
      <c r="M194" s="5"/>
      <c r="N194" s="5" t="s">
        <v>26</v>
      </c>
      <c r="O194" s="5">
        <v>16</v>
      </c>
      <c r="P194" s="5"/>
      <c r="Q194" s="5"/>
      <c r="R194" s="8">
        <v>2.0717592592592593E-3</v>
      </c>
      <c r="S194" s="8">
        <v>1.8749999999999999E-3</v>
      </c>
      <c r="T194">
        <f>IF(Tabela1[[#This Row],[STATUS_NEGOCIO]]="Enviar E-mail",1,"")</f>
        <v>1</v>
      </c>
      <c r="U194" t="str">
        <f>TEXT(Tabela1[[#This Row],[DATA]],"dd/mm/aaaa")</f>
        <v>20/04/2026</v>
      </c>
    </row>
    <row r="195" spans="1:21" x14ac:dyDescent="0.25">
      <c r="A195" s="4">
        <v>46132.620717592596</v>
      </c>
      <c r="B195" s="5" t="s">
        <v>19</v>
      </c>
      <c r="C195" s="5" t="s">
        <v>27</v>
      </c>
      <c r="D195" s="5"/>
      <c r="E195" s="6"/>
      <c r="F195" s="5">
        <v>1846854071</v>
      </c>
      <c r="G195" s="7">
        <v>177670762945501</v>
      </c>
      <c r="H195" s="5" t="s">
        <v>204</v>
      </c>
      <c r="I195" s="5" t="s">
        <v>28</v>
      </c>
      <c r="J195" s="5" t="s">
        <v>30</v>
      </c>
      <c r="K195" s="5" t="s">
        <v>36</v>
      </c>
      <c r="L195" s="5" t="s">
        <v>36</v>
      </c>
      <c r="M195" s="5"/>
      <c r="N195" s="5" t="s">
        <v>26</v>
      </c>
      <c r="O195" s="5">
        <v>1</v>
      </c>
      <c r="P195" s="5"/>
      <c r="Q195" s="5"/>
      <c r="R195" s="8">
        <v>1.1574074074074073E-5</v>
      </c>
      <c r="S195" s="5" t="s">
        <v>37</v>
      </c>
      <c r="T195" t="str">
        <f>IF(Tabela1[[#This Row],[STATUS_NEGOCIO]]="Enviar E-mail",1,"")</f>
        <v/>
      </c>
      <c r="U195" t="str">
        <f>TEXT(Tabela1[[#This Row],[DATA]],"dd/mm/aaaa")</f>
        <v>20/04/2026</v>
      </c>
    </row>
    <row r="196" spans="1:21" x14ac:dyDescent="0.25">
      <c r="A196" s="4">
        <v>46132.621122685188</v>
      </c>
      <c r="B196" s="5" t="s">
        <v>19</v>
      </c>
      <c r="C196" s="5" t="s">
        <v>27</v>
      </c>
      <c r="D196" s="5"/>
      <c r="E196" s="6"/>
      <c r="F196" s="5">
        <v>2746854109</v>
      </c>
      <c r="G196" s="7">
        <v>177670766545641</v>
      </c>
      <c r="H196" s="5" t="s">
        <v>204</v>
      </c>
      <c r="I196" s="5" t="s">
        <v>28</v>
      </c>
      <c r="J196" s="5" t="s">
        <v>30</v>
      </c>
      <c r="K196" s="5" t="s">
        <v>23</v>
      </c>
      <c r="L196" s="5" t="s">
        <v>31</v>
      </c>
      <c r="M196" s="5"/>
      <c r="N196" s="5" t="s">
        <v>32</v>
      </c>
      <c r="O196" s="5">
        <v>16</v>
      </c>
      <c r="P196" s="5"/>
      <c r="Q196" s="5"/>
      <c r="R196" s="8">
        <v>8.3333333333333339E-4</v>
      </c>
      <c r="S196" s="8">
        <v>4.7453703703703704E-4</v>
      </c>
      <c r="T196" t="str">
        <f>IF(Tabela1[[#This Row],[STATUS_NEGOCIO]]="Enviar E-mail",1,"")</f>
        <v/>
      </c>
      <c r="U196" t="str">
        <f>TEXT(Tabela1[[#This Row],[DATA]],"dd/mm/aaaa")</f>
        <v>20/04/2026</v>
      </c>
    </row>
    <row r="197" spans="1:21" x14ac:dyDescent="0.25">
      <c r="A197" s="4">
        <v>46132.62226851852</v>
      </c>
      <c r="B197" s="5" t="s">
        <v>19</v>
      </c>
      <c r="C197" s="5" t="s">
        <v>27</v>
      </c>
      <c r="D197" s="5"/>
      <c r="E197" s="6"/>
      <c r="F197" s="5">
        <v>2774369984</v>
      </c>
      <c r="G197" s="7">
        <v>177670776445791</v>
      </c>
      <c r="H197" s="5" t="s">
        <v>205</v>
      </c>
      <c r="I197" s="5" t="s">
        <v>28</v>
      </c>
      <c r="J197" s="5" t="s">
        <v>30</v>
      </c>
      <c r="K197" s="5" t="s">
        <v>23</v>
      </c>
      <c r="L197" s="5" t="s">
        <v>40</v>
      </c>
      <c r="M197" s="5"/>
      <c r="N197" s="5" t="s">
        <v>26</v>
      </c>
      <c r="O197" s="5">
        <v>16</v>
      </c>
      <c r="P197" s="5"/>
      <c r="Q197" s="5"/>
      <c r="R197" s="8">
        <v>1.9212962962962964E-3</v>
      </c>
      <c r="S197" s="8">
        <v>1.8749999999999999E-3</v>
      </c>
      <c r="T197">
        <f>IF(Tabela1[[#This Row],[STATUS_NEGOCIO]]="Enviar E-mail",1,"")</f>
        <v>1</v>
      </c>
      <c r="U197" t="str">
        <f>TEXT(Tabela1[[#This Row],[DATA]],"dd/mm/aaaa")</f>
        <v>20/04/2026</v>
      </c>
    </row>
    <row r="198" spans="1:21" x14ac:dyDescent="0.25">
      <c r="A198" s="4">
        <v>46132.623564814814</v>
      </c>
      <c r="B198" s="5" t="s">
        <v>19</v>
      </c>
      <c r="C198" s="5" t="s">
        <v>20</v>
      </c>
      <c r="D198" s="5"/>
      <c r="E198" s="6"/>
      <c r="F198" s="5">
        <v>2756677211</v>
      </c>
      <c r="G198" s="7">
        <v>177670787646051</v>
      </c>
      <c r="H198" s="5" t="s">
        <v>206</v>
      </c>
      <c r="I198" s="5" t="s">
        <v>28</v>
      </c>
      <c r="J198" s="5" t="s">
        <v>30</v>
      </c>
      <c r="K198" s="5" t="s">
        <v>23</v>
      </c>
      <c r="L198" s="5" t="s">
        <v>31</v>
      </c>
      <c r="M198" s="5"/>
      <c r="N198" s="5" t="s">
        <v>32</v>
      </c>
      <c r="O198" s="5">
        <v>16</v>
      </c>
      <c r="P198" s="5"/>
      <c r="Q198" s="5"/>
      <c r="R198" s="8">
        <v>5.7870370370370373E-5</v>
      </c>
      <c r="S198" s="8">
        <v>2.3148148148148147E-5</v>
      </c>
      <c r="T198" t="str">
        <f>IF(Tabela1[[#This Row],[STATUS_NEGOCIO]]="Enviar E-mail",1,"")</f>
        <v/>
      </c>
      <c r="U198" t="str">
        <f>TEXT(Tabela1[[#This Row],[DATA]],"dd/mm/aaaa")</f>
        <v>20/04/2026</v>
      </c>
    </row>
    <row r="199" spans="1:21" x14ac:dyDescent="0.25">
      <c r="A199" s="4">
        <v>46132.623888888891</v>
      </c>
      <c r="B199" s="5" t="s">
        <v>19</v>
      </c>
      <c r="C199" s="5" t="s">
        <v>20</v>
      </c>
      <c r="D199" s="5"/>
      <c r="E199" s="6"/>
      <c r="F199" s="5">
        <v>2761566742</v>
      </c>
      <c r="G199" s="7">
        <v>177670790446091</v>
      </c>
      <c r="H199" s="5" t="s">
        <v>207</v>
      </c>
      <c r="I199" s="5" t="s">
        <v>28</v>
      </c>
      <c r="J199" s="5" t="s">
        <v>30</v>
      </c>
      <c r="K199" s="5" t="s">
        <v>36</v>
      </c>
      <c r="L199" s="5" t="s">
        <v>36</v>
      </c>
      <c r="M199" s="5"/>
      <c r="N199" s="5" t="s">
        <v>32</v>
      </c>
      <c r="O199" s="5">
        <v>19</v>
      </c>
      <c r="P199" s="5"/>
      <c r="Q199" s="5"/>
      <c r="R199" s="8">
        <v>4.0509259259259258E-4</v>
      </c>
      <c r="S199" s="5" t="s">
        <v>37</v>
      </c>
      <c r="T199" t="str">
        <f>IF(Tabela1[[#This Row],[STATUS_NEGOCIO]]="Enviar E-mail",1,"")</f>
        <v/>
      </c>
      <c r="U199" t="str">
        <f>TEXT(Tabela1[[#This Row],[DATA]],"dd/mm/aaaa")</f>
        <v>20/04/2026</v>
      </c>
    </row>
    <row r="200" spans="1:21" x14ac:dyDescent="0.25">
      <c r="A200" s="4">
        <v>46132.624814814815</v>
      </c>
      <c r="B200" s="5" t="s">
        <v>19</v>
      </c>
      <c r="C200" s="5" t="s">
        <v>20</v>
      </c>
      <c r="D200" s="5"/>
      <c r="E200" s="6"/>
      <c r="F200" s="5">
        <v>2761566822</v>
      </c>
      <c r="G200" s="7">
        <v>177670798446241</v>
      </c>
      <c r="H200" s="5" t="s">
        <v>207</v>
      </c>
      <c r="I200" s="5" t="s">
        <v>28</v>
      </c>
      <c r="J200" s="5" t="s">
        <v>30</v>
      </c>
      <c r="K200" s="5" t="s">
        <v>36</v>
      </c>
      <c r="L200" s="5" t="s">
        <v>36</v>
      </c>
      <c r="M200" s="5"/>
      <c r="N200" s="5" t="s">
        <v>32</v>
      </c>
      <c r="O200" s="5">
        <v>19</v>
      </c>
      <c r="P200" s="5"/>
      <c r="Q200" s="5"/>
      <c r="R200" s="8">
        <v>4.1666666666666669E-4</v>
      </c>
      <c r="S200" s="5" t="s">
        <v>37</v>
      </c>
      <c r="T200" t="str">
        <f>IF(Tabela1[[#This Row],[STATUS_NEGOCIO]]="Enviar E-mail",1,"")</f>
        <v/>
      </c>
      <c r="U200" t="str">
        <f>TEXT(Tabela1[[#This Row],[DATA]],"dd/mm/aaaa")</f>
        <v>20/04/2026</v>
      </c>
    </row>
    <row r="201" spans="1:21" x14ac:dyDescent="0.25">
      <c r="A201" s="4">
        <v>46132.625451388885</v>
      </c>
      <c r="B201" s="5" t="s">
        <v>19</v>
      </c>
      <c r="C201" s="5" t="s">
        <v>20</v>
      </c>
      <c r="D201" s="5"/>
      <c r="E201" s="6"/>
      <c r="F201" s="5">
        <v>2776239588</v>
      </c>
      <c r="G201" s="7">
        <v>177670803946401</v>
      </c>
      <c r="H201" s="5" t="s">
        <v>208</v>
      </c>
      <c r="I201" s="5" t="s">
        <v>28</v>
      </c>
      <c r="J201" s="5" t="s">
        <v>30</v>
      </c>
      <c r="K201" s="5" t="s">
        <v>23</v>
      </c>
      <c r="L201" s="5" t="s">
        <v>31</v>
      </c>
      <c r="M201" s="5"/>
      <c r="N201" s="5" t="s">
        <v>32</v>
      </c>
      <c r="O201" s="5">
        <v>16</v>
      </c>
      <c r="P201" s="5"/>
      <c r="Q201" s="5"/>
      <c r="R201" s="8">
        <v>3.1250000000000001E-4</v>
      </c>
      <c r="S201" s="8">
        <v>5.7870370370370373E-5</v>
      </c>
      <c r="T201" t="str">
        <f>IF(Tabela1[[#This Row],[STATUS_NEGOCIO]]="Enviar E-mail",1,"")</f>
        <v/>
      </c>
      <c r="U201" t="str">
        <f>TEXT(Tabela1[[#This Row],[DATA]],"dd/mm/aaaa")</f>
        <v>20/04/2026</v>
      </c>
    </row>
    <row r="202" spans="1:21" x14ac:dyDescent="0.25">
      <c r="A202" s="4">
        <v>46132.626203703701</v>
      </c>
      <c r="B202" s="5" t="s">
        <v>19</v>
      </c>
      <c r="C202" s="5" t="s">
        <v>20</v>
      </c>
      <c r="D202" s="5"/>
      <c r="E202" s="6"/>
      <c r="F202" s="5">
        <v>2776697903</v>
      </c>
      <c r="G202" s="7">
        <v>177670810446471</v>
      </c>
      <c r="H202" s="5" t="s">
        <v>209</v>
      </c>
      <c r="I202" s="5" t="s">
        <v>28</v>
      </c>
      <c r="J202" s="5" t="s">
        <v>30</v>
      </c>
      <c r="K202" s="5" t="s">
        <v>23</v>
      </c>
      <c r="L202" s="5" t="s">
        <v>40</v>
      </c>
      <c r="M202" s="5"/>
      <c r="N202" s="5" t="s">
        <v>32</v>
      </c>
      <c r="O202" s="5">
        <v>16</v>
      </c>
      <c r="P202" s="5"/>
      <c r="Q202" s="5"/>
      <c r="R202" s="8">
        <v>2.5462962962962965E-3</v>
      </c>
      <c r="S202" s="8">
        <v>2.1412037037037038E-3</v>
      </c>
      <c r="T202">
        <f>IF(Tabela1[[#This Row],[STATUS_NEGOCIO]]="Enviar E-mail",1,"")</f>
        <v>1</v>
      </c>
      <c r="U202" t="str">
        <f>TEXT(Tabela1[[#This Row],[DATA]],"dd/mm/aaaa")</f>
        <v>20/04/2026</v>
      </c>
    </row>
    <row r="203" spans="1:21" x14ac:dyDescent="0.25">
      <c r="A203" s="4">
        <v>46132.626469907409</v>
      </c>
      <c r="B203" s="5" t="s">
        <v>19</v>
      </c>
      <c r="C203" s="5" t="s">
        <v>27</v>
      </c>
      <c r="D203" s="5"/>
      <c r="E203" s="6"/>
      <c r="F203" s="5">
        <v>2741557285</v>
      </c>
      <c r="G203" s="7">
        <v>177670812746491</v>
      </c>
      <c r="H203" s="5" t="s">
        <v>210</v>
      </c>
      <c r="I203" s="5" t="s">
        <v>28</v>
      </c>
      <c r="J203" s="5" t="s">
        <v>30</v>
      </c>
      <c r="K203" s="5" t="s">
        <v>23</v>
      </c>
      <c r="L203" s="5" t="s">
        <v>31</v>
      </c>
      <c r="M203" s="5"/>
      <c r="N203" s="5" t="s">
        <v>32</v>
      </c>
      <c r="O203" s="5">
        <v>16</v>
      </c>
      <c r="P203" s="5"/>
      <c r="Q203" s="5"/>
      <c r="R203" s="8">
        <v>9.9537037037037042E-4</v>
      </c>
      <c r="S203" s="8">
        <v>9.0277777777777774E-4</v>
      </c>
      <c r="T203" t="str">
        <f>IF(Tabela1[[#This Row],[STATUS_NEGOCIO]]="Enviar E-mail",1,"")</f>
        <v/>
      </c>
      <c r="U203" t="str">
        <f>TEXT(Tabela1[[#This Row],[DATA]],"dd/mm/aaaa")</f>
        <v>20/04/2026</v>
      </c>
    </row>
    <row r="204" spans="1:21" x14ac:dyDescent="0.25">
      <c r="A204" s="4">
        <v>46132.627986111111</v>
      </c>
      <c r="B204" s="5" t="s">
        <v>19</v>
      </c>
      <c r="C204" s="5" t="s">
        <v>27</v>
      </c>
      <c r="D204" s="5"/>
      <c r="E204" s="6"/>
      <c r="F204" s="5">
        <v>2769882975</v>
      </c>
      <c r="G204" s="7">
        <v>177670825846711</v>
      </c>
      <c r="H204" s="5" t="s">
        <v>211</v>
      </c>
      <c r="I204" s="5" t="s">
        <v>28</v>
      </c>
      <c r="J204" s="5" t="s">
        <v>30</v>
      </c>
      <c r="K204" s="5" t="s">
        <v>23</v>
      </c>
      <c r="L204" s="5" t="s">
        <v>31</v>
      </c>
      <c r="M204" s="5"/>
      <c r="N204" s="5" t="s">
        <v>32</v>
      </c>
      <c r="O204" s="5">
        <v>16</v>
      </c>
      <c r="P204" s="5"/>
      <c r="Q204" s="5"/>
      <c r="R204" s="8">
        <v>4.9768518518518521E-4</v>
      </c>
      <c r="S204" s="8">
        <v>4.6296296296296294E-5</v>
      </c>
      <c r="T204" t="str">
        <f>IF(Tabela1[[#This Row],[STATUS_NEGOCIO]]="Enviar E-mail",1,"")</f>
        <v/>
      </c>
      <c r="U204" t="str">
        <f>TEXT(Tabela1[[#This Row],[DATA]],"dd/mm/aaaa")</f>
        <v>20/04/2026</v>
      </c>
    </row>
    <row r="205" spans="1:21" x14ac:dyDescent="0.25">
      <c r="A205" s="4">
        <v>46132.628807870373</v>
      </c>
      <c r="B205" s="5" t="s">
        <v>19</v>
      </c>
      <c r="C205" s="5" t="s">
        <v>27</v>
      </c>
      <c r="D205" s="5"/>
      <c r="E205" s="6"/>
      <c r="F205" s="5">
        <v>2776675118</v>
      </c>
      <c r="G205" s="7">
        <v>177670832946971</v>
      </c>
      <c r="H205" s="5" t="s">
        <v>212</v>
      </c>
      <c r="I205" s="5" t="s">
        <v>28</v>
      </c>
      <c r="J205" s="5" t="s">
        <v>30</v>
      </c>
      <c r="K205" s="5" t="s">
        <v>23</v>
      </c>
      <c r="L205" s="5" t="s">
        <v>40</v>
      </c>
      <c r="M205" s="5"/>
      <c r="N205" s="5" t="s">
        <v>26</v>
      </c>
      <c r="O205" s="5">
        <v>16</v>
      </c>
      <c r="P205" s="5"/>
      <c r="Q205" s="5"/>
      <c r="R205" s="8">
        <v>1.8634259259259259E-3</v>
      </c>
      <c r="S205" s="8">
        <v>1.6898148148148148E-3</v>
      </c>
      <c r="T205">
        <f>IF(Tabela1[[#This Row],[STATUS_NEGOCIO]]="Enviar E-mail",1,"")</f>
        <v>1</v>
      </c>
      <c r="U205" t="str">
        <f>TEXT(Tabela1[[#This Row],[DATA]],"dd/mm/aaaa")</f>
        <v>20/04/2026</v>
      </c>
    </row>
    <row r="206" spans="1:21" x14ac:dyDescent="0.25">
      <c r="A206" s="4">
        <v>46132.629814814813</v>
      </c>
      <c r="B206" s="5" t="s">
        <v>19</v>
      </c>
      <c r="C206" s="5" t="s">
        <v>20</v>
      </c>
      <c r="D206" s="5"/>
      <c r="E206" s="6"/>
      <c r="F206" s="5">
        <v>2758513313</v>
      </c>
      <c r="G206" s="7">
        <v>177670841647111</v>
      </c>
      <c r="H206" s="5" t="s">
        <v>213</v>
      </c>
      <c r="I206" s="5" t="s">
        <v>28</v>
      </c>
      <c r="J206" s="5" t="s">
        <v>30</v>
      </c>
      <c r="K206" s="5" t="s">
        <v>23</v>
      </c>
      <c r="L206" s="5" t="s">
        <v>40</v>
      </c>
      <c r="M206" s="5"/>
      <c r="N206" s="5" t="s">
        <v>32</v>
      </c>
      <c r="O206" s="5">
        <v>16</v>
      </c>
      <c r="P206" s="5"/>
      <c r="Q206" s="5"/>
      <c r="R206" s="8">
        <v>1.8749999999999999E-3</v>
      </c>
      <c r="S206" s="8">
        <v>1.6782407407407408E-3</v>
      </c>
      <c r="T206">
        <f>IF(Tabela1[[#This Row],[STATUS_NEGOCIO]]="Enviar E-mail",1,"")</f>
        <v>1</v>
      </c>
      <c r="U206" t="str">
        <f>TEXT(Tabela1[[#This Row],[DATA]],"dd/mm/aaaa")</f>
        <v>20/04/2026</v>
      </c>
    </row>
    <row r="207" spans="1:21" x14ac:dyDescent="0.25">
      <c r="A207" s="4">
        <v>46132.632384259261</v>
      </c>
      <c r="B207" s="5" t="s">
        <v>19</v>
      </c>
      <c r="C207" s="5" t="s">
        <v>27</v>
      </c>
      <c r="D207" s="5"/>
      <c r="E207" s="6"/>
      <c r="F207" s="5">
        <v>2760865505</v>
      </c>
      <c r="G207" s="7">
        <v>177670863847361</v>
      </c>
      <c r="H207" s="5" t="s">
        <v>214</v>
      </c>
      <c r="I207" s="5" t="s">
        <v>28</v>
      </c>
      <c r="J207" s="5" t="s">
        <v>30</v>
      </c>
      <c r="K207" s="5" t="s">
        <v>23</v>
      </c>
      <c r="L207" s="5" t="s">
        <v>40</v>
      </c>
      <c r="M207" s="5"/>
      <c r="N207" s="5" t="s">
        <v>32</v>
      </c>
      <c r="O207" s="5">
        <v>16</v>
      </c>
      <c r="P207" s="5"/>
      <c r="Q207" s="5"/>
      <c r="R207" s="8">
        <v>1.9328703703703704E-3</v>
      </c>
      <c r="S207" s="8">
        <v>1.724537037037037E-3</v>
      </c>
      <c r="T207">
        <f>IF(Tabela1[[#This Row],[STATUS_NEGOCIO]]="Enviar E-mail",1,"")</f>
        <v>1</v>
      </c>
      <c r="U207" t="str">
        <f>TEXT(Tabela1[[#This Row],[DATA]],"dd/mm/aaaa")</f>
        <v>20/04/2026</v>
      </c>
    </row>
    <row r="208" spans="1:21" x14ac:dyDescent="0.25">
      <c r="A208" s="4">
        <v>46132.637372685182</v>
      </c>
      <c r="B208" s="5" t="s">
        <v>19</v>
      </c>
      <c r="C208" s="5" t="s">
        <v>27</v>
      </c>
      <c r="D208" s="5"/>
      <c r="E208" s="6"/>
      <c r="F208" s="5">
        <v>2774686059</v>
      </c>
      <c r="G208" s="7">
        <v>177670906948321</v>
      </c>
      <c r="H208" s="5" t="s">
        <v>215</v>
      </c>
      <c r="I208" s="5" t="s">
        <v>28</v>
      </c>
      <c r="J208" s="5" t="s">
        <v>30</v>
      </c>
      <c r="K208" s="5" t="s">
        <v>36</v>
      </c>
      <c r="L208" s="5" t="s">
        <v>36</v>
      </c>
      <c r="M208" s="5"/>
      <c r="N208" s="5" t="s">
        <v>32</v>
      </c>
      <c r="O208" s="5">
        <v>19</v>
      </c>
      <c r="P208" s="5"/>
      <c r="Q208" s="5"/>
      <c r="R208" s="8">
        <v>1.1574074074074075E-4</v>
      </c>
      <c r="S208" s="5" t="s">
        <v>37</v>
      </c>
      <c r="T208" t="str">
        <f>IF(Tabela1[[#This Row],[STATUS_NEGOCIO]]="Enviar E-mail",1,"")</f>
        <v/>
      </c>
      <c r="U208" t="str">
        <f>TEXT(Tabela1[[#This Row],[DATA]],"dd/mm/aaaa")</f>
        <v>20/04/2026</v>
      </c>
    </row>
    <row r="209" spans="1:21" x14ac:dyDescent="0.25">
      <c r="A209" s="4">
        <v>46132.640092592592</v>
      </c>
      <c r="B209" s="5" t="s">
        <v>19</v>
      </c>
      <c r="C209" s="5" t="s">
        <v>27</v>
      </c>
      <c r="D209" s="5"/>
      <c r="E209" s="6"/>
      <c r="F209" s="5">
        <v>2774971497</v>
      </c>
      <c r="G209" s="7">
        <v>177670930448831</v>
      </c>
      <c r="H209" s="5" t="s">
        <v>216</v>
      </c>
      <c r="I209" s="5" t="s">
        <v>28</v>
      </c>
      <c r="J209" s="5" t="s">
        <v>30</v>
      </c>
      <c r="K209" s="5" t="s">
        <v>23</v>
      </c>
      <c r="L209" s="5" t="s">
        <v>31</v>
      </c>
      <c r="M209" s="5"/>
      <c r="N209" s="5" t="s">
        <v>26</v>
      </c>
      <c r="O209" s="5">
        <v>16</v>
      </c>
      <c r="P209" s="5"/>
      <c r="Q209" s="5"/>
      <c r="R209" s="8">
        <v>1.8171296296296297E-3</v>
      </c>
      <c r="S209" s="8">
        <v>1.7708333333333332E-3</v>
      </c>
      <c r="T209" t="str">
        <f>IF(Tabela1[[#This Row],[STATUS_NEGOCIO]]="Enviar E-mail",1,"")</f>
        <v/>
      </c>
      <c r="U209" t="str">
        <f>TEXT(Tabela1[[#This Row],[DATA]],"dd/mm/aaaa")</f>
        <v>20/04/2026</v>
      </c>
    </row>
    <row r="210" spans="1:21" x14ac:dyDescent="0.25">
      <c r="A210" s="4">
        <v>46132.642453703702</v>
      </c>
      <c r="B210" s="5" t="s">
        <v>19</v>
      </c>
      <c r="C210" s="5" t="s">
        <v>20</v>
      </c>
      <c r="D210" s="5"/>
      <c r="E210" s="6"/>
      <c r="F210" s="5">
        <v>2764724480</v>
      </c>
      <c r="G210" s="7">
        <v>177670950849321</v>
      </c>
      <c r="H210" s="5" t="s">
        <v>217</v>
      </c>
      <c r="I210" s="5" t="s">
        <v>28</v>
      </c>
      <c r="J210" s="5" t="s">
        <v>30</v>
      </c>
      <c r="K210" s="5" t="s">
        <v>36</v>
      </c>
      <c r="L210" s="5" t="s">
        <v>36</v>
      </c>
      <c r="M210" s="5"/>
      <c r="N210" s="5" t="s">
        <v>32</v>
      </c>
      <c r="O210" s="5">
        <v>19</v>
      </c>
      <c r="P210" s="5"/>
      <c r="Q210" s="5"/>
      <c r="R210" s="8">
        <v>9.2592592592592588E-5</v>
      </c>
      <c r="S210" s="5" t="s">
        <v>37</v>
      </c>
      <c r="T210" t="str">
        <f>IF(Tabela1[[#This Row],[STATUS_NEGOCIO]]="Enviar E-mail",1,"")</f>
        <v/>
      </c>
      <c r="U210" t="str">
        <f>TEXT(Tabela1[[#This Row],[DATA]],"dd/mm/aaaa")</f>
        <v>20/04/2026</v>
      </c>
    </row>
    <row r="211" spans="1:21" x14ac:dyDescent="0.25">
      <c r="A211" s="4">
        <v>46132.642453703702</v>
      </c>
      <c r="B211" s="5" t="s">
        <v>19</v>
      </c>
      <c r="C211" s="5" t="s">
        <v>27</v>
      </c>
      <c r="D211" s="5"/>
      <c r="E211" s="6"/>
      <c r="F211" s="5">
        <v>2773207383</v>
      </c>
      <c r="G211" s="7">
        <v>177670950849331</v>
      </c>
      <c r="H211" s="5" t="s">
        <v>218</v>
      </c>
      <c r="I211" s="5" t="s">
        <v>28</v>
      </c>
      <c r="J211" s="5" t="s">
        <v>30</v>
      </c>
      <c r="K211" s="5" t="s">
        <v>23</v>
      </c>
      <c r="L211" s="5" t="s">
        <v>219</v>
      </c>
      <c r="M211" s="5"/>
      <c r="N211" s="5" t="s">
        <v>26</v>
      </c>
      <c r="O211" s="5">
        <v>16</v>
      </c>
      <c r="P211" s="5"/>
      <c r="Q211" s="5"/>
      <c r="R211" s="8">
        <v>2.8935185185185184E-4</v>
      </c>
      <c r="S211" s="8">
        <v>9.2592592592592588E-5</v>
      </c>
      <c r="T211" t="str">
        <f>IF(Tabela1[[#This Row],[STATUS_NEGOCIO]]="Enviar E-mail",1,"")</f>
        <v/>
      </c>
      <c r="U211" t="str">
        <f>TEXT(Tabela1[[#This Row],[DATA]],"dd/mm/aaaa")</f>
        <v>20/04/2026</v>
      </c>
    </row>
    <row r="212" spans="1:21" x14ac:dyDescent="0.25">
      <c r="A212" s="4">
        <v>46132.642696759256</v>
      </c>
      <c r="B212" s="5" t="s">
        <v>19</v>
      </c>
      <c r="C212" s="5" t="s">
        <v>20</v>
      </c>
      <c r="D212" s="5"/>
      <c r="E212" s="6"/>
      <c r="F212" s="5">
        <v>2750237369</v>
      </c>
      <c r="G212" s="7">
        <v>177670952949521</v>
      </c>
      <c r="H212" s="5" t="s">
        <v>220</v>
      </c>
      <c r="I212" s="5" t="s">
        <v>28</v>
      </c>
      <c r="J212" s="5" t="s">
        <v>30</v>
      </c>
      <c r="K212" s="5" t="s">
        <v>23</v>
      </c>
      <c r="L212" s="5" t="s">
        <v>40</v>
      </c>
      <c r="M212" s="5"/>
      <c r="N212" s="5" t="s">
        <v>32</v>
      </c>
      <c r="O212" s="5">
        <v>16</v>
      </c>
      <c r="P212" s="5"/>
      <c r="Q212" s="5"/>
      <c r="R212" s="8">
        <v>2.5462962962962965E-3</v>
      </c>
      <c r="S212" s="8">
        <v>2.4421296296296296E-3</v>
      </c>
      <c r="T212">
        <f>IF(Tabela1[[#This Row],[STATUS_NEGOCIO]]="Enviar E-mail",1,"")</f>
        <v>1</v>
      </c>
      <c r="U212" t="str">
        <f>TEXT(Tabela1[[#This Row],[DATA]],"dd/mm/aaaa")</f>
        <v>20/04/2026</v>
      </c>
    </row>
    <row r="213" spans="1:21" x14ac:dyDescent="0.25">
      <c r="A213" s="4">
        <v>46132.64770833333</v>
      </c>
      <c r="B213" s="5" t="s">
        <v>19</v>
      </c>
      <c r="C213" s="5" t="s">
        <v>20</v>
      </c>
      <c r="D213" s="5"/>
      <c r="E213" s="6"/>
      <c r="F213" s="5">
        <v>2769124622</v>
      </c>
      <c r="G213" s="7">
        <v>177670996250641</v>
      </c>
      <c r="H213" s="5" t="s">
        <v>221</v>
      </c>
      <c r="I213" s="5" t="s">
        <v>28</v>
      </c>
      <c r="J213" s="5" t="s">
        <v>30</v>
      </c>
      <c r="K213" s="5" t="s">
        <v>23</v>
      </c>
      <c r="L213" s="5" t="s">
        <v>31</v>
      </c>
      <c r="M213" s="5"/>
      <c r="N213" s="5" t="s">
        <v>32</v>
      </c>
      <c r="O213" s="5">
        <v>16</v>
      </c>
      <c r="P213" s="5"/>
      <c r="Q213" s="5"/>
      <c r="R213" s="8">
        <v>2.8935185185185184E-4</v>
      </c>
      <c r="S213" s="8">
        <v>2.3148148148148147E-5</v>
      </c>
      <c r="T213" t="str">
        <f>IF(Tabela1[[#This Row],[STATUS_NEGOCIO]]="Enviar E-mail",1,"")</f>
        <v/>
      </c>
      <c r="U213" t="str">
        <f>TEXT(Tabela1[[#This Row],[DATA]],"dd/mm/aaaa")</f>
        <v>20/04/2026</v>
      </c>
    </row>
    <row r="214" spans="1:21" x14ac:dyDescent="0.25">
      <c r="A214" s="4">
        <v>46132.648206018515</v>
      </c>
      <c r="B214" s="5" t="s">
        <v>19</v>
      </c>
      <c r="C214" s="5" t="s">
        <v>20</v>
      </c>
      <c r="D214" s="5"/>
      <c r="E214" s="6"/>
      <c r="F214" s="5">
        <v>2771645192</v>
      </c>
      <c r="G214" s="7">
        <v>177671000450771</v>
      </c>
      <c r="H214" s="5" t="s">
        <v>222</v>
      </c>
      <c r="I214" s="5" t="s">
        <v>28</v>
      </c>
      <c r="J214" s="5" t="s">
        <v>30</v>
      </c>
      <c r="K214" s="5" t="s">
        <v>36</v>
      </c>
      <c r="L214" s="5" t="s">
        <v>36</v>
      </c>
      <c r="M214" s="5"/>
      <c r="N214" s="5" t="s">
        <v>26</v>
      </c>
      <c r="O214" s="5">
        <v>1</v>
      </c>
      <c r="P214" s="5"/>
      <c r="Q214" s="5"/>
      <c r="R214" s="8">
        <v>1.1574074074074073E-5</v>
      </c>
      <c r="S214" s="5" t="s">
        <v>37</v>
      </c>
      <c r="T214" t="str">
        <f>IF(Tabela1[[#This Row],[STATUS_NEGOCIO]]="Enviar E-mail",1,"")</f>
        <v/>
      </c>
      <c r="U214" t="str">
        <f>TEXT(Tabela1[[#This Row],[DATA]],"dd/mm/aaaa")</f>
        <v>20/04/2026</v>
      </c>
    </row>
    <row r="215" spans="1:21" x14ac:dyDescent="0.25">
      <c r="A215" s="4">
        <v>46132.648287037038</v>
      </c>
      <c r="B215" s="5" t="s">
        <v>19</v>
      </c>
      <c r="C215" s="5" t="s">
        <v>20</v>
      </c>
      <c r="D215" s="5"/>
      <c r="E215" s="6"/>
      <c r="F215" s="5">
        <v>2771645199</v>
      </c>
      <c r="G215" s="7">
        <v>177671001150811</v>
      </c>
      <c r="H215" s="5" t="s">
        <v>222</v>
      </c>
      <c r="I215" s="5" t="s">
        <v>28</v>
      </c>
      <c r="J215" s="5" t="s">
        <v>30</v>
      </c>
      <c r="K215" s="5" t="s">
        <v>36</v>
      </c>
      <c r="L215" s="5" t="s">
        <v>36</v>
      </c>
      <c r="M215" s="5"/>
      <c r="N215" s="5" t="s">
        <v>26</v>
      </c>
      <c r="O215" s="5">
        <v>1</v>
      </c>
      <c r="P215" s="5"/>
      <c r="Q215" s="5"/>
      <c r="R215" s="8">
        <v>1.1574074074074073E-5</v>
      </c>
      <c r="S215" s="5" t="s">
        <v>37</v>
      </c>
      <c r="T215" t="str">
        <f>IF(Tabela1[[#This Row],[STATUS_NEGOCIO]]="Enviar E-mail",1,"")</f>
        <v/>
      </c>
      <c r="U215" t="str">
        <f>TEXT(Tabela1[[#This Row],[DATA]],"dd/mm/aaaa")</f>
        <v>20/04/2026</v>
      </c>
    </row>
    <row r="216" spans="1:21" x14ac:dyDescent="0.25">
      <c r="A216" s="4">
        <v>46132.648425925923</v>
      </c>
      <c r="B216" s="5" t="s">
        <v>19</v>
      </c>
      <c r="C216" s="5" t="s">
        <v>20</v>
      </c>
      <c r="D216" s="5"/>
      <c r="E216" s="6"/>
      <c r="F216" s="5">
        <v>2741958384</v>
      </c>
      <c r="G216" s="7">
        <v>177671002450911</v>
      </c>
      <c r="H216" s="5" t="s">
        <v>223</v>
      </c>
      <c r="I216" s="5" t="s">
        <v>28</v>
      </c>
      <c r="J216" s="5" t="s">
        <v>30</v>
      </c>
      <c r="K216" s="5" t="s">
        <v>23</v>
      </c>
      <c r="L216" s="5" t="s">
        <v>40</v>
      </c>
      <c r="M216" s="5"/>
      <c r="N216" s="5" t="s">
        <v>26</v>
      </c>
      <c r="O216" s="5">
        <v>16</v>
      </c>
      <c r="P216" s="5"/>
      <c r="Q216" s="5"/>
      <c r="R216" s="8">
        <v>3.3912037037037036E-3</v>
      </c>
      <c r="S216" s="8">
        <v>3.2870370370370371E-3</v>
      </c>
      <c r="T216">
        <f>IF(Tabela1[[#This Row],[STATUS_NEGOCIO]]="Enviar E-mail",1,"")</f>
        <v>1</v>
      </c>
      <c r="U216" t="str">
        <f>TEXT(Tabela1[[#This Row],[DATA]],"dd/mm/aaaa")</f>
        <v>20/04/2026</v>
      </c>
    </row>
    <row r="217" spans="1:21" x14ac:dyDescent="0.25">
      <c r="A217" s="4">
        <v>46132.656076388892</v>
      </c>
      <c r="B217" s="5" t="s">
        <v>19</v>
      </c>
      <c r="C217" s="5" t="s">
        <v>20</v>
      </c>
      <c r="D217" s="5"/>
      <c r="E217" s="6"/>
      <c r="F217" s="5">
        <v>2747002690</v>
      </c>
      <c r="G217" s="7">
        <v>177671068552271</v>
      </c>
      <c r="H217" s="5" t="s">
        <v>224</v>
      </c>
      <c r="I217" s="5" t="s">
        <v>28</v>
      </c>
      <c r="J217" s="5" t="s">
        <v>30</v>
      </c>
      <c r="K217" s="5" t="s">
        <v>23</v>
      </c>
      <c r="L217" s="5" t="s">
        <v>40</v>
      </c>
      <c r="M217" s="5"/>
      <c r="N217" s="5" t="s">
        <v>32</v>
      </c>
      <c r="O217" s="5">
        <v>16</v>
      </c>
      <c r="P217" s="5"/>
      <c r="Q217" s="5"/>
      <c r="R217" s="8">
        <v>1.6782407407407408E-3</v>
      </c>
      <c r="S217" s="8">
        <v>1.5509259259259259E-3</v>
      </c>
      <c r="T217">
        <f>IF(Tabela1[[#This Row],[STATUS_NEGOCIO]]="Enviar E-mail",1,"")</f>
        <v>1</v>
      </c>
      <c r="U217" t="str">
        <f>TEXT(Tabela1[[#This Row],[DATA]],"dd/mm/aaaa")</f>
        <v>20/04/2026</v>
      </c>
    </row>
    <row r="218" spans="1:21" x14ac:dyDescent="0.25">
      <c r="A218" s="4">
        <v>46132.658715277779</v>
      </c>
      <c r="B218" s="5" t="s">
        <v>19</v>
      </c>
      <c r="C218" s="5" t="s">
        <v>27</v>
      </c>
      <c r="D218" s="5"/>
      <c r="E218" s="6"/>
      <c r="F218" s="5">
        <v>1896446522</v>
      </c>
      <c r="G218" s="7">
        <v>177671091252791</v>
      </c>
      <c r="H218" s="5" t="s">
        <v>225</v>
      </c>
      <c r="I218" s="5" t="s">
        <v>28</v>
      </c>
      <c r="J218" s="5" t="s">
        <v>30</v>
      </c>
      <c r="K218" s="5" t="s">
        <v>36</v>
      </c>
      <c r="L218" s="5" t="s">
        <v>36</v>
      </c>
      <c r="M218" s="5"/>
      <c r="N218" s="5" t="s">
        <v>26</v>
      </c>
      <c r="O218" s="5">
        <v>1</v>
      </c>
      <c r="P218" s="5"/>
      <c r="Q218" s="5"/>
      <c r="R218" s="8">
        <v>1.1574074074074073E-5</v>
      </c>
      <c r="S218" s="5" t="s">
        <v>37</v>
      </c>
      <c r="T218" t="str">
        <f>IF(Tabela1[[#This Row],[STATUS_NEGOCIO]]="Enviar E-mail",1,"")</f>
        <v/>
      </c>
      <c r="U218" t="str">
        <f>TEXT(Tabela1[[#This Row],[DATA]],"dd/mm/aaaa")</f>
        <v>20/04/2026</v>
      </c>
    </row>
    <row r="219" spans="1:21" x14ac:dyDescent="0.25">
      <c r="A219" s="4">
        <v>46132.658807870372</v>
      </c>
      <c r="B219" s="5" t="s">
        <v>19</v>
      </c>
      <c r="C219" s="5" t="s">
        <v>20</v>
      </c>
      <c r="D219" s="5"/>
      <c r="E219" s="6"/>
      <c r="F219" s="5">
        <v>2776710361</v>
      </c>
      <c r="G219" s="7">
        <v>177671092152831</v>
      </c>
      <c r="H219" s="5" t="s">
        <v>226</v>
      </c>
      <c r="I219" s="5" t="s">
        <v>28</v>
      </c>
      <c r="J219" s="5" t="s">
        <v>30</v>
      </c>
      <c r="K219" s="5" t="s">
        <v>23</v>
      </c>
      <c r="L219" s="5" t="s">
        <v>31</v>
      </c>
      <c r="M219" s="5"/>
      <c r="N219" s="5" t="s">
        <v>32</v>
      </c>
      <c r="O219" s="5">
        <v>16</v>
      </c>
      <c r="P219" s="5"/>
      <c r="Q219" s="5"/>
      <c r="R219" s="8">
        <v>6.9444444444444444E-5</v>
      </c>
      <c r="S219" s="8">
        <v>2.3148148148148147E-5</v>
      </c>
      <c r="T219" t="str">
        <f>IF(Tabela1[[#This Row],[STATUS_NEGOCIO]]="Enviar E-mail",1,"")</f>
        <v/>
      </c>
      <c r="U219" t="str">
        <f>TEXT(Tabela1[[#This Row],[DATA]],"dd/mm/aaaa")</f>
        <v>20/04/2026</v>
      </c>
    </row>
    <row r="220" spans="1:21" x14ac:dyDescent="0.25">
      <c r="A220" s="4">
        <v>46132.659108796295</v>
      </c>
      <c r="B220" s="5" t="s">
        <v>19</v>
      </c>
      <c r="C220" s="5" t="s">
        <v>20</v>
      </c>
      <c r="D220" s="5"/>
      <c r="E220" s="6"/>
      <c r="F220" s="5">
        <v>1868289782</v>
      </c>
      <c r="G220" s="7">
        <v>177671094652861</v>
      </c>
      <c r="H220" s="5" t="s">
        <v>227</v>
      </c>
      <c r="I220" s="5" t="s">
        <v>28</v>
      </c>
      <c r="J220" s="5" t="s">
        <v>30</v>
      </c>
      <c r="K220" s="5" t="s">
        <v>36</v>
      </c>
      <c r="L220" s="5" t="s">
        <v>36</v>
      </c>
      <c r="M220" s="5"/>
      <c r="N220" s="5" t="s">
        <v>26</v>
      </c>
      <c r="O220" s="5">
        <v>1</v>
      </c>
      <c r="P220" s="5"/>
      <c r="Q220" s="5"/>
      <c r="R220" s="8">
        <v>1.1574074074074073E-5</v>
      </c>
      <c r="S220" s="5" t="s">
        <v>37</v>
      </c>
      <c r="T220" t="str">
        <f>IF(Tabela1[[#This Row],[STATUS_NEGOCIO]]="Enviar E-mail",1,"")</f>
        <v/>
      </c>
      <c r="U220" t="str">
        <f>TEXT(Tabela1[[#This Row],[DATA]],"dd/mm/aaaa")</f>
        <v>20/04/2026</v>
      </c>
    </row>
    <row r="221" spans="1:21" x14ac:dyDescent="0.25">
      <c r="A221" s="4">
        <v>46132.659201388888</v>
      </c>
      <c r="B221" s="5" t="s">
        <v>19</v>
      </c>
      <c r="C221" s="5" t="s">
        <v>20</v>
      </c>
      <c r="D221" s="5"/>
      <c r="E221" s="6"/>
      <c r="F221" s="5">
        <v>1868289791</v>
      </c>
      <c r="G221" s="7">
        <v>177671095552901</v>
      </c>
      <c r="H221" s="5" t="s">
        <v>227</v>
      </c>
      <c r="I221" s="5" t="s">
        <v>28</v>
      </c>
      <c r="J221" s="5" t="s">
        <v>30</v>
      </c>
      <c r="K221" s="5" t="s">
        <v>36</v>
      </c>
      <c r="L221" s="5" t="s">
        <v>36</v>
      </c>
      <c r="M221" s="5"/>
      <c r="N221" s="5" t="s">
        <v>26</v>
      </c>
      <c r="O221" s="5">
        <v>1</v>
      </c>
      <c r="P221" s="5"/>
      <c r="Q221" s="5"/>
      <c r="R221" s="8">
        <v>1.1574074074074073E-5</v>
      </c>
      <c r="S221" s="5" t="s">
        <v>37</v>
      </c>
      <c r="T221" t="str">
        <f>IF(Tabela1[[#This Row],[STATUS_NEGOCIO]]="Enviar E-mail",1,"")</f>
        <v/>
      </c>
      <c r="U221" t="str">
        <f>TEXT(Tabela1[[#This Row],[DATA]],"dd/mm/aaaa")</f>
        <v>20/04/2026</v>
      </c>
    </row>
    <row r="222" spans="1:21" x14ac:dyDescent="0.25">
      <c r="A222" s="4">
        <v>46132.659409722219</v>
      </c>
      <c r="B222" s="5" t="s">
        <v>19</v>
      </c>
      <c r="C222" s="5" t="s">
        <v>27</v>
      </c>
      <c r="D222" s="5"/>
      <c r="E222" s="6"/>
      <c r="F222" s="5">
        <v>1876446582</v>
      </c>
      <c r="G222" s="7">
        <v>177671097252941</v>
      </c>
      <c r="H222" s="5" t="s">
        <v>228</v>
      </c>
      <c r="I222" s="5" t="s">
        <v>28</v>
      </c>
      <c r="J222" s="5" t="s">
        <v>30</v>
      </c>
      <c r="K222" s="5" t="s">
        <v>36</v>
      </c>
      <c r="L222" s="5" t="s">
        <v>36</v>
      </c>
      <c r="M222" s="5"/>
      <c r="N222" s="5" t="s">
        <v>26</v>
      </c>
      <c r="O222" s="5">
        <v>1</v>
      </c>
      <c r="P222" s="5"/>
      <c r="Q222" s="5"/>
      <c r="R222" s="8">
        <v>1.1574074074074073E-5</v>
      </c>
      <c r="S222" s="5" t="s">
        <v>37</v>
      </c>
      <c r="T222" t="str">
        <f>IF(Tabela1[[#This Row],[STATUS_NEGOCIO]]="Enviar E-mail",1,"")</f>
        <v/>
      </c>
      <c r="U222" t="str">
        <f>TEXT(Tabela1[[#This Row],[DATA]],"dd/mm/aaaa")</f>
        <v>20/04/2026</v>
      </c>
    </row>
    <row r="223" spans="1:21" x14ac:dyDescent="0.25">
      <c r="A223" s="4">
        <v>46132.659953703704</v>
      </c>
      <c r="B223" s="5" t="s">
        <v>19</v>
      </c>
      <c r="C223" s="5" t="s">
        <v>27</v>
      </c>
      <c r="D223" s="5"/>
      <c r="E223" s="6"/>
      <c r="F223" s="5">
        <v>2750728200</v>
      </c>
      <c r="G223" s="7">
        <v>177671102052981</v>
      </c>
      <c r="H223" s="5" t="s">
        <v>229</v>
      </c>
      <c r="I223" s="5" t="s">
        <v>28</v>
      </c>
      <c r="J223" s="5" t="s">
        <v>30</v>
      </c>
      <c r="K223" s="5" t="s">
        <v>23</v>
      </c>
      <c r="L223" s="5" t="s">
        <v>31</v>
      </c>
      <c r="M223" s="5"/>
      <c r="N223" s="5" t="s">
        <v>32</v>
      </c>
      <c r="O223" s="5">
        <v>16</v>
      </c>
      <c r="P223" s="5"/>
      <c r="Q223" s="5"/>
      <c r="R223" s="8">
        <v>2.8935185185185184E-4</v>
      </c>
      <c r="S223" s="8">
        <v>1.5046296296296297E-4</v>
      </c>
      <c r="T223" t="str">
        <f>IF(Tabela1[[#This Row],[STATUS_NEGOCIO]]="Enviar E-mail",1,"")</f>
        <v/>
      </c>
      <c r="U223" t="str">
        <f>TEXT(Tabela1[[#This Row],[DATA]],"dd/mm/aaaa")</f>
        <v>20/04/2026</v>
      </c>
    </row>
    <row r="224" spans="1:21" x14ac:dyDescent="0.25">
      <c r="A224" s="4">
        <v>46132.66034722222</v>
      </c>
      <c r="B224" s="5" t="s">
        <v>19</v>
      </c>
      <c r="C224" s="5" t="s">
        <v>20</v>
      </c>
      <c r="D224" s="5"/>
      <c r="E224" s="6"/>
      <c r="F224" s="5">
        <v>2770229392</v>
      </c>
      <c r="G224" s="7">
        <v>177671105453011</v>
      </c>
      <c r="H224" s="5" t="s">
        <v>230</v>
      </c>
      <c r="I224" s="5" t="s">
        <v>28</v>
      </c>
      <c r="J224" s="5" t="s">
        <v>30</v>
      </c>
      <c r="K224" s="5" t="s">
        <v>36</v>
      </c>
      <c r="L224" s="5" t="s">
        <v>36</v>
      </c>
      <c r="M224" s="5"/>
      <c r="N224" s="5" t="s">
        <v>32</v>
      </c>
      <c r="O224" s="5">
        <v>19</v>
      </c>
      <c r="P224" s="5"/>
      <c r="Q224" s="5"/>
      <c r="R224" s="8">
        <v>4.0509259259259258E-4</v>
      </c>
      <c r="S224" s="5" t="s">
        <v>37</v>
      </c>
      <c r="T224" t="str">
        <f>IF(Tabela1[[#This Row],[STATUS_NEGOCIO]]="Enviar E-mail",1,"")</f>
        <v/>
      </c>
      <c r="U224" t="str">
        <f>TEXT(Tabela1[[#This Row],[DATA]],"dd/mm/aaaa")</f>
        <v>20/04/2026</v>
      </c>
    </row>
    <row r="225" spans="1:21" x14ac:dyDescent="0.25">
      <c r="A225" s="4">
        <v>46132.660509259258</v>
      </c>
      <c r="B225" s="5" t="s">
        <v>19</v>
      </c>
      <c r="C225" s="5" t="s">
        <v>27</v>
      </c>
      <c r="D225" s="5"/>
      <c r="E225" s="6"/>
      <c r="F225" s="5">
        <v>2776154122</v>
      </c>
      <c r="G225" s="7">
        <v>177671106853031</v>
      </c>
      <c r="H225" s="5" t="s">
        <v>231</v>
      </c>
      <c r="I225" s="5" t="s">
        <v>28</v>
      </c>
      <c r="J225" s="5" t="s">
        <v>30</v>
      </c>
      <c r="K225" s="5" t="s">
        <v>23</v>
      </c>
      <c r="L225" s="5" t="s">
        <v>31</v>
      </c>
      <c r="M225" s="5"/>
      <c r="N225" s="5" t="s">
        <v>32</v>
      </c>
      <c r="O225" s="5">
        <v>16</v>
      </c>
      <c r="P225" s="5"/>
      <c r="Q225" s="5"/>
      <c r="R225" s="8">
        <v>1.0300925925925926E-3</v>
      </c>
      <c r="S225" s="8">
        <v>6.018518518518519E-4</v>
      </c>
      <c r="T225" t="str">
        <f>IF(Tabela1[[#This Row],[STATUS_NEGOCIO]]="Enviar E-mail",1,"")</f>
        <v/>
      </c>
      <c r="U225" t="str">
        <f>TEXT(Tabela1[[#This Row],[DATA]],"dd/mm/aaaa")</f>
        <v>20/04/2026</v>
      </c>
    </row>
    <row r="226" spans="1:21" x14ac:dyDescent="0.25">
      <c r="A226" s="4">
        <v>46132.660925925928</v>
      </c>
      <c r="B226" s="5" t="s">
        <v>19</v>
      </c>
      <c r="C226" s="5" t="s">
        <v>20</v>
      </c>
      <c r="D226" s="5"/>
      <c r="E226" s="6"/>
      <c r="F226" s="5">
        <v>2768993247</v>
      </c>
      <c r="G226" s="7">
        <v>177671110453061</v>
      </c>
      <c r="H226" s="5" t="s">
        <v>232</v>
      </c>
      <c r="I226" s="5" t="s">
        <v>28</v>
      </c>
      <c r="J226" s="5" t="s">
        <v>30</v>
      </c>
      <c r="K226" s="5" t="s">
        <v>36</v>
      </c>
      <c r="L226" s="5" t="s">
        <v>36</v>
      </c>
      <c r="M226" s="5"/>
      <c r="N226" s="5" t="s">
        <v>32</v>
      </c>
      <c r="O226" s="5">
        <v>19</v>
      </c>
      <c r="P226" s="5"/>
      <c r="Q226" s="5"/>
      <c r="R226" s="8">
        <v>1.8518518518518518E-4</v>
      </c>
      <c r="S226" s="5" t="s">
        <v>37</v>
      </c>
      <c r="T226" t="str">
        <f>IF(Tabela1[[#This Row],[STATUS_NEGOCIO]]="Enviar E-mail",1,"")</f>
        <v/>
      </c>
      <c r="U226" t="str">
        <f>TEXT(Tabela1[[#This Row],[DATA]],"dd/mm/aaaa")</f>
        <v>20/04/2026</v>
      </c>
    </row>
    <row r="227" spans="1:21" x14ac:dyDescent="0.25">
      <c r="A227" s="4">
        <v>46132.66128472222</v>
      </c>
      <c r="B227" s="5" t="s">
        <v>19</v>
      </c>
      <c r="C227" s="5" t="s">
        <v>20</v>
      </c>
      <c r="D227" s="5"/>
      <c r="E227" s="6"/>
      <c r="F227" s="5">
        <v>2774930611</v>
      </c>
      <c r="G227" s="7">
        <v>177671113553151</v>
      </c>
      <c r="H227" s="5" t="s">
        <v>233</v>
      </c>
      <c r="I227" s="5" t="s">
        <v>28</v>
      </c>
      <c r="J227" s="5" t="s">
        <v>30</v>
      </c>
      <c r="K227" s="5" t="s">
        <v>36</v>
      </c>
      <c r="L227" s="5" t="s">
        <v>36</v>
      </c>
      <c r="M227" s="5"/>
      <c r="N227" s="5" t="s">
        <v>32</v>
      </c>
      <c r="O227" s="5">
        <v>19</v>
      </c>
      <c r="P227" s="5"/>
      <c r="Q227" s="5"/>
      <c r="R227" s="8">
        <v>4.6296296296296294E-5</v>
      </c>
      <c r="S227" s="5" t="s">
        <v>37</v>
      </c>
      <c r="T227" t="str">
        <f>IF(Tabela1[[#This Row],[STATUS_NEGOCIO]]="Enviar E-mail",1,"")</f>
        <v/>
      </c>
      <c r="U227" t="str">
        <f>TEXT(Tabela1[[#This Row],[DATA]],"dd/mm/aaaa")</f>
        <v>20/04/2026</v>
      </c>
    </row>
    <row r="228" spans="1:21" x14ac:dyDescent="0.25">
      <c r="A228" s="4">
        <v>46132.661608796298</v>
      </c>
      <c r="B228" s="5" t="s">
        <v>19</v>
      </c>
      <c r="C228" s="5" t="s">
        <v>20</v>
      </c>
      <c r="D228" s="5"/>
      <c r="E228" s="6"/>
      <c r="F228" s="5">
        <v>2768289048</v>
      </c>
      <c r="G228" s="7">
        <v>177671116353271</v>
      </c>
      <c r="H228" s="5" t="s">
        <v>234</v>
      </c>
      <c r="I228" s="5" t="s">
        <v>28</v>
      </c>
      <c r="J228" s="5" t="s">
        <v>30</v>
      </c>
      <c r="K228" s="5" t="s">
        <v>23</v>
      </c>
      <c r="L228" s="5" t="s">
        <v>40</v>
      </c>
      <c r="M228" s="5"/>
      <c r="N228" s="5" t="s">
        <v>32</v>
      </c>
      <c r="O228" s="5">
        <v>16</v>
      </c>
      <c r="P228" s="5"/>
      <c r="Q228" s="5"/>
      <c r="R228" s="8">
        <v>1.9675925925925924E-3</v>
      </c>
      <c r="S228" s="8">
        <v>1.9097222222222222E-3</v>
      </c>
      <c r="T228">
        <f>IF(Tabela1[[#This Row],[STATUS_NEGOCIO]]="Enviar E-mail",1,"")</f>
        <v>1</v>
      </c>
      <c r="U228" t="str">
        <f>TEXT(Tabela1[[#This Row],[DATA]],"dd/mm/aaaa")</f>
        <v>20/04/2026</v>
      </c>
    </row>
    <row r="229" spans="1:21" x14ac:dyDescent="0.25">
      <c r="A229" s="4">
        <v>46132.662361111114</v>
      </c>
      <c r="B229" s="5" t="s">
        <v>19</v>
      </c>
      <c r="C229" s="5" t="s">
        <v>27</v>
      </c>
      <c r="D229" s="5"/>
      <c r="E229" s="6"/>
      <c r="F229" s="5">
        <v>2774952973</v>
      </c>
      <c r="G229" s="7">
        <v>177671122853371</v>
      </c>
      <c r="H229" s="5" t="s">
        <v>235</v>
      </c>
      <c r="I229" s="5" t="s">
        <v>28</v>
      </c>
      <c r="J229" s="5" t="s">
        <v>30</v>
      </c>
      <c r="K229" s="5" t="s">
        <v>23</v>
      </c>
      <c r="L229" s="5" t="s">
        <v>31</v>
      </c>
      <c r="M229" s="5"/>
      <c r="N229" s="5" t="s">
        <v>26</v>
      </c>
      <c r="O229" s="5">
        <v>16</v>
      </c>
      <c r="P229" s="5"/>
      <c r="Q229" s="5"/>
      <c r="R229" s="8">
        <v>5.4398148148148144E-4</v>
      </c>
      <c r="S229" s="8">
        <v>1.1574074074074075E-4</v>
      </c>
      <c r="T229" t="str">
        <f>IF(Tabela1[[#This Row],[STATUS_NEGOCIO]]="Enviar E-mail",1,"")</f>
        <v/>
      </c>
      <c r="U229" t="str">
        <f>TEXT(Tabela1[[#This Row],[DATA]],"dd/mm/aaaa")</f>
        <v>20/04/2026</v>
      </c>
    </row>
    <row r="230" spans="1:21" x14ac:dyDescent="0.25">
      <c r="A230" s="4">
        <v>46132.664270833331</v>
      </c>
      <c r="B230" s="5" t="s">
        <v>19</v>
      </c>
      <c r="C230" s="5" t="s">
        <v>27</v>
      </c>
      <c r="D230" s="5"/>
      <c r="E230" s="6"/>
      <c r="F230" s="5">
        <v>2757842151</v>
      </c>
      <c r="G230" s="7">
        <v>177671139353631</v>
      </c>
      <c r="H230" s="5" t="s">
        <v>236</v>
      </c>
      <c r="I230" s="5" t="s">
        <v>28</v>
      </c>
      <c r="J230" s="5" t="s">
        <v>30</v>
      </c>
      <c r="K230" s="5" t="s">
        <v>23</v>
      </c>
      <c r="L230" s="5" t="s">
        <v>40</v>
      </c>
      <c r="M230" s="5"/>
      <c r="N230" s="5" t="s">
        <v>32</v>
      </c>
      <c r="O230" s="5">
        <v>16</v>
      </c>
      <c r="P230" s="5"/>
      <c r="Q230" s="5"/>
      <c r="R230" s="8">
        <v>2.2685185185185187E-3</v>
      </c>
      <c r="S230" s="8">
        <v>2.1643518518518518E-3</v>
      </c>
      <c r="T230">
        <f>IF(Tabela1[[#This Row],[STATUS_NEGOCIO]]="Enviar E-mail",1,"")</f>
        <v>1</v>
      </c>
      <c r="U230" t="str">
        <f>TEXT(Tabela1[[#This Row],[DATA]],"dd/mm/aaaa")</f>
        <v>20/04/2026</v>
      </c>
    </row>
    <row r="231" spans="1:21" x14ac:dyDescent="0.25">
      <c r="A231" s="4">
        <v>46132.666006944448</v>
      </c>
      <c r="B231" s="5" t="s">
        <v>19</v>
      </c>
      <c r="C231" s="5" t="s">
        <v>20</v>
      </c>
      <c r="D231" s="5"/>
      <c r="E231" s="6"/>
      <c r="F231" s="5">
        <v>1873984953</v>
      </c>
      <c r="G231" s="7">
        <v>177671154153831</v>
      </c>
      <c r="H231" s="5" t="s">
        <v>237</v>
      </c>
      <c r="I231" s="5" t="s">
        <v>28</v>
      </c>
      <c r="J231" s="5" t="s">
        <v>30</v>
      </c>
      <c r="K231" s="5" t="s">
        <v>36</v>
      </c>
      <c r="L231" s="5" t="s">
        <v>36</v>
      </c>
      <c r="M231" s="5"/>
      <c r="N231" s="5" t="s">
        <v>26</v>
      </c>
      <c r="O231" s="5">
        <v>1</v>
      </c>
      <c r="P231" s="5"/>
      <c r="Q231" s="5"/>
      <c r="R231" s="8">
        <v>1.1574074074074073E-5</v>
      </c>
      <c r="S231" s="5" t="s">
        <v>37</v>
      </c>
      <c r="T231" t="str">
        <f>IF(Tabela1[[#This Row],[STATUS_NEGOCIO]]="Enviar E-mail",1,"")</f>
        <v/>
      </c>
      <c r="U231" t="str">
        <f>TEXT(Tabela1[[#This Row],[DATA]],"dd/mm/aaaa")</f>
        <v>20/04/2026</v>
      </c>
    </row>
    <row r="232" spans="1:21" x14ac:dyDescent="0.25">
      <c r="A232" s="4">
        <v>46132.66609953704</v>
      </c>
      <c r="B232" s="5" t="s">
        <v>19</v>
      </c>
      <c r="C232" s="5" t="s">
        <v>20</v>
      </c>
      <c r="D232" s="5"/>
      <c r="E232" s="6"/>
      <c r="F232" s="5">
        <v>2773984965</v>
      </c>
      <c r="G232" s="7">
        <v>177671155153871</v>
      </c>
      <c r="H232" s="5" t="s">
        <v>237</v>
      </c>
      <c r="I232" s="5" t="s">
        <v>28</v>
      </c>
      <c r="J232" s="5" t="s">
        <v>30</v>
      </c>
      <c r="K232" s="5" t="s">
        <v>23</v>
      </c>
      <c r="L232" s="5" t="s">
        <v>44</v>
      </c>
      <c r="M232" s="5"/>
      <c r="N232" s="5" t="s">
        <v>32</v>
      </c>
      <c r="O232" s="5">
        <v>16</v>
      </c>
      <c r="P232" s="5"/>
      <c r="Q232" s="5"/>
      <c r="R232" s="8">
        <v>1.9675925925925926E-4</v>
      </c>
      <c r="S232" s="8">
        <v>2.3148148148148147E-5</v>
      </c>
      <c r="T232" t="str">
        <f>IF(Tabela1[[#This Row],[STATUS_NEGOCIO]]="Enviar E-mail",1,"")</f>
        <v/>
      </c>
      <c r="U232" t="str">
        <f>TEXT(Tabela1[[#This Row],[DATA]],"dd/mm/aaaa")</f>
        <v>20/04/2026</v>
      </c>
    </row>
    <row r="233" spans="1:21" x14ac:dyDescent="0.25">
      <c r="A233" s="4">
        <v>46132.666817129626</v>
      </c>
      <c r="B233" s="5" t="s">
        <v>19</v>
      </c>
      <c r="C233" s="5" t="s">
        <v>20</v>
      </c>
      <c r="D233" s="5"/>
      <c r="E233" s="6"/>
      <c r="F233" s="5">
        <v>1873985025</v>
      </c>
      <c r="G233" s="7">
        <v>177671161353971</v>
      </c>
      <c r="H233" s="5" t="s">
        <v>237</v>
      </c>
      <c r="I233" s="5" t="s">
        <v>28</v>
      </c>
      <c r="J233" s="5" t="s">
        <v>30</v>
      </c>
      <c r="K233" s="5" t="s">
        <v>36</v>
      </c>
      <c r="L233" s="5" t="s">
        <v>36</v>
      </c>
      <c r="M233" s="5"/>
      <c r="N233" s="5" t="s">
        <v>26</v>
      </c>
      <c r="O233" s="5">
        <v>1</v>
      </c>
      <c r="P233" s="5"/>
      <c r="Q233" s="5"/>
      <c r="R233" s="8">
        <v>1.1574074074074073E-5</v>
      </c>
      <c r="S233" s="5" t="s">
        <v>37</v>
      </c>
      <c r="T233" t="str">
        <f>IF(Tabela1[[#This Row],[STATUS_NEGOCIO]]="Enviar E-mail",1,"")</f>
        <v/>
      </c>
      <c r="U233" t="str">
        <f>TEXT(Tabela1[[#This Row],[DATA]],"dd/mm/aaaa")</f>
        <v>20/04/2026</v>
      </c>
    </row>
    <row r="234" spans="1:21" x14ac:dyDescent="0.25">
      <c r="A234" s="4">
        <v>46132.666990740741</v>
      </c>
      <c r="B234" s="5" t="s">
        <v>19</v>
      </c>
      <c r="C234" s="5" t="s">
        <v>27</v>
      </c>
      <c r="D234" s="5"/>
      <c r="E234" s="6"/>
      <c r="F234" s="5">
        <v>2757789906</v>
      </c>
      <c r="G234" s="7">
        <v>177671162854081</v>
      </c>
      <c r="H234" s="5" t="s">
        <v>238</v>
      </c>
      <c r="I234" s="5" t="s">
        <v>28</v>
      </c>
      <c r="J234" s="5" t="s">
        <v>30</v>
      </c>
      <c r="K234" s="5" t="s">
        <v>23</v>
      </c>
      <c r="L234" s="5" t="s">
        <v>31</v>
      </c>
      <c r="M234" s="5"/>
      <c r="N234" s="5" t="s">
        <v>32</v>
      </c>
      <c r="O234" s="5">
        <v>16</v>
      </c>
      <c r="P234" s="5"/>
      <c r="Q234" s="5"/>
      <c r="R234" s="8">
        <v>1.8518518518518518E-4</v>
      </c>
      <c r="S234" s="8">
        <v>6.9444444444444444E-5</v>
      </c>
      <c r="T234" t="str">
        <f>IF(Tabela1[[#This Row],[STATUS_NEGOCIO]]="Enviar E-mail",1,"")</f>
        <v/>
      </c>
      <c r="U234" t="str">
        <f>TEXT(Tabela1[[#This Row],[DATA]],"dd/mm/aaaa")</f>
        <v>20/04/2026</v>
      </c>
    </row>
    <row r="235" spans="1:21" x14ac:dyDescent="0.25">
      <c r="A235" s="4">
        <v>46132.667638888888</v>
      </c>
      <c r="B235" s="5" t="s">
        <v>19</v>
      </c>
      <c r="C235" s="5" t="s">
        <v>27</v>
      </c>
      <c r="D235" s="5"/>
      <c r="E235" s="6"/>
      <c r="F235" s="5">
        <v>2757789962</v>
      </c>
      <c r="G235" s="7">
        <v>177671168454181</v>
      </c>
      <c r="H235" s="5" t="s">
        <v>238</v>
      </c>
      <c r="I235" s="5" t="s">
        <v>28</v>
      </c>
      <c r="J235" s="5" t="s">
        <v>30</v>
      </c>
      <c r="K235" s="5" t="s">
        <v>36</v>
      </c>
      <c r="L235" s="5" t="s">
        <v>36</v>
      </c>
      <c r="M235" s="5"/>
      <c r="N235" s="5" t="s">
        <v>32</v>
      </c>
      <c r="O235" s="5">
        <v>19</v>
      </c>
      <c r="P235" s="5"/>
      <c r="Q235" s="5"/>
      <c r="R235" s="8">
        <v>6.9444444444444444E-5</v>
      </c>
      <c r="S235" s="5" t="s">
        <v>37</v>
      </c>
      <c r="T235" t="str">
        <f>IF(Tabela1[[#This Row],[STATUS_NEGOCIO]]="Enviar E-mail",1,"")</f>
        <v/>
      </c>
      <c r="U235" t="str">
        <f>TEXT(Tabela1[[#This Row],[DATA]],"dd/mm/aaaa")</f>
        <v>20/04/2026</v>
      </c>
    </row>
    <row r="236" spans="1:21" x14ac:dyDescent="0.25">
      <c r="A236" s="4">
        <v>46132.669178240743</v>
      </c>
      <c r="B236" s="5" t="s">
        <v>19</v>
      </c>
      <c r="C236" s="5" t="s">
        <v>20</v>
      </c>
      <c r="D236" s="5"/>
      <c r="E236" s="6"/>
      <c r="F236" s="5">
        <v>2775513022</v>
      </c>
      <c r="G236" s="7">
        <v>177671181754671</v>
      </c>
      <c r="H236" s="5" t="s">
        <v>239</v>
      </c>
      <c r="I236" s="5" t="s">
        <v>28</v>
      </c>
      <c r="J236" s="5" t="s">
        <v>30</v>
      </c>
      <c r="K236" s="5" t="s">
        <v>36</v>
      </c>
      <c r="L236" s="5" t="s">
        <v>36</v>
      </c>
      <c r="M236" s="5"/>
      <c r="N236" s="5" t="s">
        <v>32</v>
      </c>
      <c r="O236" s="5">
        <v>19</v>
      </c>
      <c r="P236" s="5"/>
      <c r="Q236" s="5"/>
      <c r="R236" s="8">
        <v>1.273148148148148E-4</v>
      </c>
      <c r="S236" s="5" t="s">
        <v>37</v>
      </c>
      <c r="T236" t="str">
        <f>IF(Tabela1[[#This Row],[STATUS_NEGOCIO]]="Enviar E-mail",1,"")</f>
        <v/>
      </c>
      <c r="U236" t="str">
        <f>TEXT(Tabela1[[#This Row],[DATA]],"dd/mm/aaaa")</f>
        <v>20/04/2026</v>
      </c>
    </row>
    <row r="237" spans="1:21" x14ac:dyDescent="0.25">
      <c r="A237" s="4">
        <v>46132.669583333336</v>
      </c>
      <c r="B237" s="5" t="s">
        <v>19</v>
      </c>
      <c r="C237" s="5" t="s">
        <v>20</v>
      </c>
      <c r="D237" s="5"/>
      <c r="E237" s="6"/>
      <c r="F237" s="5">
        <v>2775595754</v>
      </c>
      <c r="G237" s="7">
        <v>177671185254701</v>
      </c>
      <c r="H237" s="5" t="s">
        <v>240</v>
      </c>
      <c r="I237" s="5" t="s">
        <v>28</v>
      </c>
      <c r="J237" s="5" t="s">
        <v>30</v>
      </c>
      <c r="K237" s="5" t="s">
        <v>23</v>
      </c>
      <c r="L237" s="5" t="s">
        <v>44</v>
      </c>
      <c r="M237" s="5"/>
      <c r="N237" s="5" t="s">
        <v>32</v>
      </c>
      <c r="O237" s="5">
        <v>16</v>
      </c>
      <c r="P237" s="5"/>
      <c r="Q237" s="5"/>
      <c r="R237" s="8">
        <v>3.4722222222222224E-4</v>
      </c>
      <c r="S237" s="5" t="s">
        <v>37</v>
      </c>
      <c r="T237" t="str">
        <f>IF(Tabela1[[#This Row],[STATUS_NEGOCIO]]="Enviar E-mail",1,"")</f>
        <v/>
      </c>
      <c r="U237" t="str">
        <f>TEXT(Tabela1[[#This Row],[DATA]],"dd/mm/aaaa")</f>
        <v>20/04/2026</v>
      </c>
    </row>
    <row r="238" spans="1:21" x14ac:dyDescent="0.25">
      <c r="A238" s="4">
        <v>46132.669930555552</v>
      </c>
      <c r="B238" s="5" t="s">
        <v>19</v>
      </c>
      <c r="C238" s="5" t="s">
        <v>27</v>
      </c>
      <c r="D238" s="5" t="s">
        <v>241</v>
      </c>
      <c r="E238" s="6">
        <v>26295622000188</v>
      </c>
      <c r="F238" s="5">
        <v>6</v>
      </c>
      <c r="G238" s="7">
        <v>177671188254781</v>
      </c>
      <c r="H238" s="5" t="s">
        <v>63</v>
      </c>
      <c r="I238" s="5">
        <v>3003</v>
      </c>
      <c r="J238" s="5" t="s">
        <v>22</v>
      </c>
      <c r="K238" s="5" t="s">
        <v>23</v>
      </c>
      <c r="L238" s="5" t="s">
        <v>31</v>
      </c>
      <c r="M238" s="5" t="s">
        <v>25</v>
      </c>
      <c r="N238" s="5" t="s">
        <v>26</v>
      </c>
      <c r="O238" s="5">
        <v>16</v>
      </c>
      <c r="P238" s="5"/>
      <c r="Q238" s="5"/>
      <c r="R238" s="8">
        <v>4.6296296296296294E-5</v>
      </c>
      <c r="S238" s="8">
        <v>2.3148148148148147E-5</v>
      </c>
      <c r="T238" t="str">
        <f>IF(Tabela1[[#This Row],[STATUS_NEGOCIO]]="Enviar E-mail",1,"")</f>
        <v/>
      </c>
      <c r="U238" t="str">
        <f>TEXT(Tabela1[[#This Row],[DATA]],"dd/mm/aaaa")</f>
        <v>20/04/2026</v>
      </c>
    </row>
    <row r="239" spans="1:21" x14ac:dyDescent="0.25">
      <c r="A239" s="4">
        <v>46132.670358796298</v>
      </c>
      <c r="B239" s="5" t="s">
        <v>19</v>
      </c>
      <c r="C239" s="5" t="s">
        <v>20</v>
      </c>
      <c r="D239" s="5"/>
      <c r="E239" s="6"/>
      <c r="F239" s="5">
        <v>2769636711</v>
      </c>
      <c r="G239" s="7">
        <v>177671191954901</v>
      </c>
      <c r="H239" s="5" t="s">
        <v>242</v>
      </c>
      <c r="I239" s="5" t="s">
        <v>28</v>
      </c>
      <c r="J239" s="5" t="s">
        <v>30</v>
      </c>
      <c r="K239" s="5" t="s">
        <v>36</v>
      </c>
      <c r="L239" s="5" t="s">
        <v>36</v>
      </c>
      <c r="M239" s="5"/>
      <c r="N239" s="5" t="s">
        <v>32</v>
      </c>
      <c r="O239" s="5">
        <v>19</v>
      </c>
      <c r="P239" s="5"/>
      <c r="Q239" s="5"/>
      <c r="R239" s="8">
        <v>3.7037037037037035E-4</v>
      </c>
      <c r="S239" s="5" t="s">
        <v>37</v>
      </c>
      <c r="T239" t="str">
        <f>IF(Tabela1[[#This Row],[STATUS_NEGOCIO]]="Enviar E-mail",1,"")</f>
        <v/>
      </c>
      <c r="U239" t="str">
        <f>TEXT(Tabela1[[#This Row],[DATA]],"dd/mm/aaaa")</f>
        <v>20/04/2026</v>
      </c>
    </row>
    <row r="240" spans="1:21" x14ac:dyDescent="0.25">
      <c r="A240" s="4">
        <v>46132.670393518521</v>
      </c>
      <c r="B240" s="5" t="s">
        <v>19</v>
      </c>
      <c r="C240" s="5" t="s">
        <v>27</v>
      </c>
      <c r="D240" s="5"/>
      <c r="E240" s="6"/>
      <c r="F240" s="5">
        <v>2770551270</v>
      </c>
      <c r="G240" s="7">
        <v>177671192254921</v>
      </c>
      <c r="H240" s="5" t="s">
        <v>243</v>
      </c>
      <c r="I240" s="5" t="s">
        <v>28</v>
      </c>
      <c r="J240" s="5" t="s">
        <v>30</v>
      </c>
      <c r="K240" s="5" t="s">
        <v>23</v>
      </c>
      <c r="L240" s="5" t="s">
        <v>40</v>
      </c>
      <c r="M240" s="5"/>
      <c r="N240" s="5" t="s">
        <v>26</v>
      </c>
      <c r="O240" s="5">
        <v>16</v>
      </c>
      <c r="P240" s="5"/>
      <c r="Q240" s="5"/>
      <c r="R240" s="8">
        <v>2.0601851851851853E-3</v>
      </c>
      <c r="S240" s="8">
        <v>1.9675925925925924E-3</v>
      </c>
      <c r="T240">
        <f>IF(Tabela1[[#This Row],[STATUS_NEGOCIO]]="Enviar E-mail",1,"")</f>
        <v>1</v>
      </c>
      <c r="U240" t="str">
        <f>TEXT(Tabela1[[#This Row],[DATA]],"dd/mm/aaaa")</f>
        <v>20/04/2026</v>
      </c>
    </row>
    <row r="241" spans="1:21" x14ac:dyDescent="0.25">
      <c r="A241" s="4">
        <v>46132.670868055553</v>
      </c>
      <c r="B241" s="5" t="s">
        <v>19</v>
      </c>
      <c r="C241" s="5" t="s">
        <v>20</v>
      </c>
      <c r="D241" s="5"/>
      <c r="E241" s="6"/>
      <c r="F241" s="5">
        <v>2741484781</v>
      </c>
      <c r="G241" s="7">
        <v>177671196355101</v>
      </c>
      <c r="H241" s="5" t="s">
        <v>244</v>
      </c>
      <c r="I241" s="5" t="s">
        <v>28</v>
      </c>
      <c r="J241" s="5" t="s">
        <v>30</v>
      </c>
      <c r="K241" s="5" t="s">
        <v>23</v>
      </c>
      <c r="L241" s="5" t="s">
        <v>44</v>
      </c>
      <c r="M241" s="5"/>
      <c r="N241" s="5" t="s">
        <v>32</v>
      </c>
      <c r="O241" s="5">
        <v>16</v>
      </c>
      <c r="P241" s="5"/>
      <c r="Q241" s="5"/>
      <c r="R241" s="8">
        <v>3.3564814814814812E-4</v>
      </c>
      <c r="S241" s="8">
        <v>4.6296296296296294E-5</v>
      </c>
      <c r="T241" t="str">
        <f>IF(Tabela1[[#This Row],[STATUS_NEGOCIO]]="Enviar E-mail",1,"")</f>
        <v/>
      </c>
      <c r="U241" t="str">
        <f>TEXT(Tabela1[[#This Row],[DATA]],"dd/mm/aaaa")</f>
        <v>20/04/2026</v>
      </c>
    </row>
    <row r="242" spans="1:21" x14ac:dyDescent="0.25">
      <c r="A242" s="4">
        <v>46132.671886574077</v>
      </c>
      <c r="B242" s="5" t="s">
        <v>19</v>
      </c>
      <c r="C242" s="5" t="s">
        <v>20</v>
      </c>
      <c r="D242" s="5"/>
      <c r="E242" s="6"/>
      <c r="F242" s="5">
        <v>2757193170</v>
      </c>
      <c r="G242" s="7">
        <v>177671205155261</v>
      </c>
      <c r="H242" s="5" t="s">
        <v>245</v>
      </c>
      <c r="I242" s="5" t="s">
        <v>28</v>
      </c>
      <c r="J242" s="5" t="s">
        <v>30</v>
      </c>
      <c r="K242" s="5" t="s">
        <v>36</v>
      </c>
      <c r="L242" s="5" t="s">
        <v>36</v>
      </c>
      <c r="M242" s="5"/>
      <c r="N242" s="5" t="s">
        <v>32</v>
      </c>
      <c r="O242" s="5">
        <v>19</v>
      </c>
      <c r="P242" s="5"/>
      <c r="Q242" s="5"/>
      <c r="R242" s="8">
        <v>4.1666666666666669E-4</v>
      </c>
      <c r="S242" s="5" t="s">
        <v>37</v>
      </c>
      <c r="T242" t="str">
        <f>IF(Tabela1[[#This Row],[STATUS_NEGOCIO]]="Enviar E-mail",1,"")</f>
        <v/>
      </c>
      <c r="U242" t="str">
        <f>TEXT(Tabela1[[#This Row],[DATA]],"dd/mm/aaaa")</f>
        <v>20/04/2026</v>
      </c>
    </row>
    <row r="243" spans="1:21" x14ac:dyDescent="0.25">
      <c r="A243" s="4">
        <v>46132.672546296293</v>
      </c>
      <c r="B243" s="5" t="s">
        <v>19</v>
      </c>
      <c r="C243" s="5" t="s">
        <v>20</v>
      </c>
      <c r="D243" s="5"/>
      <c r="E243" s="6"/>
      <c r="F243" s="5">
        <v>2775038717</v>
      </c>
      <c r="G243" s="7">
        <v>177671210855451</v>
      </c>
      <c r="H243" s="5" t="s">
        <v>142</v>
      </c>
      <c r="I243" s="5" t="s">
        <v>28</v>
      </c>
      <c r="J243" s="5" t="s">
        <v>30</v>
      </c>
      <c r="K243" s="5" t="s">
        <v>36</v>
      </c>
      <c r="L243" s="5" t="s">
        <v>36</v>
      </c>
      <c r="M243" s="5"/>
      <c r="N243" s="5" t="s">
        <v>32</v>
      </c>
      <c r="O243" s="5">
        <v>19</v>
      </c>
      <c r="P243" s="5"/>
      <c r="Q243" s="5"/>
      <c r="R243" s="8">
        <v>4.0509259259259258E-4</v>
      </c>
      <c r="S243" s="5" t="s">
        <v>37</v>
      </c>
      <c r="T243" t="str">
        <f>IF(Tabela1[[#This Row],[STATUS_NEGOCIO]]="Enviar E-mail",1,"")</f>
        <v/>
      </c>
      <c r="U243" t="str">
        <f>TEXT(Tabela1[[#This Row],[DATA]],"dd/mm/aaaa")</f>
        <v>20/04/2026</v>
      </c>
    </row>
    <row r="244" spans="1:21" x14ac:dyDescent="0.25">
      <c r="A244" s="4">
        <v>46132.673171296294</v>
      </c>
      <c r="B244" s="5" t="s">
        <v>19</v>
      </c>
      <c r="C244" s="5" t="s">
        <v>20</v>
      </c>
      <c r="D244" s="5"/>
      <c r="E244" s="6"/>
      <c r="F244" s="5">
        <v>2757564453</v>
      </c>
      <c r="G244" s="7">
        <v>177671216255641</v>
      </c>
      <c r="H244" s="5" t="s">
        <v>246</v>
      </c>
      <c r="I244" s="5" t="s">
        <v>28</v>
      </c>
      <c r="J244" s="5" t="s">
        <v>30</v>
      </c>
      <c r="K244" s="5" t="s">
        <v>23</v>
      </c>
      <c r="L244" s="5" t="s">
        <v>31</v>
      </c>
      <c r="M244" s="5"/>
      <c r="N244" s="5" t="s">
        <v>32</v>
      </c>
      <c r="O244" s="5">
        <v>16</v>
      </c>
      <c r="P244" s="5"/>
      <c r="Q244" s="5"/>
      <c r="R244" s="8">
        <v>6.9444444444444444E-5</v>
      </c>
      <c r="S244" s="8">
        <v>2.3148148148148147E-5</v>
      </c>
      <c r="T244" t="str">
        <f>IF(Tabela1[[#This Row],[STATUS_NEGOCIO]]="Enviar E-mail",1,"")</f>
        <v/>
      </c>
      <c r="U244" t="str">
        <f>TEXT(Tabela1[[#This Row],[DATA]],"dd/mm/aaaa")</f>
        <v>20/04/2026</v>
      </c>
    </row>
    <row r="245" spans="1:21" x14ac:dyDescent="0.25">
      <c r="A245" s="4">
        <v>46132.674166666664</v>
      </c>
      <c r="B245" s="5" t="s">
        <v>19</v>
      </c>
      <c r="C245" s="5" t="s">
        <v>27</v>
      </c>
      <c r="D245" s="5"/>
      <c r="E245" s="6"/>
      <c r="F245" s="5">
        <v>2764995204</v>
      </c>
      <c r="G245" s="7">
        <v>177671224855711</v>
      </c>
      <c r="H245" s="5" t="s">
        <v>247</v>
      </c>
      <c r="I245" s="5" t="s">
        <v>28</v>
      </c>
      <c r="J245" s="5" t="s">
        <v>30</v>
      </c>
      <c r="K245" s="5" t="s">
        <v>23</v>
      </c>
      <c r="L245" s="5" t="s">
        <v>40</v>
      </c>
      <c r="M245" s="5"/>
      <c r="N245" s="5" t="s">
        <v>26</v>
      </c>
      <c r="O245" s="5">
        <v>16</v>
      </c>
      <c r="P245" s="5"/>
      <c r="Q245" s="5"/>
      <c r="R245" s="8">
        <v>2.0370370370370369E-3</v>
      </c>
      <c r="S245" s="8">
        <v>1.9212962962962964E-3</v>
      </c>
      <c r="T245">
        <f>IF(Tabela1[[#This Row],[STATUS_NEGOCIO]]="Enviar E-mail",1,"")</f>
        <v>1</v>
      </c>
      <c r="U245" t="str">
        <f>TEXT(Tabela1[[#This Row],[DATA]],"dd/mm/aaaa")</f>
        <v>20/04/2026</v>
      </c>
    </row>
    <row r="246" spans="1:21" x14ac:dyDescent="0.25">
      <c r="A246" s="4">
        <v>46132.675185185188</v>
      </c>
      <c r="B246" s="5" t="s">
        <v>19</v>
      </c>
      <c r="C246" s="5" t="s">
        <v>20</v>
      </c>
      <c r="D246" s="5"/>
      <c r="E246" s="6"/>
      <c r="F246" s="5">
        <v>2775872455</v>
      </c>
      <c r="G246" s="7">
        <v>177671233655731</v>
      </c>
      <c r="H246" s="5" t="s">
        <v>248</v>
      </c>
      <c r="I246" s="5" t="s">
        <v>28</v>
      </c>
      <c r="J246" s="5" t="s">
        <v>30</v>
      </c>
      <c r="K246" s="5" t="s">
        <v>23</v>
      </c>
      <c r="L246" s="5" t="s">
        <v>40</v>
      </c>
      <c r="M246" s="5"/>
      <c r="N246" s="5" t="s">
        <v>32</v>
      </c>
      <c r="O246" s="5">
        <v>16</v>
      </c>
      <c r="P246" s="5"/>
      <c r="Q246" s="5"/>
      <c r="R246" s="8">
        <v>3.5416666666666665E-3</v>
      </c>
      <c r="S246" s="8">
        <v>3.449074074074074E-3</v>
      </c>
      <c r="T246">
        <f>IF(Tabela1[[#This Row],[STATUS_NEGOCIO]]="Enviar E-mail",1,"")</f>
        <v>1</v>
      </c>
      <c r="U246" t="str">
        <f>TEXT(Tabela1[[#This Row],[DATA]],"dd/mm/aaaa")</f>
        <v>20/04/2026</v>
      </c>
    </row>
    <row r="247" spans="1:21" x14ac:dyDescent="0.25">
      <c r="A247" s="4">
        <v>46132.678032407406</v>
      </c>
      <c r="B247" s="5" t="s">
        <v>19</v>
      </c>
      <c r="C247" s="5" t="s">
        <v>27</v>
      </c>
      <c r="D247" s="5"/>
      <c r="E247" s="6"/>
      <c r="F247" s="5">
        <v>2741719103</v>
      </c>
      <c r="G247" s="7">
        <v>177671258256051</v>
      </c>
      <c r="H247" s="5" t="s">
        <v>249</v>
      </c>
      <c r="I247" s="5" t="s">
        <v>28</v>
      </c>
      <c r="J247" s="5" t="s">
        <v>30</v>
      </c>
      <c r="K247" s="5" t="s">
        <v>23</v>
      </c>
      <c r="L247" s="5" t="s">
        <v>31</v>
      </c>
      <c r="M247" s="5"/>
      <c r="N247" s="5" t="s">
        <v>26</v>
      </c>
      <c r="O247" s="5">
        <v>16</v>
      </c>
      <c r="P247" s="5"/>
      <c r="Q247" s="5"/>
      <c r="R247" s="8">
        <v>1.9675925925925926E-4</v>
      </c>
      <c r="S247" s="8">
        <v>1.273148148148148E-4</v>
      </c>
      <c r="T247" t="str">
        <f>IF(Tabela1[[#This Row],[STATUS_NEGOCIO]]="Enviar E-mail",1,"")</f>
        <v/>
      </c>
      <c r="U247" t="str">
        <f>TEXT(Tabela1[[#This Row],[DATA]],"dd/mm/aaaa")</f>
        <v>20/04/2026</v>
      </c>
    </row>
    <row r="248" spans="1:21" x14ac:dyDescent="0.25">
      <c r="A248" s="4">
        <v>46132.678738425922</v>
      </c>
      <c r="B248" s="5" t="s">
        <v>19</v>
      </c>
      <c r="C248" s="5" t="s">
        <v>27</v>
      </c>
      <c r="D248" s="5">
        <v>64078000170</v>
      </c>
      <c r="E248" s="6">
        <v>64078000170</v>
      </c>
      <c r="F248" s="5">
        <v>652</v>
      </c>
      <c r="G248" s="7">
        <v>177671264356121</v>
      </c>
      <c r="H248" s="5" t="s">
        <v>125</v>
      </c>
      <c r="I248" s="5">
        <v>3003</v>
      </c>
      <c r="J248" s="5" t="s">
        <v>22</v>
      </c>
      <c r="K248" s="5" t="s">
        <v>23</v>
      </c>
      <c r="L248" s="5" t="s">
        <v>31</v>
      </c>
      <c r="M248" s="5" t="s">
        <v>250</v>
      </c>
      <c r="N248" s="5" t="s">
        <v>32</v>
      </c>
      <c r="O248" s="5">
        <v>16</v>
      </c>
      <c r="P248" s="5"/>
      <c r="Q248" s="5"/>
      <c r="R248" s="8">
        <v>2.0833333333333335E-4</v>
      </c>
      <c r="S248" s="8">
        <v>1.8518518518518518E-4</v>
      </c>
      <c r="T248" t="str">
        <f>IF(Tabela1[[#This Row],[STATUS_NEGOCIO]]="Enviar E-mail",1,"")</f>
        <v/>
      </c>
      <c r="U248" t="str">
        <f>TEXT(Tabela1[[#This Row],[DATA]],"dd/mm/aaaa")</f>
        <v>20/04/2026</v>
      </c>
    </row>
    <row r="249" spans="1:21" x14ac:dyDescent="0.25">
      <c r="A249" s="4">
        <v>46132.678969907407</v>
      </c>
      <c r="B249" s="5" t="s">
        <v>19</v>
      </c>
      <c r="C249" s="5" t="s">
        <v>27</v>
      </c>
      <c r="D249" s="5">
        <v>94869000142</v>
      </c>
      <c r="E249" s="6">
        <v>94869000142</v>
      </c>
      <c r="F249" s="5">
        <v>653</v>
      </c>
      <c r="G249" s="7">
        <v>177671266356161</v>
      </c>
      <c r="H249" s="5" t="s">
        <v>251</v>
      </c>
      <c r="I249" s="5">
        <v>3003</v>
      </c>
      <c r="J249" s="5" t="s">
        <v>22</v>
      </c>
      <c r="K249" s="5" t="s">
        <v>23</v>
      </c>
      <c r="L249" s="5" t="s">
        <v>31</v>
      </c>
      <c r="M249" s="5" t="s">
        <v>250</v>
      </c>
      <c r="N249" s="5" t="s">
        <v>26</v>
      </c>
      <c r="O249" s="5">
        <v>16</v>
      </c>
      <c r="P249" s="5"/>
      <c r="Q249" s="5"/>
      <c r="R249" s="8">
        <v>1.273148148148148E-4</v>
      </c>
      <c r="S249" s="8">
        <v>1.0416666666666667E-4</v>
      </c>
      <c r="T249" t="str">
        <f>IF(Tabela1[[#This Row],[STATUS_NEGOCIO]]="Enviar E-mail",1,"")</f>
        <v/>
      </c>
      <c r="U249" t="str">
        <f>TEXT(Tabela1[[#This Row],[DATA]],"dd/mm/aaaa")</f>
        <v>20/04/2026</v>
      </c>
    </row>
    <row r="250" spans="1:21" x14ac:dyDescent="0.25">
      <c r="A250" s="4">
        <v>46132.67931712963</v>
      </c>
      <c r="B250" s="5" t="s">
        <v>19</v>
      </c>
      <c r="C250" s="5" t="s">
        <v>20</v>
      </c>
      <c r="D250" s="5">
        <v>117961000180</v>
      </c>
      <c r="E250" s="6">
        <v>117961000180</v>
      </c>
      <c r="F250" s="5">
        <v>654</v>
      </c>
      <c r="G250" s="7">
        <v>177671269356211</v>
      </c>
      <c r="H250" s="5" t="s">
        <v>252</v>
      </c>
      <c r="I250" s="5">
        <v>3003</v>
      </c>
      <c r="J250" s="5" t="s">
        <v>22</v>
      </c>
      <c r="K250" s="5" t="s">
        <v>23</v>
      </c>
      <c r="L250" s="5" t="s">
        <v>44</v>
      </c>
      <c r="M250" s="5" t="s">
        <v>250</v>
      </c>
      <c r="N250" s="5" t="s">
        <v>32</v>
      </c>
      <c r="O250" s="5">
        <v>16</v>
      </c>
      <c r="P250" s="5"/>
      <c r="Q250" s="5"/>
      <c r="R250" s="8">
        <v>1.1574074074074075E-4</v>
      </c>
      <c r="S250" s="8">
        <v>1.0416666666666667E-4</v>
      </c>
      <c r="T250" t="str">
        <f>IF(Tabela1[[#This Row],[STATUS_NEGOCIO]]="Enviar E-mail",1,"")</f>
        <v/>
      </c>
      <c r="U250" t="str">
        <f>TEXT(Tabela1[[#This Row],[DATA]],"dd/mm/aaaa")</f>
        <v>20/04/2026</v>
      </c>
    </row>
    <row r="251" spans="1:21" x14ac:dyDescent="0.25">
      <c r="A251" s="4">
        <v>46132.679467592592</v>
      </c>
      <c r="B251" s="5" t="s">
        <v>19</v>
      </c>
      <c r="C251" s="5" t="s">
        <v>20</v>
      </c>
      <c r="D251" s="5">
        <v>175438000100</v>
      </c>
      <c r="E251" s="6">
        <v>175438000100</v>
      </c>
      <c r="F251" s="5">
        <v>655</v>
      </c>
      <c r="G251" s="7">
        <v>177671270656281</v>
      </c>
      <c r="H251" s="5" t="s">
        <v>253</v>
      </c>
      <c r="I251" s="5">
        <v>3003</v>
      </c>
      <c r="J251" s="5" t="s">
        <v>22</v>
      </c>
      <c r="K251" s="5" t="s">
        <v>23</v>
      </c>
      <c r="L251" s="5" t="s">
        <v>44</v>
      </c>
      <c r="M251" s="5" t="s">
        <v>250</v>
      </c>
      <c r="N251" s="5" t="s">
        <v>32</v>
      </c>
      <c r="O251" s="5">
        <v>16</v>
      </c>
      <c r="P251" s="5"/>
      <c r="Q251" s="5"/>
      <c r="R251" s="8">
        <v>8.1018518518518516E-5</v>
      </c>
      <c r="S251" s="8">
        <v>5.7870370370370373E-5</v>
      </c>
      <c r="T251" t="str">
        <f>IF(Tabela1[[#This Row],[STATUS_NEGOCIO]]="Enviar E-mail",1,"")</f>
        <v/>
      </c>
      <c r="U251" t="str">
        <f>TEXT(Tabela1[[#This Row],[DATA]],"dd/mm/aaaa")</f>
        <v>20/04/2026</v>
      </c>
    </row>
    <row r="252" spans="1:21" x14ac:dyDescent="0.25">
      <c r="A252" s="4">
        <v>46132.679490740738</v>
      </c>
      <c r="B252" s="5" t="s">
        <v>19</v>
      </c>
      <c r="C252" s="5" t="s">
        <v>27</v>
      </c>
      <c r="D252" s="5"/>
      <c r="E252" s="6"/>
      <c r="F252" s="5">
        <v>2775038167</v>
      </c>
      <c r="G252" s="7">
        <v>177671270856301</v>
      </c>
      <c r="H252" s="5" t="s">
        <v>254</v>
      </c>
      <c r="I252" s="5" t="s">
        <v>28</v>
      </c>
      <c r="J252" s="5" t="s">
        <v>30</v>
      </c>
      <c r="K252" s="5" t="s">
        <v>23</v>
      </c>
      <c r="L252" s="5" t="s">
        <v>31</v>
      </c>
      <c r="M252" s="5"/>
      <c r="N252" s="5" t="s">
        <v>26</v>
      </c>
      <c r="O252" s="5">
        <v>16</v>
      </c>
      <c r="P252" s="5"/>
      <c r="Q252" s="5"/>
      <c r="R252" s="8">
        <v>3.8194444444444446E-4</v>
      </c>
      <c r="S252" s="8">
        <v>3.4722222222222222E-5</v>
      </c>
      <c r="T252" t="str">
        <f>IF(Tabela1[[#This Row],[STATUS_NEGOCIO]]="Enviar E-mail",1,"")</f>
        <v/>
      </c>
      <c r="U252" t="str">
        <f>TEXT(Tabela1[[#This Row],[DATA]],"dd/mm/aaaa")</f>
        <v>20/04/2026</v>
      </c>
    </row>
    <row r="253" spans="1:21" x14ac:dyDescent="0.25">
      <c r="A253" s="4">
        <v>46132.679872685185</v>
      </c>
      <c r="B253" s="5" t="s">
        <v>19</v>
      </c>
      <c r="C253" s="5" t="s">
        <v>20</v>
      </c>
      <c r="D253" s="5">
        <v>255310000157</v>
      </c>
      <c r="E253" s="6">
        <v>255310000157</v>
      </c>
      <c r="F253" s="5">
        <v>656</v>
      </c>
      <c r="G253" s="7">
        <v>177671274156341</v>
      </c>
      <c r="H253" s="5" t="s">
        <v>109</v>
      </c>
      <c r="I253" s="5">
        <v>3003</v>
      </c>
      <c r="J253" s="5" t="s">
        <v>22</v>
      </c>
      <c r="K253" s="5" t="s">
        <v>23</v>
      </c>
      <c r="L253" s="5" t="s">
        <v>31</v>
      </c>
      <c r="M253" s="5" t="s">
        <v>250</v>
      </c>
      <c r="N253" s="5" t="s">
        <v>26</v>
      </c>
      <c r="O253" s="5">
        <v>16</v>
      </c>
      <c r="P253" s="5"/>
      <c r="Q253" s="5"/>
      <c r="R253" s="8">
        <v>1.0416666666666667E-4</v>
      </c>
      <c r="S253" s="8">
        <v>6.9444444444444444E-5</v>
      </c>
      <c r="T253" t="str">
        <f>IF(Tabela1[[#This Row],[STATUS_NEGOCIO]]="Enviar E-mail",1,"")</f>
        <v/>
      </c>
      <c r="U253" t="str">
        <f>TEXT(Tabela1[[#This Row],[DATA]],"dd/mm/aaaa")</f>
        <v>20/04/2026</v>
      </c>
    </row>
    <row r="254" spans="1:21" x14ac:dyDescent="0.25">
      <c r="A254" s="4">
        <v>46132.680092592593</v>
      </c>
      <c r="B254" s="5" t="s">
        <v>19</v>
      </c>
      <c r="C254" s="5" t="s">
        <v>27</v>
      </c>
      <c r="D254" s="5"/>
      <c r="E254" s="6"/>
      <c r="F254" s="5">
        <v>2758167225</v>
      </c>
      <c r="G254" s="7">
        <v>177671276056361</v>
      </c>
      <c r="H254" s="5" t="s">
        <v>255</v>
      </c>
      <c r="I254" s="5" t="s">
        <v>28</v>
      </c>
      <c r="J254" s="5" t="s">
        <v>30</v>
      </c>
      <c r="K254" s="5" t="s">
        <v>23</v>
      </c>
      <c r="L254" s="5" t="s">
        <v>31</v>
      </c>
      <c r="M254" s="5"/>
      <c r="N254" s="5" t="s">
        <v>26</v>
      </c>
      <c r="O254" s="5">
        <v>16</v>
      </c>
      <c r="P254" s="5"/>
      <c r="Q254" s="5"/>
      <c r="R254" s="8">
        <v>1.7361111111111112E-4</v>
      </c>
      <c r="S254" s="8">
        <v>1.1574074074074075E-4</v>
      </c>
      <c r="T254" t="str">
        <f>IF(Tabela1[[#This Row],[STATUS_NEGOCIO]]="Enviar E-mail",1,"")</f>
        <v/>
      </c>
      <c r="U254" t="str">
        <f>TEXT(Tabela1[[#This Row],[DATA]],"dd/mm/aaaa")</f>
        <v>20/04/2026</v>
      </c>
    </row>
    <row r="255" spans="1:21" x14ac:dyDescent="0.25">
      <c r="A255" s="4">
        <v>46132.680405092593</v>
      </c>
      <c r="B255" s="5" t="s">
        <v>19</v>
      </c>
      <c r="C255" s="5" t="s">
        <v>27</v>
      </c>
      <c r="D255" s="5">
        <v>350204000152</v>
      </c>
      <c r="E255" s="6">
        <v>350204000152</v>
      </c>
      <c r="F255" s="5">
        <v>657</v>
      </c>
      <c r="G255" s="7">
        <v>177671278756401</v>
      </c>
      <c r="H255" s="5" t="s">
        <v>178</v>
      </c>
      <c r="I255" s="5">
        <v>3003</v>
      </c>
      <c r="J255" s="5" t="s">
        <v>22</v>
      </c>
      <c r="K255" s="5" t="s">
        <v>23</v>
      </c>
      <c r="L255" s="5" t="s">
        <v>31</v>
      </c>
      <c r="M255" s="5" t="s">
        <v>250</v>
      </c>
      <c r="N255" s="5" t="s">
        <v>26</v>
      </c>
      <c r="O255" s="5">
        <v>16</v>
      </c>
      <c r="P255" s="5"/>
      <c r="Q255" s="5"/>
      <c r="R255" s="8">
        <v>4.6296296296296298E-4</v>
      </c>
      <c r="S255" s="8">
        <v>4.5138888888888887E-4</v>
      </c>
      <c r="T255" t="str">
        <f>IF(Tabela1[[#This Row],[STATUS_NEGOCIO]]="Enviar E-mail",1,"")</f>
        <v/>
      </c>
      <c r="U255" t="str">
        <f>TEXT(Tabela1[[#This Row],[DATA]],"dd/mm/aaaa")</f>
        <v>20/04/2026</v>
      </c>
    </row>
    <row r="256" spans="1:21" x14ac:dyDescent="0.25">
      <c r="A256" s="4">
        <v>46132.680925925924</v>
      </c>
      <c r="B256" s="5" t="s">
        <v>19</v>
      </c>
      <c r="C256" s="5" t="s">
        <v>27</v>
      </c>
      <c r="D256" s="5">
        <v>420622000179</v>
      </c>
      <c r="E256" s="6">
        <v>420622000179</v>
      </c>
      <c r="F256" s="5">
        <v>658</v>
      </c>
      <c r="G256" s="7">
        <v>177671283256441</v>
      </c>
      <c r="H256" s="5" t="s">
        <v>256</v>
      </c>
      <c r="I256" s="5">
        <v>3003</v>
      </c>
      <c r="J256" s="5" t="s">
        <v>22</v>
      </c>
      <c r="K256" s="5" t="s">
        <v>23</v>
      </c>
      <c r="L256" s="5" t="s">
        <v>31</v>
      </c>
      <c r="M256" s="5" t="s">
        <v>250</v>
      </c>
      <c r="N256" s="5" t="s">
        <v>26</v>
      </c>
      <c r="O256" s="5">
        <v>16</v>
      </c>
      <c r="P256" s="5"/>
      <c r="Q256" s="5"/>
      <c r="R256" s="8">
        <v>2.6620370370370372E-4</v>
      </c>
      <c r="S256" s="8">
        <v>2.4305555555555555E-4</v>
      </c>
      <c r="T256" t="str">
        <f>IF(Tabela1[[#This Row],[STATUS_NEGOCIO]]="Enviar E-mail",1,"")</f>
        <v/>
      </c>
      <c r="U256" t="str">
        <f>TEXT(Tabela1[[#This Row],[DATA]],"dd/mm/aaaa")</f>
        <v>20/04/2026</v>
      </c>
    </row>
    <row r="257" spans="1:21" x14ac:dyDescent="0.25">
      <c r="A257" s="4">
        <v>46132.681539351855</v>
      </c>
      <c r="B257" s="5" t="s">
        <v>19</v>
      </c>
      <c r="C257" s="5" t="s">
        <v>27</v>
      </c>
      <c r="D257" s="5">
        <v>451332000192</v>
      </c>
      <c r="E257" s="6">
        <v>451332000192</v>
      </c>
      <c r="F257" s="5">
        <v>659</v>
      </c>
      <c r="G257" s="7">
        <v>177671288556461</v>
      </c>
      <c r="H257" s="5" t="s">
        <v>257</v>
      </c>
      <c r="I257" s="5">
        <v>3003</v>
      </c>
      <c r="J257" s="5" t="s">
        <v>22</v>
      </c>
      <c r="K257" s="5" t="s">
        <v>23</v>
      </c>
      <c r="L257" s="5" t="s">
        <v>31</v>
      </c>
      <c r="M257" s="5" t="s">
        <v>250</v>
      </c>
      <c r="N257" s="5" t="s">
        <v>32</v>
      </c>
      <c r="O257" s="5">
        <v>16</v>
      </c>
      <c r="P257" s="5"/>
      <c r="Q257" s="5"/>
      <c r="R257" s="8">
        <v>3.2407407407407406E-4</v>
      </c>
      <c r="S257" s="8">
        <v>3.0092592592592595E-4</v>
      </c>
      <c r="T257" t="str">
        <f>IF(Tabela1[[#This Row],[STATUS_NEGOCIO]]="Enviar E-mail",1,"")</f>
        <v/>
      </c>
      <c r="U257" t="str">
        <f>TEXT(Tabela1[[#This Row],[DATA]],"dd/mm/aaaa")</f>
        <v>20/04/2026</v>
      </c>
    </row>
    <row r="258" spans="1:21" x14ac:dyDescent="0.25">
      <c r="A258" s="4">
        <v>46132.681932870371</v>
      </c>
      <c r="B258" s="5" t="s">
        <v>19</v>
      </c>
      <c r="C258" s="5" t="s">
        <v>20</v>
      </c>
      <c r="D258" s="5">
        <v>550875000167</v>
      </c>
      <c r="E258" s="6">
        <v>550875000167</v>
      </c>
      <c r="F258" s="5">
        <v>660</v>
      </c>
      <c r="G258" s="7">
        <v>177671291956491</v>
      </c>
      <c r="H258" s="5" t="s">
        <v>258</v>
      </c>
      <c r="I258" s="5">
        <v>3003</v>
      </c>
      <c r="J258" s="5" t="s">
        <v>22</v>
      </c>
      <c r="K258" s="5" t="s">
        <v>23</v>
      </c>
      <c r="L258" s="5" t="s">
        <v>44</v>
      </c>
      <c r="M258" s="5" t="s">
        <v>250</v>
      </c>
      <c r="N258" s="5" t="s">
        <v>32</v>
      </c>
      <c r="O258" s="5">
        <v>16</v>
      </c>
      <c r="P258" s="5"/>
      <c r="Q258" s="5"/>
      <c r="R258" s="8">
        <v>4.7453703703703704E-4</v>
      </c>
      <c r="S258" s="8">
        <v>4.3981481481481481E-4</v>
      </c>
      <c r="T258" t="str">
        <f>IF(Tabela1[[#This Row],[STATUS_NEGOCIO]]="Enviar E-mail",1,"")</f>
        <v/>
      </c>
      <c r="U258" t="str">
        <f>TEXT(Tabela1[[#This Row],[DATA]],"dd/mm/aaaa")</f>
        <v>20/04/2026</v>
      </c>
    </row>
    <row r="259" spans="1:21" x14ac:dyDescent="0.25">
      <c r="A259" s="4">
        <v>46132.682847222219</v>
      </c>
      <c r="B259" s="5" t="s">
        <v>19</v>
      </c>
      <c r="C259" s="5" t="s">
        <v>27</v>
      </c>
      <c r="D259" s="5">
        <v>631485000111</v>
      </c>
      <c r="E259" s="6">
        <v>631485000111</v>
      </c>
      <c r="F259" s="5">
        <v>661</v>
      </c>
      <c r="G259" s="7">
        <v>177671299856681</v>
      </c>
      <c r="H259" s="5" t="s">
        <v>259</v>
      </c>
      <c r="I259" s="5">
        <v>3003</v>
      </c>
      <c r="J259" s="5" t="s">
        <v>22</v>
      </c>
      <c r="K259" s="5" t="s">
        <v>23</v>
      </c>
      <c r="L259" s="5" t="s">
        <v>40</v>
      </c>
      <c r="M259" s="5" t="s">
        <v>250</v>
      </c>
      <c r="N259" s="5" t="s">
        <v>32</v>
      </c>
      <c r="O259" s="5">
        <v>16</v>
      </c>
      <c r="P259" s="5"/>
      <c r="Q259" s="5"/>
      <c r="R259" s="8">
        <v>2.3032407407407407E-3</v>
      </c>
      <c r="S259" s="8">
        <v>2.2916666666666667E-3</v>
      </c>
      <c r="T259">
        <f>IF(Tabela1[[#This Row],[STATUS_NEGOCIO]]="Enviar E-mail",1,"")</f>
        <v>1</v>
      </c>
      <c r="U259" t="str">
        <f>TEXT(Tabela1[[#This Row],[DATA]],"dd/mm/aaaa")</f>
        <v>20/04/2026</v>
      </c>
    </row>
    <row r="260" spans="1:21" x14ac:dyDescent="0.25">
      <c r="A260" s="4">
        <v>46132.687627314815</v>
      </c>
      <c r="B260" s="5" t="s">
        <v>19</v>
      </c>
      <c r="C260" s="5" t="s">
        <v>20</v>
      </c>
      <c r="D260" s="5">
        <v>749145000190</v>
      </c>
      <c r="E260" s="6">
        <v>749145000190</v>
      </c>
      <c r="F260" s="5">
        <v>662</v>
      </c>
      <c r="G260" s="7">
        <v>177671341157051</v>
      </c>
      <c r="H260" s="5" t="s">
        <v>260</v>
      </c>
      <c r="I260" s="5">
        <v>3003</v>
      </c>
      <c r="J260" s="5" t="s">
        <v>22</v>
      </c>
      <c r="K260" s="5" t="s">
        <v>23</v>
      </c>
      <c r="L260" s="5" t="s">
        <v>44</v>
      </c>
      <c r="M260" s="5" t="s">
        <v>250</v>
      </c>
      <c r="N260" s="5" t="s">
        <v>32</v>
      </c>
      <c r="O260" s="5">
        <v>16</v>
      </c>
      <c r="P260" s="5"/>
      <c r="Q260" s="5"/>
      <c r="R260" s="8">
        <v>4.1666666666666669E-4</v>
      </c>
      <c r="S260" s="8">
        <v>3.9351851851851852E-4</v>
      </c>
      <c r="T260" t="str">
        <f>IF(Tabela1[[#This Row],[STATUS_NEGOCIO]]="Enviar E-mail",1,"")</f>
        <v/>
      </c>
      <c r="U260" t="str">
        <f>TEXT(Tabela1[[#This Row],[DATA]],"dd/mm/aaaa")</f>
        <v>20/04/2026</v>
      </c>
    </row>
    <row r="261" spans="1:21" x14ac:dyDescent="0.25">
      <c r="A261" s="4">
        <v>46132.688171296293</v>
      </c>
      <c r="B261" s="5" t="s">
        <v>19</v>
      </c>
      <c r="C261" s="5" t="s">
        <v>20</v>
      </c>
      <c r="D261" s="5">
        <v>837531000133</v>
      </c>
      <c r="E261" s="6">
        <v>837531000133</v>
      </c>
      <c r="F261" s="5">
        <v>663</v>
      </c>
      <c r="G261" s="7">
        <v>177671345857091</v>
      </c>
      <c r="H261" s="5" t="s">
        <v>68</v>
      </c>
      <c r="I261" s="5">
        <v>3003</v>
      </c>
      <c r="J261" s="5" t="s">
        <v>22</v>
      </c>
      <c r="K261" s="5" t="s">
        <v>23</v>
      </c>
      <c r="L261" s="5" t="s">
        <v>44</v>
      </c>
      <c r="M261" s="5" t="s">
        <v>250</v>
      </c>
      <c r="N261" s="5" t="s">
        <v>26</v>
      </c>
      <c r="O261" s="5">
        <v>16</v>
      </c>
      <c r="P261" s="5"/>
      <c r="Q261" s="5"/>
      <c r="R261" s="8">
        <v>1.8518518518518518E-4</v>
      </c>
      <c r="S261" s="8">
        <v>1.6203703703703703E-4</v>
      </c>
      <c r="T261" t="str">
        <f>IF(Tabela1[[#This Row],[STATUS_NEGOCIO]]="Enviar E-mail",1,"")</f>
        <v/>
      </c>
      <c r="U261" t="str">
        <f>TEXT(Tabela1[[#This Row],[DATA]],"dd/mm/aaaa")</f>
        <v>20/04/2026</v>
      </c>
    </row>
    <row r="262" spans="1:21" x14ac:dyDescent="0.25">
      <c r="A262" s="4">
        <v>46132.688449074078</v>
      </c>
      <c r="B262" s="5" t="s">
        <v>19</v>
      </c>
      <c r="C262" s="5" t="s">
        <v>20</v>
      </c>
      <c r="D262" s="5">
        <v>845384000143</v>
      </c>
      <c r="E262" s="6">
        <v>845384000143</v>
      </c>
      <c r="F262" s="5">
        <v>664</v>
      </c>
      <c r="G262" s="7">
        <v>177671348257121</v>
      </c>
      <c r="H262" s="5" t="s">
        <v>261</v>
      </c>
      <c r="I262" s="5">
        <v>3003</v>
      </c>
      <c r="J262" s="5" t="s">
        <v>22</v>
      </c>
      <c r="K262" s="5" t="s">
        <v>23</v>
      </c>
      <c r="L262" s="5" t="s">
        <v>31</v>
      </c>
      <c r="M262" s="5" t="s">
        <v>250</v>
      </c>
      <c r="N262" s="5" t="s">
        <v>32</v>
      </c>
      <c r="O262" s="5">
        <v>16</v>
      </c>
      <c r="P262" s="5"/>
      <c r="Q262" s="5"/>
      <c r="R262" s="8">
        <v>8.1018518518518516E-5</v>
      </c>
      <c r="S262" s="8">
        <v>5.7870370370370373E-5</v>
      </c>
      <c r="T262" t="str">
        <f>IF(Tabela1[[#This Row],[STATUS_NEGOCIO]]="Enviar E-mail",1,"")</f>
        <v/>
      </c>
      <c r="U262" t="str">
        <f>TEXT(Tabela1[[#This Row],[DATA]],"dd/mm/aaaa")</f>
        <v>20/04/2026</v>
      </c>
    </row>
    <row r="263" spans="1:21" x14ac:dyDescent="0.25">
      <c r="A263" s="4">
        <v>46132.68886574074</v>
      </c>
      <c r="B263" s="5" t="s">
        <v>19</v>
      </c>
      <c r="C263" s="5" t="s">
        <v>27</v>
      </c>
      <c r="D263" s="5">
        <v>863808000100</v>
      </c>
      <c r="E263" s="6">
        <v>863808000100</v>
      </c>
      <c r="F263" s="5">
        <v>665</v>
      </c>
      <c r="G263" s="7">
        <v>177671351857151</v>
      </c>
      <c r="H263" s="5" t="s">
        <v>179</v>
      </c>
      <c r="I263" s="5">
        <v>3003</v>
      </c>
      <c r="J263" s="5" t="s">
        <v>22</v>
      </c>
      <c r="K263" s="5" t="s">
        <v>23</v>
      </c>
      <c r="L263" s="5" t="s">
        <v>31</v>
      </c>
      <c r="M263" s="5" t="s">
        <v>250</v>
      </c>
      <c r="N263" s="5" t="s">
        <v>26</v>
      </c>
      <c r="O263" s="5">
        <v>16</v>
      </c>
      <c r="P263" s="5"/>
      <c r="Q263" s="5"/>
      <c r="R263" s="8">
        <v>3.8194444444444446E-4</v>
      </c>
      <c r="S263" s="8">
        <v>3.5879629629629629E-4</v>
      </c>
      <c r="T263" t="str">
        <f>IF(Tabela1[[#This Row],[STATUS_NEGOCIO]]="Enviar E-mail",1,"")</f>
        <v/>
      </c>
      <c r="U263" t="str">
        <f>TEXT(Tabela1[[#This Row],[DATA]],"dd/mm/aaaa")</f>
        <v>20/04/2026</v>
      </c>
    </row>
    <row r="264" spans="1:21" x14ac:dyDescent="0.25">
      <c r="A264" s="4">
        <v>46132.689687500002</v>
      </c>
      <c r="B264" s="5" t="s">
        <v>19</v>
      </c>
      <c r="C264" s="5" t="s">
        <v>20</v>
      </c>
      <c r="D264" s="5">
        <v>1014476000144</v>
      </c>
      <c r="E264" s="6">
        <v>1014476000144</v>
      </c>
      <c r="F264" s="5">
        <v>666</v>
      </c>
      <c r="G264" s="7">
        <v>177671358957431</v>
      </c>
      <c r="H264" s="5" t="s">
        <v>151</v>
      </c>
      <c r="I264" s="5">
        <v>3003</v>
      </c>
      <c r="J264" s="5" t="s">
        <v>22</v>
      </c>
      <c r="K264" s="5" t="s">
        <v>23</v>
      </c>
      <c r="L264" s="5" t="s">
        <v>44</v>
      </c>
      <c r="M264" s="5" t="s">
        <v>250</v>
      </c>
      <c r="N264" s="5" t="s">
        <v>26</v>
      </c>
      <c r="O264" s="5">
        <v>16</v>
      </c>
      <c r="P264" s="5"/>
      <c r="Q264" s="5"/>
      <c r="R264" s="8">
        <v>8.1018518518518516E-5</v>
      </c>
      <c r="S264" s="8">
        <v>5.7870370370370373E-5</v>
      </c>
      <c r="T264" t="str">
        <f>IF(Tabela1[[#This Row],[STATUS_NEGOCIO]]="Enviar E-mail",1,"")</f>
        <v/>
      </c>
      <c r="U264" t="str">
        <f>TEXT(Tabela1[[#This Row],[DATA]],"dd/mm/aaaa")</f>
        <v>20/04/2026</v>
      </c>
    </row>
    <row r="265" spans="1:21" x14ac:dyDescent="0.25">
      <c r="A265" s="4">
        <v>46132.690416666665</v>
      </c>
      <c r="B265" s="5" t="s">
        <v>19</v>
      </c>
      <c r="C265" s="5" t="s">
        <v>37</v>
      </c>
      <c r="D265" s="5">
        <v>1056628000171</v>
      </c>
      <c r="E265" s="6">
        <v>1056628000171</v>
      </c>
      <c r="F265" s="5">
        <v>667</v>
      </c>
      <c r="G265" s="7">
        <v>177671361857631</v>
      </c>
      <c r="H265" s="5" t="s">
        <v>262</v>
      </c>
      <c r="I265" s="5">
        <v>3003</v>
      </c>
      <c r="J265" s="5" t="s">
        <v>22</v>
      </c>
      <c r="K265" s="5" t="s">
        <v>23</v>
      </c>
      <c r="L265" s="5" t="s">
        <v>31</v>
      </c>
      <c r="M265" s="5" t="s">
        <v>250</v>
      </c>
      <c r="N265" s="5" t="s">
        <v>26</v>
      </c>
      <c r="O265" s="5">
        <v>131</v>
      </c>
      <c r="P265" s="5"/>
      <c r="Q265" s="5"/>
      <c r="R265" s="8">
        <v>1.8518518518518518E-4</v>
      </c>
      <c r="S265" s="5" t="s">
        <v>37</v>
      </c>
      <c r="T265" t="str">
        <f>IF(Tabela1[[#This Row],[STATUS_NEGOCIO]]="Enviar E-mail",1,"")</f>
        <v/>
      </c>
      <c r="U265" t="str">
        <f>TEXT(Tabela1[[#This Row],[DATA]],"dd/mm/aaaa")</f>
        <v>20/04/2026</v>
      </c>
    </row>
    <row r="266" spans="1:21" x14ac:dyDescent="0.25">
      <c r="A266" s="4">
        <v>46132.690497685187</v>
      </c>
      <c r="B266" s="5" t="s">
        <v>19</v>
      </c>
      <c r="C266" s="5" t="s">
        <v>27</v>
      </c>
      <c r="D266" s="5">
        <v>1062613000116</v>
      </c>
      <c r="E266" s="6">
        <v>1062613000116</v>
      </c>
      <c r="F266" s="5">
        <v>668</v>
      </c>
      <c r="G266" s="7">
        <v>177671365957821</v>
      </c>
      <c r="H266" s="5" t="s">
        <v>263</v>
      </c>
      <c r="I266" s="5">
        <v>3003</v>
      </c>
      <c r="J266" s="5" t="s">
        <v>22</v>
      </c>
      <c r="K266" s="5" t="s">
        <v>23</v>
      </c>
      <c r="L266" s="5" t="s">
        <v>31</v>
      </c>
      <c r="M266" s="5" t="s">
        <v>250</v>
      </c>
      <c r="N266" s="5" t="s">
        <v>26</v>
      </c>
      <c r="O266" s="5">
        <v>16</v>
      </c>
      <c r="P266" s="5"/>
      <c r="Q266" s="5"/>
      <c r="R266" s="8">
        <v>3.8194444444444446E-4</v>
      </c>
      <c r="S266" s="8">
        <v>3.4722222222222224E-4</v>
      </c>
      <c r="T266" t="str">
        <f>IF(Tabela1[[#This Row],[STATUS_NEGOCIO]]="Enviar E-mail",1,"")</f>
        <v/>
      </c>
      <c r="U266" t="str">
        <f>TEXT(Tabela1[[#This Row],[DATA]],"dd/mm/aaaa")</f>
        <v>20/04/2026</v>
      </c>
    </row>
    <row r="267" spans="1:21" x14ac:dyDescent="0.25">
      <c r="A267" s="4">
        <v>46132.691307870373</v>
      </c>
      <c r="B267" s="5" t="s">
        <v>19</v>
      </c>
      <c r="C267" s="5" t="s">
        <v>20</v>
      </c>
      <c r="D267" s="5">
        <v>1104119000177</v>
      </c>
      <c r="E267" s="6">
        <v>1104119000177</v>
      </c>
      <c r="F267" s="5">
        <v>669</v>
      </c>
      <c r="G267" s="7">
        <v>177671372957871</v>
      </c>
      <c r="H267" s="5" t="s">
        <v>264</v>
      </c>
      <c r="I267" s="5">
        <v>3003</v>
      </c>
      <c r="J267" s="5" t="s">
        <v>22</v>
      </c>
      <c r="K267" s="5" t="s">
        <v>23</v>
      </c>
      <c r="L267" s="5" t="s">
        <v>265</v>
      </c>
      <c r="M267" s="5" t="s">
        <v>250</v>
      </c>
      <c r="N267" s="5" t="s">
        <v>32</v>
      </c>
      <c r="O267" s="5">
        <v>16</v>
      </c>
      <c r="P267" s="5"/>
      <c r="Q267" s="5"/>
      <c r="R267" s="8">
        <v>2.4305555555555555E-4</v>
      </c>
      <c r="S267" s="8">
        <v>2.199074074074074E-4</v>
      </c>
      <c r="T267" t="str">
        <f>IF(Tabela1[[#This Row],[STATUS_NEGOCIO]]="Enviar E-mail",1,"")</f>
        <v/>
      </c>
      <c r="U267" t="str">
        <f>TEXT(Tabela1[[#This Row],[DATA]],"dd/mm/aaaa")</f>
        <v>20/04/2026</v>
      </c>
    </row>
    <row r="268" spans="1:21" x14ac:dyDescent="0.25">
      <c r="A268" s="4">
        <v>46132.691967592589</v>
      </c>
      <c r="B268" s="5" t="s">
        <v>19</v>
      </c>
      <c r="C268" s="5" t="s">
        <v>27</v>
      </c>
      <c r="D268" s="5">
        <v>1104266000309</v>
      </c>
      <c r="E268" s="6">
        <v>1104266000309</v>
      </c>
      <c r="F268" s="5">
        <v>670</v>
      </c>
      <c r="G268" s="7">
        <v>177671378658081</v>
      </c>
      <c r="H268" s="5" t="s">
        <v>212</v>
      </c>
      <c r="I268" s="5">
        <v>3003</v>
      </c>
      <c r="J268" s="5" t="s">
        <v>22</v>
      </c>
      <c r="K268" s="5" t="s">
        <v>23</v>
      </c>
      <c r="L268" s="5" t="s">
        <v>106</v>
      </c>
      <c r="M268" s="5" t="s">
        <v>250</v>
      </c>
      <c r="N268" s="5" t="s">
        <v>26</v>
      </c>
      <c r="O268" s="5">
        <v>16</v>
      </c>
      <c r="P268" s="5"/>
      <c r="Q268" s="5"/>
      <c r="R268" s="8">
        <v>5.9027777777777778E-4</v>
      </c>
      <c r="S268" s="8">
        <v>5.6712962962962967E-4</v>
      </c>
      <c r="T268" t="str">
        <f>IF(Tabela1[[#This Row],[STATUS_NEGOCIO]]="Enviar E-mail",1,"")</f>
        <v/>
      </c>
      <c r="U268" t="str">
        <f>TEXT(Tabela1[[#This Row],[DATA]],"dd/mm/aaaa")</f>
        <v>20/04/2026</v>
      </c>
    </row>
    <row r="269" spans="1:21" x14ac:dyDescent="0.25">
      <c r="A269" s="4">
        <v>46132.692708333336</v>
      </c>
      <c r="B269" s="5" t="s">
        <v>19</v>
      </c>
      <c r="C269" s="5" t="s">
        <v>20</v>
      </c>
      <c r="D269" s="5">
        <v>1209604000105</v>
      </c>
      <c r="E269" s="6">
        <v>1209604000105</v>
      </c>
      <c r="F269" s="5">
        <v>671</v>
      </c>
      <c r="G269" s="7">
        <v>177671385058111</v>
      </c>
      <c r="H269" s="5" t="s">
        <v>266</v>
      </c>
      <c r="I269" s="5">
        <v>3003</v>
      </c>
      <c r="J269" s="5" t="s">
        <v>22</v>
      </c>
      <c r="K269" s="5" t="s">
        <v>23</v>
      </c>
      <c r="L269" s="5" t="s">
        <v>44</v>
      </c>
      <c r="M269" s="5" t="s">
        <v>250</v>
      </c>
      <c r="N269" s="5" t="s">
        <v>26</v>
      </c>
      <c r="O269" s="5">
        <v>16</v>
      </c>
      <c r="P269" s="5"/>
      <c r="Q269" s="5"/>
      <c r="R269" s="8">
        <v>1.5046296296296297E-4</v>
      </c>
      <c r="S269" s="8">
        <v>1.3888888888888889E-4</v>
      </c>
      <c r="T269" t="str">
        <f>IF(Tabela1[[#This Row],[STATUS_NEGOCIO]]="Enviar E-mail",1,"")</f>
        <v/>
      </c>
      <c r="U269" t="str">
        <f>TEXT(Tabela1[[#This Row],[DATA]],"dd/mm/aaaa")</f>
        <v>20/04/2026</v>
      </c>
    </row>
    <row r="270" spans="1:21" x14ac:dyDescent="0.25">
      <c r="A270" s="4">
        <v>46132.693495370368</v>
      </c>
      <c r="B270" s="5" t="s">
        <v>19</v>
      </c>
      <c r="C270" s="5" t="s">
        <v>20</v>
      </c>
      <c r="D270" s="5">
        <v>1387961000163</v>
      </c>
      <c r="E270" s="6">
        <v>1387961000163</v>
      </c>
      <c r="F270" s="5">
        <v>673</v>
      </c>
      <c r="G270" s="7">
        <v>177671391858271</v>
      </c>
      <c r="H270" s="5" t="s">
        <v>267</v>
      </c>
      <c r="I270" s="5">
        <v>3003</v>
      </c>
      <c r="J270" s="5" t="s">
        <v>22</v>
      </c>
      <c r="K270" s="5" t="s">
        <v>23</v>
      </c>
      <c r="L270" s="5" t="s">
        <v>95</v>
      </c>
      <c r="M270" s="5" t="s">
        <v>250</v>
      </c>
      <c r="N270" s="5" t="s">
        <v>32</v>
      </c>
      <c r="O270" s="5">
        <v>16</v>
      </c>
      <c r="P270" s="5"/>
      <c r="Q270" s="5"/>
      <c r="R270" s="8">
        <v>4.0509259259259258E-4</v>
      </c>
      <c r="S270" s="8">
        <v>3.8194444444444446E-4</v>
      </c>
      <c r="T270" t="str">
        <f>IF(Tabela1[[#This Row],[STATUS_NEGOCIO]]="Enviar E-mail",1,"")</f>
        <v/>
      </c>
      <c r="U270" t="str">
        <f>TEXT(Tabela1[[#This Row],[DATA]],"dd/mm/aaaa")</f>
        <v>20/04/2026</v>
      </c>
    </row>
    <row r="271" spans="1:21" x14ac:dyDescent="0.25">
      <c r="A271" s="4">
        <v>46132.694490740738</v>
      </c>
      <c r="B271" s="5" t="s">
        <v>19</v>
      </c>
      <c r="C271" s="5" t="s">
        <v>27</v>
      </c>
      <c r="D271" s="5"/>
      <c r="E271" s="6"/>
      <c r="F271" s="5">
        <v>2740880386</v>
      </c>
      <c r="G271" s="7">
        <v>177671400458381</v>
      </c>
      <c r="H271" s="5" t="s">
        <v>268</v>
      </c>
      <c r="I271" s="5" t="s">
        <v>28</v>
      </c>
      <c r="J271" s="5" t="s">
        <v>30</v>
      </c>
      <c r="K271" s="5" t="s">
        <v>23</v>
      </c>
      <c r="L271" s="5" t="s">
        <v>31</v>
      </c>
      <c r="M271" s="5"/>
      <c r="N271" s="5" t="s">
        <v>26</v>
      </c>
      <c r="O271" s="5">
        <v>16</v>
      </c>
      <c r="P271" s="5"/>
      <c r="Q271" s="5"/>
      <c r="R271" s="8">
        <v>2.6620370370370372E-4</v>
      </c>
      <c r="S271" s="8">
        <v>2.3148148148148149E-4</v>
      </c>
      <c r="T271" t="str">
        <f>IF(Tabela1[[#This Row],[STATUS_NEGOCIO]]="Enviar E-mail",1,"")</f>
        <v/>
      </c>
      <c r="U271" t="str">
        <f>TEXT(Tabela1[[#This Row],[DATA]],"dd/mm/aaaa")</f>
        <v>20/04/2026</v>
      </c>
    </row>
    <row r="272" spans="1:21" x14ac:dyDescent="0.25">
      <c r="A272" s="4">
        <v>46132.695393518516</v>
      </c>
      <c r="B272" s="5" t="s">
        <v>19</v>
      </c>
      <c r="C272" s="5" t="s">
        <v>27</v>
      </c>
      <c r="D272" s="5"/>
      <c r="E272" s="6"/>
      <c r="F272" s="5">
        <v>2740880464</v>
      </c>
      <c r="G272" s="7">
        <v>177671408258521</v>
      </c>
      <c r="H272" s="5" t="s">
        <v>268</v>
      </c>
      <c r="I272" s="5" t="s">
        <v>28</v>
      </c>
      <c r="J272" s="5" t="s">
        <v>30</v>
      </c>
      <c r="K272" s="5" t="s">
        <v>23</v>
      </c>
      <c r="L272" s="5" t="s">
        <v>31</v>
      </c>
      <c r="M272" s="5"/>
      <c r="N272" s="5" t="s">
        <v>26</v>
      </c>
      <c r="O272" s="5">
        <v>16</v>
      </c>
      <c r="P272" s="5"/>
      <c r="Q272" s="5"/>
      <c r="R272" s="8">
        <v>2.6620370370370372E-4</v>
      </c>
      <c r="S272" s="8">
        <v>2.199074074074074E-4</v>
      </c>
      <c r="T272" t="str">
        <f>IF(Tabela1[[#This Row],[STATUS_NEGOCIO]]="Enviar E-mail",1,"")</f>
        <v/>
      </c>
      <c r="U272" t="str">
        <f>TEXT(Tabela1[[#This Row],[DATA]],"dd/mm/aaaa")</f>
        <v>20/04/2026</v>
      </c>
    </row>
    <row r="273" spans="1:21" x14ac:dyDescent="0.25">
      <c r="A273" s="4">
        <v>46132.696250000001</v>
      </c>
      <c r="B273" s="5" t="s">
        <v>19</v>
      </c>
      <c r="C273" s="5" t="s">
        <v>20</v>
      </c>
      <c r="D273" s="5"/>
      <c r="E273" s="6"/>
      <c r="F273" s="5">
        <v>2741334554</v>
      </c>
      <c r="G273" s="7">
        <v>177671415658731</v>
      </c>
      <c r="H273" s="5" t="s">
        <v>269</v>
      </c>
      <c r="I273" s="5" t="s">
        <v>28</v>
      </c>
      <c r="J273" s="5" t="s">
        <v>30</v>
      </c>
      <c r="K273" s="5" t="s">
        <v>23</v>
      </c>
      <c r="L273" s="5" t="s">
        <v>44</v>
      </c>
      <c r="M273" s="5"/>
      <c r="N273" s="5" t="s">
        <v>32</v>
      </c>
      <c r="O273" s="5">
        <v>16</v>
      </c>
      <c r="P273" s="5"/>
      <c r="Q273" s="5"/>
      <c r="R273" s="8">
        <v>6.018518518518519E-4</v>
      </c>
      <c r="S273" s="8">
        <v>5.6712962962962967E-4</v>
      </c>
      <c r="T273" t="str">
        <f>IF(Tabela1[[#This Row],[STATUS_NEGOCIO]]="Enviar E-mail",1,"")</f>
        <v/>
      </c>
      <c r="U273" t="str">
        <f>TEXT(Tabela1[[#This Row],[DATA]],"dd/mm/aaaa")</f>
        <v>20/04/2026</v>
      </c>
    </row>
    <row r="274" spans="1:21" x14ac:dyDescent="0.25">
      <c r="A274" s="4">
        <v>46132.696469907409</v>
      </c>
      <c r="B274" s="5" t="s">
        <v>19</v>
      </c>
      <c r="C274" s="5" t="s">
        <v>27</v>
      </c>
      <c r="D274" s="5"/>
      <c r="E274" s="6"/>
      <c r="F274" s="5">
        <v>2765178709</v>
      </c>
      <c r="G274" s="7">
        <v>177671417558751</v>
      </c>
      <c r="H274" s="5" t="s">
        <v>270</v>
      </c>
      <c r="I274" s="5" t="s">
        <v>28</v>
      </c>
      <c r="J274" s="5" t="s">
        <v>30</v>
      </c>
      <c r="K274" s="5" t="s">
        <v>23</v>
      </c>
      <c r="L274" s="5" t="s">
        <v>31</v>
      </c>
      <c r="M274" s="5"/>
      <c r="N274" s="5" t="s">
        <v>32</v>
      </c>
      <c r="O274" s="5">
        <v>16</v>
      </c>
      <c r="P274" s="5"/>
      <c r="Q274" s="5"/>
      <c r="R274" s="8">
        <v>2.199074074074074E-4</v>
      </c>
      <c r="S274" s="8">
        <v>4.6296296296296294E-5</v>
      </c>
      <c r="T274" t="str">
        <f>IF(Tabela1[[#This Row],[STATUS_NEGOCIO]]="Enviar E-mail",1,"")</f>
        <v/>
      </c>
      <c r="U274" t="str">
        <f>TEXT(Tabela1[[#This Row],[DATA]],"dd/mm/aaaa")</f>
        <v>20/04/2026</v>
      </c>
    </row>
    <row r="275" spans="1:21" x14ac:dyDescent="0.25">
      <c r="A275" s="4">
        <v>46132.697465277779</v>
      </c>
      <c r="B275" s="5" t="s">
        <v>19</v>
      </c>
      <c r="C275" s="5" t="s">
        <v>20</v>
      </c>
      <c r="D275" s="5"/>
      <c r="E275" s="6"/>
      <c r="F275" s="5">
        <v>2776674296</v>
      </c>
      <c r="G275" s="7">
        <v>177671426158921</v>
      </c>
      <c r="H275" s="5" t="s">
        <v>271</v>
      </c>
      <c r="I275" s="5" t="s">
        <v>28</v>
      </c>
      <c r="J275" s="5" t="s">
        <v>30</v>
      </c>
      <c r="K275" s="5" t="s">
        <v>36</v>
      </c>
      <c r="L275" s="5" t="s">
        <v>36</v>
      </c>
      <c r="M275" s="5"/>
      <c r="N275" s="5" t="s">
        <v>32</v>
      </c>
      <c r="O275" s="5">
        <v>19</v>
      </c>
      <c r="P275" s="5"/>
      <c r="Q275" s="5"/>
      <c r="R275" s="8">
        <v>1.1574074074074075E-4</v>
      </c>
      <c r="S275" s="5" t="s">
        <v>37</v>
      </c>
      <c r="T275" t="str">
        <f>IF(Tabela1[[#This Row],[STATUS_NEGOCIO]]="Enviar E-mail",1,"")</f>
        <v/>
      </c>
      <c r="U275" t="str">
        <f>TEXT(Tabela1[[#This Row],[DATA]],"dd/mm/aaaa")</f>
        <v>20/04/2026</v>
      </c>
    </row>
    <row r="276" spans="1:21" x14ac:dyDescent="0.25">
      <c r="A276" s="4">
        <v>46132.697743055556</v>
      </c>
      <c r="B276" s="5" t="s">
        <v>19</v>
      </c>
      <c r="C276" s="5" t="s">
        <v>20</v>
      </c>
      <c r="D276" s="5"/>
      <c r="E276" s="6"/>
      <c r="F276" s="5">
        <v>2767776245</v>
      </c>
      <c r="G276" s="7">
        <v>177671428559071</v>
      </c>
      <c r="H276" s="5" t="s">
        <v>272</v>
      </c>
      <c r="I276" s="5" t="s">
        <v>28</v>
      </c>
      <c r="J276" s="5" t="s">
        <v>30</v>
      </c>
      <c r="K276" s="5" t="s">
        <v>36</v>
      </c>
      <c r="L276" s="5" t="s">
        <v>36</v>
      </c>
      <c r="M276" s="5"/>
      <c r="N276" s="5" t="s">
        <v>32</v>
      </c>
      <c r="O276" s="5">
        <v>19</v>
      </c>
      <c r="P276" s="5"/>
      <c r="Q276" s="5"/>
      <c r="R276" s="8">
        <v>9.2592592592592588E-5</v>
      </c>
      <c r="S276" s="5" t="s">
        <v>37</v>
      </c>
      <c r="T276" t="str">
        <f>IF(Tabela1[[#This Row],[STATUS_NEGOCIO]]="Enviar E-mail",1,"")</f>
        <v/>
      </c>
      <c r="U276" t="str">
        <f>TEXT(Tabela1[[#This Row],[DATA]],"dd/mm/aaaa")</f>
        <v>20/04/2026</v>
      </c>
    </row>
    <row r="277" spans="1:21" x14ac:dyDescent="0.25">
      <c r="A277" s="4">
        <v>46132.697974537034</v>
      </c>
      <c r="B277" s="5" t="s">
        <v>19</v>
      </c>
      <c r="C277" s="5" t="s">
        <v>20</v>
      </c>
      <c r="D277" s="5"/>
      <c r="E277" s="6"/>
      <c r="F277" s="5">
        <v>2776371719</v>
      </c>
      <c r="G277" s="7">
        <v>177671430559141</v>
      </c>
      <c r="H277" s="5" t="s">
        <v>273</v>
      </c>
      <c r="I277" s="5" t="s">
        <v>28</v>
      </c>
      <c r="J277" s="5" t="s">
        <v>30</v>
      </c>
      <c r="K277" s="5" t="s">
        <v>36</v>
      </c>
      <c r="L277" s="5" t="s">
        <v>36</v>
      </c>
      <c r="M277" s="5"/>
      <c r="N277" s="5" t="s">
        <v>32</v>
      </c>
      <c r="O277" s="5">
        <v>19</v>
      </c>
      <c r="P277" s="5"/>
      <c r="Q277" s="5"/>
      <c r="R277" s="8">
        <v>4.1666666666666669E-4</v>
      </c>
      <c r="S277" s="5" t="s">
        <v>37</v>
      </c>
      <c r="T277" t="str">
        <f>IF(Tabela1[[#This Row],[STATUS_NEGOCIO]]="Enviar E-mail",1,"")</f>
        <v/>
      </c>
      <c r="U277" t="str">
        <f>TEXT(Tabela1[[#This Row],[DATA]],"dd/mm/aaaa")</f>
        <v>20/04/2026</v>
      </c>
    </row>
    <row r="278" spans="1:21" x14ac:dyDescent="0.25">
      <c r="A278" s="4">
        <v>46132.698611111111</v>
      </c>
      <c r="B278" s="5" t="s">
        <v>19</v>
      </c>
      <c r="C278" s="5" t="s">
        <v>20</v>
      </c>
      <c r="D278" s="5"/>
      <c r="E278" s="6"/>
      <c r="F278" s="5">
        <v>2769255571</v>
      </c>
      <c r="G278" s="7">
        <v>177671436059171</v>
      </c>
      <c r="H278" s="5" t="s">
        <v>274</v>
      </c>
      <c r="I278" s="5" t="s">
        <v>28</v>
      </c>
      <c r="J278" s="5" t="s">
        <v>30</v>
      </c>
      <c r="K278" s="5" t="s">
        <v>23</v>
      </c>
      <c r="L278" s="5" t="s">
        <v>44</v>
      </c>
      <c r="M278" s="5"/>
      <c r="N278" s="5" t="s">
        <v>26</v>
      </c>
      <c r="O278" s="5">
        <v>16</v>
      </c>
      <c r="P278" s="5"/>
      <c r="Q278" s="5"/>
      <c r="R278" s="8">
        <v>1.7361111111111112E-4</v>
      </c>
      <c r="S278" s="8">
        <v>4.6296296296296294E-5</v>
      </c>
      <c r="T278" t="str">
        <f>IF(Tabela1[[#This Row],[STATUS_NEGOCIO]]="Enviar E-mail",1,"")</f>
        <v/>
      </c>
      <c r="U278" t="str">
        <f>TEXT(Tabela1[[#This Row],[DATA]],"dd/mm/aaaa")</f>
        <v>20/04/2026</v>
      </c>
    </row>
    <row r="279" spans="1:21" x14ac:dyDescent="0.25">
      <c r="A279" s="4">
        <v>46132.699155092596</v>
      </c>
      <c r="B279" s="5" t="s">
        <v>19</v>
      </c>
      <c r="C279" s="5" t="s">
        <v>20</v>
      </c>
      <c r="D279" s="5"/>
      <c r="E279" s="6"/>
      <c r="F279" s="5">
        <v>2757856002</v>
      </c>
      <c r="G279" s="7">
        <v>177671440759261</v>
      </c>
      <c r="H279" s="5" t="s">
        <v>275</v>
      </c>
      <c r="I279" s="5" t="s">
        <v>28</v>
      </c>
      <c r="J279" s="5" t="s">
        <v>30</v>
      </c>
      <c r="K279" s="5" t="s">
        <v>36</v>
      </c>
      <c r="L279" s="5" t="s">
        <v>36</v>
      </c>
      <c r="M279" s="5"/>
      <c r="N279" s="5" t="s">
        <v>32</v>
      </c>
      <c r="O279" s="5">
        <v>19</v>
      </c>
      <c r="P279" s="5"/>
      <c r="Q279" s="5"/>
      <c r="R279" s="8">
        <v>2.4305555555555555E-4</v>
      </c>
      <c r="S279" s="5" t="s">
        <v>37</v>
      </c>
      <c r="T279" t="str">
        <f>IF(Tabela1[[#This Row],[STATUS_NEGOCIO]]="Enviar E-mail",1,"")</f>
        <v/>
      </c>
      <c r="U279" t="str">
        <f>TEXT(Tabela1[[#This Row],[DATA]],"dd/mm/aaaa")</f>
        <v>20/04/2026</v>
      </c>
    </row>
    <row r="280" spans="1:21" x14ac:dyDescent="0.25">
      <c r="A280" s="4">
        <v>46132.699537037035</v>
      </c>
      <c r="B280" s="5" t="s">
        <v>19</v>
      </c>
      <c r="C280" s="5" t="s">
        <v>20</v>
      </c>
      <c r="D280" s="5"/>
      <c r="E280" s="6"/>
      <c r="F280" s="5">
        <v>2768922747</v>
      </c>
      <c r="G280" s="7">
        <v>177671444059301</v>
      </c>
      <c r="H280" s="5" t="s">
        <v>276</v>
      </c>
      <c r="I280" s="5" t="s">
        <v>28</v>
      </c>
      <c r="J280" s="5" t="s">
        <v>30</v>
      </c>
      <c r="K280" s="5" t="s">
        <v>36</v>
      </c>
      <c r="L280" s="5" t="s">
        <v>36</v>
      </c>
      <c r="M280" s="5"/>
      <c r="N280" s="5" t="s">
        <v>32</v>
      </c>
      <c r="O280" s="5">
        <v>19</v>
      </c>
      <c r="P280" s="5"/>
      <c r="Q280" s="5"/>
      <c r="R280" s="8">
        <v>2.7777777777777778E-4</v>
      </c>
      <c r="S280" s="5" t="s">
        <v>37</v>
      </c>
      <c r="T280" t="str">
        <f>IF(Tabela1[[#This Row],[STATUS_NEGOCIO]]="Enviar E-mail",1,"")</f>
        <v/>
      </c>
      <c r="U280" t="str">
        <f>TEXT(Tabela1[[#This Row],[DATA]],"dd/mm/aaaa")</f>
        <v>20/04/2026</v>
      </c>
    </row>
    <row r="281" spans="1:21" x14ac:dyDescent="0.25">
      <c r="A281" s="4">
        <v>46132.700092592589</v>
      </c>
      <c r="B281" s="5" t="s">
        <v>19</v>
      </c>
      <c r="C281" s="5" t="s">
        <v>20</v>
      </c>
      <c r="D281" s="5"/>
      <c r="E281" s="6"/>
      <c r="F281" s="5">
        <v>2768817121</v>
      </c>
      <c r="G281" s="7">
        <v>177671448859331</v>
      </c>
      <c r="H281" s="5" t="s">
        <v>277</v>
      </c>
      <c r="I281" s="5" t="s">
        <v>28</v>
      </c>
      <c r="J281" s="5" t="s">
        <v>30</v>
      </c>
      <c r="K281" s="5" t="s">
        <v>23</v>
      </c>
      <c r="L281" s="5" t="s">
        <v>95</v>
      </c>
      <c r="M281" s="5"/>
      <c r="N281" s="5" t="s">
        <v>26</v>
      </c>
      <c r="O281" s="5">
        <v>16</v>
      </c>
      <c r="P281" s="5"/>
      <c r="Q281" s="5"/>
      <c r="R281" s="8">
        <v>6.018518518518519E-4</v>
      </c>
      <c r="S281" s="8">
        <v>5.2083333333333333E-4</v>
      </c>
      <c r="T281" t="str">
        <f>IF(Tabela1[[#This Row],[STATUS_NEGOCIO]]="Enviar E-mail",1,"")</f>
        <v/>
      </c>
      <c r="U281" t="str">
        <f>TEXT(Tabela1[[#This Row],[DATA]],"dd/mm/aaaa")</f>
        <v>20/04/2026</v>
      </c>
    </row>
    <row r="282" spans="1:21" x14ac:dyDescent="0.25">
      <c r="A282" s="4">
        <v>46132.70040509259</v>
      </c>
      <c r="B282" s="5" t="s">
        <v>19</v>
      </c>
      <c r="C282" s="5" t="s">
        <v>27</v>
      </c>
      <c r="D282" s="5"/>
      <c r="E282" s="6"/>
      <c r="F282" s="5">
        <v>2765179049</v>
      </c>
      <c r="G282" s="7">
        <v>177671451559411</v>
      </c>
      <c r="H282" s="5" t="s">
        <v>270</v>
      </c>
      <c r="I282" s="5" t="s">
        <v>28</v>
      </c>
      <c r="J282" s="5" t="s">
        <v>30</v>
      </c>
      <c r="K282" s="5" t="s">
        <v>36</v>
      </c>
      <c r="L282" s="5" t="s">
        <v>36</v>
      </c>
      <c r="M282" s="5"/>
      <c r="N282" s="5" t="s">
        <v>32</v>
      </c>
      <c r="O282" s="5">
        <v>19</v>
      </c>
      <c r="P282" s="5"/>
      <c r="Q282" s="5"/>
      <c r="R282" s="8">
        <v>3.9351851851851852E-4</v>
      </c>
      <c r="S282" s="5" t="s">
        <v>37</v>
      </c>
      <c r="T282" t="str">
        <f>IF(Tabela1[[#This Row],[STATUS_NEGOCIO]]="Enviar E-mail",1,"")</f>
        <v/>
      </c>
      <c r="U282" t="str">
        <f>TEXT(Tabela1[[#This Row],[DATA]],"dd/mm/aaaa")</f>
        <v>20/04/2026</v>
      </c>
    </row>
    <row r="283" spans="1:21" x14ac:dyDescent="0.25">
      <c r="A283" s="4">
        <v>46132.700902777775</v>
      </c>
      <c r="B283" s="5" t="s">
        <v>19</v>
      </c>
      <c r="C283" s="5" t="s">
        <v>27</v>
      </c>
      <c r="D283" s="5"/>
      <c r="E283" s="6"/>
      <c r="F283" s="5">
        <v>2765179092</v>
      </c>
      <c r="G283" s="7">
        <v>177671455859521</v>
      </c>
      <c r="H283" s="5" t="s">
        <v>270</v>
      </c>
      <c r="I283" s="5" t="s">
        <v>28</v>
      </c>
      <c r="J283" s="5" t="s">
        <v>30</v>
      </c>
      <c r="K283" s="5" t="s">
        <v>36</v>
      </c>
      <c r="L283" s="5" t="s">
        <v>36</v>
      </c>
      <c r="M283" s="5"/>
      <c r="N283" s="5" t="s">
        <v>32</v>
      </c>
      <c r="O283" s="5">
        <v>19</v>
      </c>
      <c r="P283" s="5"/>
      <c r="Q283" s="5"/>
      <c r="R283" s="8">
        <v>2.5462962962962961E-4</v>
      </c>
      <c r="S283" s="5" t="s">
        <v>37</v>
      </c>
      <c r="T283" t="str">
        <f>IF(Tabela1[[#This Row],[STATUS_NEGOCIO]]="Enviar E-mail",1,"")</f>
        <v/>
      </c>
      <c r="U283" t="str">
        <f>TEXT(Tabela1[[#This Row],[DATA]],"dd/mm/aaaa")</f>
        <v>20/04/2026</v>
      </c>
    </row>
    <row r="284" spans="1:21" x14ac:dyDescent="0.25">
      <c r="A284" s="4">
        <v>46132.701342592591</v>
      </c>
      <c r="B284" s="5" t="s">
        <v>19</v>
      </c>
      <c r="C284" s="5" t="s">
        <v>27</v>
      </c>
      <c r="D284" s="5"/>
      <c r="E284" s="6"/>
      <c r="F284" s="5">
        <v>2764956132</v>
      </c>
      <c r="G284" s="7">
        <v>177671459659611</v>
      </c>
      <c r="H284" s="5" t="s">
        <v>47</v>
      </c>
      <c r="I284" s="5" t="s">
        <v>28</v>
      </c>
      <c r="J284" s="5" t="s">
        <v>30</v>
      </c>
      <c r="K284" s="5" t="s">
        <v>23</v>
      </c>
      <c r="L284" s="5" t="s">
        <v>31</v>
      </c>
      <c r="M284" s="5"/>
      <c r="N284" s="5" t="s">
        <v>32</v>
      </c>
      <c r="O284" s="5">
        <v>16</v>
      </c>
      <c r="P284" s="5"/>
      <c r="Q284" s="5"/>
      <c r="R284" s="8">
        <v>4.861111111111111E-4</v>
      </c>
      <c r="S284" s="8">
        <v>2.3148148148148147E-5</v>
      </c>
      <c r="T284" t="str">
        <f>IF(Tabela1[[#This Row],[STATUS_NEGOCIO]]="Enviar E-mail",1,"")</f>
        <v/>
      </c>
      <c r="U284" t="str">
        <f>TEXT(Tabela1[[#This Row],[DATA]],"dd/mm/aaaa")</f>
        <v>20/04/2026</v>
      </c>
    </row>
    <row r="285" spans="1:21" x14ac:dyDescent="0.25">
      <c r="A285" s="4">
        <v>46132.701354166667</v>
      </c>
      <c r="B285" s="5" t="s">
        <v>19</v>
      </c>
      <c r="C285" s="5" t="s">
        <v>20</v>
      </c>
      <c r="D285" s="5"/>
      <c r="E285" s="6"/>
      <c r="F285" s="5">
        <v>2764780627</v>
      </c>
      <c r="G285" s="7">
        <v>177671459759631</v>
      </c>
      <c r="H285" s="5" t="s">
        <v>278</v>
      </c>
      <c r="I285" s="5" t="s">
        <v>28</v>
      </c>
      <c r="J285" s="5" t="s">
        <v>30</v>
      </c>
      <c r="K285" s="5" t="s">
        <v>36</v>
      </c>
      <c r="L285" s="5" t="s">
        <v>36</v>
      </c>
      <c r="M285" s="5"/>
      <c r="N285" s="5" t="s">
        <v>32</v>
      </c>
      <c r="O285" s="5">
        <v>19</v>
      </c>
      <c r="P285" s="5"/>
      <c r="Q285" s="5"/>
      <c r="R285" s="8">
        <v>5.7870370370370373E-5</v>
      </c>
      <c r="S285" s="5" t="s">
        <v>37</v>
      </c>
      <c r="T285" t="str">
        <f>IF(Tabela1[[#This Row],[STATUS_NEGOCIO]]="Enviar E-mail",1,"")</f>
        <v/>
      </c>
      <c r="U285" t="str">
        <f>TEXT(Tabela1[[#This Row],[DATA]],"dd/mm/aaaa")</f>
        <v>20/04/2026</v>
      </c>
    </row>
    <row r="286" spans="1:21" x14ac:dyDescent="0.25">
      <c r="A286" s="4">
        <v>46132.701585648145</v>
      </c>
      <c r="B286" s="5" t="s">
        <v>19</v>
      </c>
      <c r="C286" s="5" t="s">
        <v>20</v>
      </c>
      <c r="D286" s="5"/>
      <c r="E286" s="6"/>
      <c r="F286" s="5">
        <v>2768836856</v>
      </c>
      <c r="G286" s="7">
        <v>177671461759661</v>
      </c>
      <c r="H286" s="5" t="s">
        <v>279</v>
      </c>
      <c r="I286" s="5" t="s">
        <v>28</v>
      </c>
      <c r="J286" s="5" t="s">
        <v>30</v>
      </c>
      <c r="K286" s="5" t="s">
        <v>23</v>
      </c>
      <c r="L286" s="5" t="s">
        <v>44</v>
      </c>
      <c r="M286" s="5"/>
      <c r="N286" s="5" t="s">
        <v>26</v>
      </c>
      <c r="O286" s="5">
        <v>16</v>
      </c>
      <c r="P286" s="5"/>
      <c r="Q286" s="5"/>
      <c r="R286" s="8">
        <v>2.0833333333333335E-4</v>
      </c>
      <c r="S286" s="8">
        <v>1.5046296296296297E-4</v>
      </c>
      <c r="T286" t="str">
        <f>IF(Tabela1[[#This Row],[STATUS_NEGOCIO]]="Enviar E-mail",1,"")</f>
        <v/>
      </c>
      <c r="U286" t="str">
        <f>TEXT(Tabela1[[#This Row],[DATA]],"dd/mm/aaaa")</f>
        <v>20/04/2026</v>
      </c>
    </row>
    <row r="287" spans="1:21" x14ac:dyDescent="0.25">
      <c r="A287" s="4">
        <v>46132.703958333332</v>
      </c>
      <c r="B287" s="5" t="s">
        <v>19</v>
      </c>
      <c r="C287" s="5" t="s">
        <v>20</v>
      </c>
      <c r="D287" s="5"/>
      <c r="E287" s="6"/>
      <c r="F287" s="5">
        <v>2764149373</v>
      </c>
      <c r="G287" s="7">
        <v>177671482259981</v>
      </c>
      <c r="H287" s="5" t="s">
        <v>280</v>
      </c>
      <c r="I287" s="5" t="s">
        <v>28</v>
      </c>
      <c r="J287" s="5" t="s">
        <v>30</v>
      </c>
      <c r="K287" s="5" t="s">
        <v>23</v>
      </c>
      <c r="L287" s="5" t="s">
        <v>40</v>
      </c>
      <c r="M287" s="5"/>
      <c r="N287" s="5" t="s">
        <v>32</v>
      </c>
      <c r="O287" s="5">
        <v>16</v>
      </c>
      <c r="P287" s="5"/>
      <c r="Q287" s="5"/>
      <c r="R287" s="8">
        <v>1.7476851851851852E-3</v>
      </c>
      <c r="S287" s="8">
        <v>1.5856481481481481E-3</v>
      </c>
      <c r="T287">
        <f>IF(Tabela1[[#This Row],[STATUS_NEGOCIO]]="Enviar E-mail",1,"")</f>
        <v>1</v>
      </c>
      <c r="U287" t="str">
        <f>TEXT(Tabela1[[#This Row],[DATA]],"dd/mm/aaaa")</f>
        <v>20/04/2026</v>
      </c>
    </row>
    <row r="288" spans="1:21" x14ac:dyDescent="0.25">
      <c r="A288" s="4">
        <v>46132.705034722225</v>
      </c>
      <c r="B288" s="5" t="s">
        <v>19</v>
      </c>
      <c r="C288" s="5" t="s">
        <v>27</v>
      </c>
      <c r="D288" s="5"/>
      <c r="E288" s="6"/>
      <c r="F288" s="5">
        <v>2741312432</v>
      </c>
      <c r="G288" s="7">
        <v>177671491560071</v>
      </c>
      <c r="H288" s="5" t="s">
        <v>140</v>
      </c>
      <c r="I288" s="5" t="s">
        <v>28</v>
      </c>
      <c r="J288" s="5" t="s">
        <v>30</v>
      </c>
      <c r="K288" s="5" t="s">
        <v>23</v>
      </c>
      <c r="L288" s="5" t="s">
        <v>31</v>
      </c>
      <c r="M288" s="5"/>
      <c r="N288" s="5" t="s">
        <v>26</v>
      </c>
      <c r="O288" s="5">
        <v>16</v>
      </c>
      <c r="P288" s="5"/>
      <c r="Q288" s="5"/>
      <c r="R288" s="8">
        <v>4.9768518518518521E-4</v>
      </c>
      <c r="S288" s="8">
        <v>2.3148148148148149E-4</v>
      </c>
      <c r="T288" t="str">
        <f>IF(Tabela1[[#This Row],[STATUS_NEGOCIO]]="Enviar E-mail",1,"")</f>
        <v/>
      </c>
      <c r="U288" t="str">
        <f>TEXT(Tabela1[[#This Row],[DATA]],"dd/mm/aaaa")</f>
        <v>20/04/2026</v>
      </c>
    </row>
    <row r="289" spans="1:21" x14ac:dyDescent="0.25">
      <c r="A289" s="4">
        <v>46132.705995370372</v>
      </c>
      <c r="B289" s="5" t="s">
        <v>19</v>
      </c>
      <c r="C289" s="5" t="s">
        <v>27</v>
      </c>
      <c r="D289" s="5"/>
      <c r="E289" s="6"/>
      <c r="F289" s="5">
        <v>2776158052</v>
      </c>
      <c r="G289" s="7">
        <v>177671499860111</v>
      </c>
      <c r="H289" s="5" t="s">
        <v>231</v>
      </c>
      <c r="I289" s="5" t="s">
        <v>28</v>
      </c>
      <c r="J289" s="5" t="s">
        <v>30</v>
      </c>
      <c r="K289" s="5" t="s">
        <v>23</v>
      </c>
      <c r="L289" s="5" t="s">
        <v>40</v>
      </c>
      <c r="M289" s="5"/>
      <c r="N289" s="5" t="s">
        <v>26</v>
      </c>
      <c r="O289" s="5">
        <v>16</v>
      </c>
      <c r="P289" s="5"/>
      <c r="Q289" s="5"/>
      <c r="R289" s="8">
        <v>1.736111111111111E-3</v>
      </c>
      <c r="S289" s="8">
        <v>1.6087962962962963E-3</v>
      </c>
      <c r="T289">
        <f>IF(Tabela1[[#This Row],[STATUS_NEGOCIO]]="Enviar E-mail",1,"")</f>
        <v>1</v>
      </c>
      <c r="U289" t="str">
        <f>TEXT(Tabela1[[#This Row],[DATA]],"dd/mm/aaaa")</f>
        <v>20/04/2026</v>
      </c>
    </row>
    <row r="290" spans="1:21" x14ac:dyDescent="0.25">
      <c r="A290" s="4">
        <v>46132.692928240744</v>
      </c>
      <c r="B290" s="5" t="s">
        <v>19</v>
      </c>
      <c r="C290" s="5" t="s">
        <v>37</v>
      </c>
      <c r="D290" s="5">
        <v>1340549000198</v>
      </c>
      <c r="E290" s="6">
        <v>1340549000198</v>
      </c>
      <c r="F290" s="5">
        <v>672</v>
      </c>
      <c r="G290" s="7">
        <v>177671386958141</v>
      </c>
      <c r="H290" s="5" t="s">
        <v>281</v>
      </c>
      <c r="I290" s="5" t="s">
        <v>52</v>
      </c>
      <c r="J290" s="5" t="s">
        <v>22</v>
      </c>
      <c r="K290" s="5" t="s">
        <v>36</v>
      </c>
      <c r="L290" s="5" t="s">
        <v>36</v>
      </c>
      <c r="M290" s="5" t="s">
        <v>250</v>
      </c>
      <c r="N290" s="5" t="s">
        <v>53</v>
      </c>
      <c r="O290" s="5">
        <v>19</v>
      </c>
      <c r="P290" s="5"/>
      <c r="Q290" s="5"/>
      <c r="R290" s="8">
        <v>0</v>
      </c>
      <c r="S290" s="5" t="s">
        <v>37</v>
      </c>
      <c r="T290" t="str">
        <f>IF(Tabela1[[#This Row],[STATUS_NEGOCIO]]="Enviar E-mail",1,"")</f>
        <v/>
      </c>
      <c r="U290" t="str">
        <f>TEXT(Tabela1[[#This Row],[DATA]],"dd/mm/aaaa")</f>
        <v>20/04/2026</v>
      </c>
    </row>
    <row r="291" spans="1:21" x14ac:dyDescent="0.25">
      <c r="A291" s="4">
        <v>46132.70894675926</v>
      </c>
      <c r="B291" s="5" t="s">
        <v>19</v>
      </c>
      <c r="C291" s="5" t="s">
        <v>27</v>
      </c>
      <c r="D291" s="5"/>
      <c r="E291" s="6"/>
      <c r="F291" s="5">
        <v>2768768836</v>
      </c>
      <c r="G291" s="7">
        <v>177671525360201</v>
      </c>
      <c r="H291" s="5" t="s">
        <v>282</v>
      </c>
      <c r="I291" s="5" t="s">
        <v>28</v>
      </c>
      <c r="J291" s="5" t="s">
        <v>30</v>
      </c>
      <c r="K291" s="5" t="s">
        <v>23</v>
      </c>
      <c r="L291" s="5" t="s">
        <v>31</v>
      </c>
      <c r="M291" s="5"/>
      <c r="N291" s="5" t="s">
        <v>32</v>
      </c>
      <c r="O291" s="5">
        <v>16</v>
      </c>
      <c r="P291" s="5"/>
      <c r="Q291" s="5"/>
      <c r="R291" s="8">
        <v>2.7083333333333334E-3</v>
      </c>
      <c r="S291" s="8">
        <v>2.3379629629629631E-3</v>
      </c>
      <c r="T291" t="str">
        <f>IF(Tabela1[[#This Row],[STATUS_NEGOCIO]]="Enviar E-mail",1,"")</f>
        <v/>
      </c>
      <c r="U291" t="str">
        <f>TEXT(Tabela1[[#This Row],[DATA]],"dd/mm/aaaa")</f>
        <v>20/04/2026</v>
      </c>
    </row>
    <row r="292" spans="1:21" x14ac:dyDescent="0.25">
      <c r="A292" s="4">
        <v>46132.712222222224</v>
      </c>
      <c r="B292" s="5" t="s">
        <v>19</v>
      </c>
      <c r="C292" s="5" t="s">
        <v>27</v>
      </c>
      <c r="D292" s="5"/>
      <c r="E292" s="6"/>
      <c r="F292" s="5">
        <v>2761334037</v>
      </c>
      <c r="G292" s="7">
        <v>177671553660441</v>
      </c>
      <c r="H292" s="5" t="s">
        <v>283</v>
      </c>
      <c r="I292" s="5" t="s">
        <v>28</v>
      </c>
      <c r="J292" s="5" t="s">
        <v>30</v>
      </c>
      <c r="K292" s="5" t="s">
        <v>23</v>
      </c>
      <c r="L292" s="5" t="s">
        <v>31</v>
      </c>
      <c r="M292" s="5"/>
      <c r="N292" s="5" t="s">
        <v>32</v>
      </c>
      <c r="O292" s="5">
        <v>16</v>
      </c>
      <c r="P292" s="5"/>
      <c r="Q292" s="5"/>
      <c r="R292" s="8">
        <v>3.7037037037037035E-4</v>
      </c>
      <c r="S292" s="8">
        <v>8.1018518518518516E-5</v>
      </c>
      <c r="T292" t="str">
        <f>IF(Tabela1[[#This Row],[STATUS_NEGOCIO]]="Enviar E-mail",1,"")</f>
        <v/>
      </c>
      <c r="U292" t="str">
        <f>TEXT(Tabela1[[#This Row],[DATA]],"dd/mm/aaaa")</f>
        <v>20/04/2026</v>
      </c>
    </row>
    <row r="293" spans="1:21" x14ac:dyDescent="0.25">
      <c r="A293" s="4">
        <v>46134.376296296294</v>
      </c>
      <c r="B293" s="5" t="s">
        <v>19</v>
      </c>
      <c r="C293" s="5" t="s">
        <v>20</v>
      </c>
      <c r="D293" s="5">
        <v>1</v>
      </c>
      <c r="E293" s="6">
        <v>64078000170</v>
      </c>
      <c r="F293" s="5">
        <v>1</v>
      </c>
      <c r="G293" s="7">
        <v>17768593123001</v>
      </c>
      <c r="H293" s="5" t="s">
        <v>125</v>
      </c>
      <c r="I293" s="5">
        <v>3003</v>
      </c>
      <c r="J293" s="5" t="s">
        <v>22</v>
      </c>
      <c r="K293" s="5" t="s">
        <v>23</v>
      </c>
      <c r="L293" s="5" t="s">
        <v>265</v>
      </c>
      <c r="M293" s="5" t="s">
        <v>284</v>
      </c>
      <c r="N293" s="5" t="s">
        <v>32</v>
      </c>
      <c r="O293" s="5">
        <v>16</v>
      </c>
      <c r="P293" s="5"/>
      <c r="Q293" s="5"/>
      <c r="R293" s="8">
        <v>3.5879629629629629E-4</v>
      </c>
      <c r="S293" s="8">
        <v>3.4722222222222224E-4</v>
      </c>
      <c r="T293" t="str">
        <f>IF(Tabela1[[#This Row],[STATUS_NEGOCIO]]="Enviar E-mail",1,"")</f>
        <v/>
      </c>
      <c r="U293" t="str">
        <f>TEXT(Tabela1[[#This Row],[DATA]],"dd/mm/aaaa")</f>
        <v>22/04/2026</v>
      </c>
    </row>
    <row r="294" spans="1:21" x14ac:dyDescent="0.25">
      <c r="A294" s="4">
        <v>46134.376296296294</v>
      </c>
      <c r="B294" s="5" t="s">
        <v>19</v>
      </c>
      <c r="C294" s="5" t="s">
        <v>27</v>
      </c>
      <c r="D294" s="5">
        <v>2</v>
      </c>
      <c r="E294" s="6">
        <v>94869000142</v>
      </c>
      <c r="F294" s="5">
        <v>2</v>
      </c>
      <c r="G294" s="7">
        <v>17768593123011</v>
      </c>
      <c r="H294" s="5" t="s">
        <v>251</v>
      </c>
      <c r="I294" s="5">
        <v>3003</v>
      </c>
      <c r="J294" s="5" t="s">
        <v>22</v>
      </c>
      <c r="K294" s="5" t="s">
        <v>23</v>
      </c>
      <c r="L294" s="5" t="s">
        <v>31</v>
      </c>
      <c r="M294" s="5" t="s">
        <v>284</v>
      </c>
      <c r="N294" s="5" t="s">
        <v>26</v>
      </c>
      <c r="O294" s="5">
        <v>16</v>
      </c>
      <c r="P294" s="5"/>
      <c r="Q294" s="5"/>
      <c r="R294" s="8">
        <v>4.861111111111111E-4</v>
      </c>
      <c r="S294" s="8">
        <v>4.6296296296296298E-4</v>
      </c>
      <c r="T294" t="str">
        <f>IF(Tabela1[[#This Row],[STATUS_NEGOCIO]]="Enviar E-mail",1,"")</f>
        <v/>
      </c>
      <c r="U294" t="str">
        <f>TEXT(Tabela1[[#This Row],[DATA]],"dd/mm/aaaa")</f>
        <v>22/04/2026</v>
      </c>
    </row>
    <row r="295" spans="1:21" x14ac:dyDescent="0.25">
      <c r="A295" s="4">
        <v>46134.377002314817</v>
      </c>
      <c r="B295" s="5" t="s">
        <v>19</v>
      </c>
      <c r="C295" s="5" t="s">
        <v>27</v>
      </c>
      <c r="D295" s="5">
        <v>3</v>
      </c>
      <c r="E295" s="6">
        <v>117961000180</v>
      </c>
      <c r="F295" s="5">
        <v>3</v>
      </c>
      <c r="G295" s="7">
        <v>17768593733121</v>
      </c>
      <c r="H295" s="5" t="s">
        <v>252</v>
      </c>
      <c r="I295" s="5">
        <v>3003</v>
      </c>
      <c r="J295" s="5" t="s">
        <v>22</v>
      </c>
      <c r="K295" s="5" t="s">
        <v>23</v>
      </c>
      <c r="L295" s="5" t="s">
        <v>44</v>
      </c>
      <c r="M295" s="5" t="s">
        <v>284</v>
      </c>
      <c r="N295" s="5" t="s">
        <v>26</v>
      </c>
      <c r="O295" s="5">
        <v>16</v>
      </c>
      <c r="P295" s="5"/>
      <c r="Q295" s="5"/>
      <c r="R295" s="8">
        <v>8.1018518518518516E-5</v>
      </c>
      <c r="S295" s="8">
        <v>5.7870370370370373E-5</v>
      </c>
      <c r="T295" t="str">
        <f>IF(Tabela1[[#This Row],[STATUS_NEGOCIO]]="Enviar E-mail",1,"")</f>
        <v/>
      </c>
      <c r="U295" t="str">
        <f>TEXT(Tabela1[[#This Row],[DATA]],"dd/mm/aaaa")</f>
        <v>22/04/2026</v>
      </c>
    </row>
    <row r="296" spans="1:21" x14ac:dyDescent="0.25">
      <c r="A296" s="4">
        <v>46134.377002314817</v>
      </c>
      <c r="B296" s="5" t="s">
        <v>19</v>
      </c>
      <c r="C296" s="5" t="s">
        <v>20</v>
      </c>
      <c r="D296" s="5">
        <v>4</v>
      </c>
      <c r="E296" s="6">
        <v>175438000100</v>
      </c>
      <c r="F296" s="5">
        <v>4</v>
      </c>
      <c r="G296" s="7">
        <v>17768593733131</v>
      </c>
      <c r="H296" s="5" t="s">
        <v>253</v>
      </c>
      <c r="I296" s="5">
        <v>3003</v>
      </c>
      <c r="J296" s="5" t="s">
        <v>22</v>
      </c>
      <c r="K296" s="5" t="s">
        <v>23</v>
      </c>
      <c r="L296" s="5" t="s">
        <v>31</v>
      </c>
      <c r="M296" s="5" t="s">
        <v>284</v>
      </c>
      <c r="N296" s="5" t="s">
        <v>32</v>
      </c>
      <c r="O296" s="5">
        <v>16</v>
      </c>
      <c r="P296" s="5"/>
      <c r="Q296" s="5"/>
      <c r="R296" s="8">
        <v>1.0416666666666667E-4</v>
      </c>
      <c r="S296" s="8">
        <v>8.1018518518518516E-5</v>
      </c>
      <c r="T296" t="str">
        <f>IF(Tabela1[[#This Row],[STATUS_NEGOCIO]]="Enviar E-mail",1,"")</f>
        <v/>
      </c>
      <c r="U296" t="str">
        <f>TEXT(Tabela1[[#This Row],[DATA]],"dd/mm/aaaa")</f>
        <v>22/04/2026</v>
      </c>
    </row>
    <row r="297" spans="1:21" x14ac:dyDescent="0.25">
      <c r="A297" s="4">
        <v>46134.377175925925</v>
      </c>
      <c r="B297" s="5" t="s">
        <v>19</v>
      </c>
      <c r="C297" s="5" t="s">
        <v>20</v>
      </c>
      <c r="D297" s="5">
        <v>5</v>
      </c>
      <c r="E297" s="6">
        <v>255310000157</v>
      </c>
      <c r="F297" s="5">
        <v>5</v>
      </c>
      <c r="G297" s="7">
        <v>17768593883171</v>
      </c>
      <c r="H297" s="5" t="s">
        <v>109</v>
      </c>
      <c r="I297" s="5">
        <v>3003</v>
      </c>
      <c r="J297" s="5" t="s">
        <v>22</v>
      </c>
      <c r="K297" s="5" t="s">
        <v>23</v>
      </c>
      <c r="L297" s="5" t="s">
        <v>31</v>
      </c>
      <c r="M297" s="5" t="s">
        <v>284</v>
      </c>
      <c r="N297" s="5" t="s">
        <v>26</v>
      </c>
      <c r="O297" s="5">
        <v>16</v>
      </c>
      <c r="P297" s="5"/>
      <c r="Q297" s="5"/>
      <c r="R297" s="8">
        <v>1.0416666666666667E-4</v>
      </c>
      <c r="S297" s="8">
        <v>8.1018518518518516E-5</v>
      </c>
      <c r="T297" t="str">
        <f>IF(Tabela1[[#This Row],[STATUS_NEGOCIO]]="Enviar E-mail",1,"")</f>
        <v/>
      </c>
      <c r="U297" t="str">
        <f>TEXT(Tabela1[[#This Row],[DATA]],"dd/mm/aaaa")</f>
        <v>22/04/2026</v>
      </c>
    </row>
    <row r="298" spans="1:21" x14ac:dyDescent="0.25">
      <c r="A298" s="4">
        <v>46134.377743055556</v>
      </c>
      <c r="B298" s="5" t="s">
        <v>19</v>
      </c>
      <c r="C298" s="5" t="s">
        <v>27</v>
      </c>
      <c r="D298" s="5">
        <v>6</v>
      </c>
      <c r="E298" s="6">
        <v>420622000179</v>
      </c>
      <c r="F298" s="5">
        <v>6</v>
      </c>
      <c r="G298" s="7">
        <v>17768594373201</v>
      </c>
      <c r="H298" s="5" t="s">
        <v>256</v>
      </c>
      <c r="I298" s="5">
        <v>3003</v>
      </c>
      <c r="J298" s="5" t="s">
        <v>22</v>
      </c>
      <c r="K298" s="5" t="s">
        <v>23</v>
      </c>
      <c r="L298" s="5" t="s">
        <v>31</v>
      </c>
      <c r="M298" s="5" t="s">
        <v>284</v>
      </c>
      <c r="N298" s="5" t="s">
        <v>26</v>
      </c>
      <c r="O298" s="5">
        <v>16</v>
      </c>
      <c r="P298" s="5"/>
      <c r="Q298" s="5"/>
      <c r="R298" s="8">
        <v>2.8935185185185184E-4</v>
      </c>
      <c r="S298" s="8">
        <v>2.6620370370370372E-4</v>
      </c>
      <c r="T298" t="str">
        <f>IF(Tabela1[[#This Row],[STATUS_NEGOCIO]]="Enviar E-mail",1,"")</f>
        <v/>
      </c>
      <c r="U298" t="str">
        <f>TEXT(Tabela1[[#This Row],[DATA]],"dd/mm/aaaa")</f>
        <v>22/04/2026</v>
      </c>
    </row>
    <row r="299" spans="1:21" x14ac:dyDescent="0.25">
      <c r="A299" s="4">
        <v>46134.378379629627</v>
      </c>
      <c r="B299" s="5" t="s">
        <v>19</v>
      </c>
      <c r="C299" s="5" t="s">
        <v>37</v>
      </c>
      <c r="D299" s="5">
        <v>7</v>
      </c>
      <c r="E299" s="6">
        <v>451332000192</v>
      </c>
      <c r="F299" s="5">
        <v>7</v>
      </c>
      <c r="G299" s="7">
        <v>17768594923291</v>
      </c>
      <c r="H299" s="5" t="s">
        <v>257</v>
      </c>
      <c r="I299" s="5" t="s">
        <v>52</v>
      </c>
      <c r="J299" s="5" t="s">
        <v>22</v>
      </c>
      <c r="K299" s="5" t="s">
        <v>36</v>
      </c>
      <c r="L299" s="5" t="s">
        <v>36</v>
      </c>
      <c r="M299" s="5" t="s">
        <v>284</v>
      </c>
      <c r="N299" s="5" t="s">
        <v>53</v>
      </c>
      <c r="O299" s="5">
        <v>19</v>
      </c>
      <c r="P299" s="5"/>
      <c r="Q299" s="5"/>
      <c r="R299" s="8">
        <v>0</v>
      </c>
      <c r="S299" s="5" t="s">
        <v>37</v>
      </c>
      <c r="T299" t="str">
        <f>IF(Tabela1[[#This Row],[STATUS_NEGOCIO]]="Enviar E-mail",1,"")</f>
        <v/>
      </c>
      <c r="U299" t="str">
        <f>TEXT(Tabela1[[#This Row],[DATA]],"dd/mm/aaaa")</f>
        <v>22/04/2026</v>
      </c>
    </row>
    <row r="300" spans="1:21" x14ac:dyDescent="0.25">
      <c r="A300" s="4">
        <v>46134.378935185188</v>
      </c>
      <c r="B300" s="5" t="s">
        <v>19</v>
      </c>
      <c r="C300" s="5" t="s">
        <v>20</v>
      </c>
      <c r="D300" s="5">
        <v>8</v>
      </c>
      <c r="E300" s="6">
        <v>550875000167</v>
      </c>
      <c r="F300" s="5">
        <v>8</v>
      </c>
      <c r="G300" s="7">
        <v>17768595403351</v>
      </c>
      <c r="H300" s="5" t="s">
        <v>258</v>
      </c>
      <c r="I300" s="5">
        <v>3003</v>
      </c>
      <c r="J300" s="5" t="s">
        <v>22</v>
      </c>
      <c r="K300" s="5" t="s">
        <v>23</v>
      </c>
      <c r="L300" s="5" t="s">
        <v>31</v>
      </c>
      <c r="M300" s="5" t="s">
        <v>284</v>
      </c>
      <c r="N300" s="5" t="s">
        <v>32</v>
      </c>
      <c r="O300" s="5">
        <v>16</v>
      </c>
      <c r="P300" s="5"/>
      <c r="Q300" s="5"/>
      <c r="R300" s="8">
        <v>1.1574074074074075E-4</v>
      </c>
      <c r="S300" s="8">
        <v>9.2592592592592588E-5</v>
      </c>
      <c r="T300" t="str">
        <f>IF(Tabela1[[#This Row],[STATUS_NEGOCIO]]="Enviar E-mail",1,"")</f>
        <v/>
      </c>
      <c r="U300" t="str">
        <f>TEXT(Tabela1[[#This Row],[DATA]],"dd/mm/aaaa")</f>
        <v>22/04/2026</v>
      </c>
    </row>
    <row r="301" spans="1:21" x14ac:dyDescent="0.25">
      <c r="A301" s="4">
        <v>46134.379108796296</v>
      </c>
      <c r="B301" s="5" t="s">
        <v>19</v>
      </c>
      <c r="C301" s="5" t="s">
        <v>27</v>
      </c>
      <c r="D301" s="5">
        <v>9</v>
      </c>
      <c r="E301" s="6">
        <v>749145000190</v>
      </c>
      <c r="F301" s="5">
        <v>9</v>
      </c>
      <c r="G301" s="7">
        <v>17768595553371</v>
      </c>
      <c r="H301" s="5" t="s">
        <v>260</v>
      </c>
      <c r="I301" s="5">
        <v>3003</v>
      </c>
      <c r="J301" s="5" t="s">
        <v>22</v>
      </c>
      <c r="K301" s="5" t="s">
        <v>23</v>
      </c>
      <c r="L301" s="5" t="s">
        <v>31</v>
      </c>
      <c r="M301" s="5" t="s">
        <v>284</v>
      </c>
      <c r="N301" s="5" t="s">
        <v>26</v>
      </c>
      <c r="O301" s="5">
        <v>16</v>
      </c>
      <c r="P301" s="5"/>
      <c r="Q301" s="5"/>
      <c r="R301" s="8">
        <v>3.7037037037037035E-4</v>
      </c>
      <c r="S301" s="8">
        <v>3.4722222222222224E-4</v>
      </c>
      <c r="T301" t="str">
        <f>IF(Tabela1[[#This Row],[STATUS_NEGOCIO]]="Enviar E-mail",1,"")</f>
        <v/>
      </c>
      <c r="U301" t="str">
        <f>TEXT(Tabela1[[#This Row],[DATA]],"dd/mm/aaaa")</f>
        <v>22/04/2026</v>
      </c>
    </row>
    <row r="302" spans="1:21" x14ac:dyDescent="0.25">
      <c r="A302" s="4">
        <v>46134.379675925928</v>
      </c>
      <c r="B302" s="5" t="s">
        <v>19</v>
      </c>
      <c r="C302" s="5" t="s">
        <v>20</v>
      </c>
      <c r="D302" s="5">
        <v>10</v>
      </c>
      <c r="E302" s="6">
        <v>837531000133</v>
      </c>
      <c r="F302" s="5">
        <v>10</v>
      </c>
      <c r="G302" s="7">
        <v>17768596043441</v>
      </c>
      <c r="H302" s="5" t="s">
        <v>68</v>
      </c>
      <c r="I302" s="5">
        <v>3003</v>
      </c>
      <c r="J302" s="5" t="s">
        <v>22</v>
      </c>
      <c r="K302" s="5" t="s">
        <v>23</v>
      </c>
      <c r="L302" s="5" t="s">
        <v>265</v>
      </c>
      <c r="M302" s="5" t="s">
        <v>284</v>
      </c>
      <c r="N302" s="5" t="s">
        <v>26</v>
      </c>
      <c r="O302" s="5">
        <v>16</v>
      </c>
      <c r="P302" s="5"/>
      <c r="Q302" s="5"/>
      <c r="R302" s="8">
        <v>2.199074074074074E-4</v>
      </c>
      <c r="S302" s="8">
        <v>2.0833333333333335E-4</v>
      </c>
      <c r="T302" t="str">
        <f>IF(Tabela1[[#This Row],[STATUS_NEGOCIO]]="Enviar E-mail",1,"")</f>
        <v/>
      </c>
      <c r="U302" t="str">
        <f>TEXT(Tabela1[[#This Row],[DATA]],"dd/mm/aaaa")</f>
        <v>22/04/2026</v>
      </c>
    </row>
    <row r="303" spans="1:21" x14ac:dyDescent="0.25">
      <c r="A303" s="4">
        <v>46134.380335648151</v>
      </c>
      <c r="B303" s="5" t="s">
        <v>19</v>
      </c>
      <c r="C303" s="5" t="s">
        <v>27</v>
      </c>
      <c r="D303" s="5">
        <v>11</v>
      </c>
      <c r="E303" s="6">
        <v>845384000143</v>
      </c>
      <c r="F303" s="5">
        <v>11</v>
      </c>
      <c r="G303" s="7">
        <v>17768596613591</v>
      </c>
      <c r="H303" s="5" t="s">
        <v>261</v>
      </c>
      <c r="I303" s="5">
        <v>3003</v>
      </c>
      <c r="J303" s="5" t="s">
        <v>22</v>
      </c>
      <c r="K303" s="5" t="s">
        <v>23</v>
      </c>
      <c r="L303" s="5" t="s">
        <v>31</v>
      </c>
      <c r="M303" s="5" t="s">
        <v>284</v>
      </c>
      <c r="N303" s="5" t="s">
        <v>32</v>
      </c>
      <c r="O303" s="5">
        <v>16</v>
      </c>
      <c r="P303" s="5"/>
      <c r="Q303" s="5"/>
      <c r="R303" s="8">
        <v>2.3148148148148149E-4</v>
      </c>
      <c r="S303" s="8">
        <v>2.0833333333333335E-4</v>
      </c>
      <c r="T303" t="str">
        <f>IF(Tabela1[[#This Row],[STATUS_NEGOCIO]]="Enviar E-mail",1,"")</f>
        <v/>
      </c>
      <c r="U303" t="str">
        <f>TEXT(Tabela1[[#This Row],[DATA]],"dd/mm/aaaa")</f>
        <v>22/04/2026</v>
      </c>
    </row>
    <row r="304" spans="1:21" x14ac:dyDescent="0.25">
      <c r="A304" s="4">
        <v>46134.381053240744</v>
      </c>
      <c r="B304" s="5" t="s">
        <v>19</v>
      </c>
      <c r="C304" s="5" t="s">
        <v>20</v>
      </c>
      <c r="D304" s="5">
        <v>12</v>
      </c>
      <c r="E304" s="6">
        <v>863808000100</v>
      </c>
      <c r="F304" s="5">
        <v>12</v>
      </c>
      <c r="G304" s="7">
        <v>17768597233761</v>
      </c>
      <c r="H304" s="5" t="s">
        <v>179</v>
      </c>
      <c r="I304" s="5">
        <v>3003</v>
      </c>
      <c r="J304" s="5" t="s">
        <v>22</v>
      </c>
      <c r="K304" s="5" t="s">
        <v>23</v>
      </c>
      <c r="L304" s="5" t="s">
        <v>265</v>
      </c>
      <c r="M304" s="5" t="s">
        <v>284</v>
      </c>
      <c r="N304" s="5" t="s">
        <v>32</v>
      </c>
      <c r="O304" s="5">
        <v>16</v>
      </c>
      <c r="P304" s="5"/>
      <c r="Q304" s="5"/>
      <c r="R304" s="8">
        <v>2.199074074074074E-4</v>
      </c>
      <c r="S304" s="8">
        <v>1.9675925925925926E-4</v>
      </c>
      <c r="T304" t="str">
        <f>IF(Tabela1[[#This Row],[STATUS_NEGOCIO]]="Enviar E-mail",1,"")</f>
        <v/>
      </c>
      <c r="U304" t="str">
        <f>TEXT(Tabela1[[#This Row],[DATA]],"dd/mm/aaaa")</f>
        <v>22/04/2026</v>
      </c>
    </row>
    <row r="305" spans="1:21" x14ac:dyDescent="0.25">
      <c r="A305" s="4">
        <v>46134.381689814814</v>
      </c>
      <c r="B305" s="5" t="s">
        <v>19</v>
      </c>
      <c r="C305" s="5" t="s">
        <v>37</v>
      </c>
      <c r="D305" s="5">
        <v>13</v>
      </c>
      <c r="E305" s="6">
        <v>1056628000171</v>
      </c>
      <c r="F305" s="5">
        <v>13</v>
      </c>
      <c r="G305" s="7">
        <v>17768597784001</v>
      </c>
      <c r="H305" s="5" t="s">
        <v>262</v>
      </c>
      <c r="I305" s="5" t="s">
        <v>52</v>
      </c>
      <c r="J305" s="5" t="s">
        <v>22</v>
      </c>
      <c r="K305" s="5" t="s">
        <v>36</v>
      </c>
      <c r="L305" s="5" t="s">
        <v>36</v>
      </c>
      <c r="M305" s="5" t="s">
        <v>284</v>
      </c>
      <c r="N305" s="5" t="s">
        <v>53</v>
      </c>
      <c r="O305" s="5">
        <v>19</v>
      </c>
      <c r="P305" s="5"/>
      <c r="Q305" s="5"/>
      <c r="R305" s="8">
        <v>0</v>
      </c>
      <c r="S305" s="5" t="s">
        <v>37</v>
      </c>
      <c r="T305" t="str">
        <f>IF(Tabela1[[#This Row],[STATUS_NEGOCIO]]="Enviar E-mail",1,"")</f>
        <v/>
      </c>
      <c r="U305" t="str">
        <f>TEXT(Tabela1[[#This Row],[DATA]],"dd/mm/aaaa")</f>
        <v>22/04/2026</v>
      </c>
    </row>
    <row r="306" spans="1:21" x14ac:dyDescent="0.25">
      <c r="A306" s="4">
        <v>46134.382268518515</v>
      </c>
      <c r="B306" s="5" t="s">
        <v>19</v>
      </c>
      <c r="C306" s="5" t="s">
        <v>27</v>
      </c>
      <c r="D306" s="5">
        <v>14</v>
      </c>
      <c r="E306" s="6">
        <v>1062613000116</v>
      </c>
      <c r="F306" s="5">
        <v>14</v>
      </c>
      <c r="G306" s="7">
        <v>17768598284091</v>
      </c>
      <c r="H306" s="5" t="s">
        <v>263</v>
      </c>
      <c r="I306" s="5">
        <v>3003</v>
      </c>
      <c r="J306" s="5" t="s">
        <v>22</v>
      </c>
      <c r="K306" s="5" t="s">
        <v>23</v>
      </c>
      <c r="L306" s="5" t="s">
        <v>265</v>
      </c>
      <c r="M306" s="5" t="s">
        <v>284</v>
      </c>
      <c r="N306" s="5" t="s">
        <v>26</v>
      </c>
      <c r="O306" s="5">
        <v>16</v>
      </c>
      <c r="P306" s="5"/>
      <c r="Q306" s="5"/>
      <c r="R306" s="8">
        <v>3.5879629629629629E-4</v>
      </c>
      <c r="S306" s="8">
        <v>3.3564814814814812E-4</v>
      </c>
      <c r="T306" t="str">
        <f>IF(Tabela1[[#This Row],[STATUS_NEGOCIO]]="Enviar E-mail",1,"")</f>
        <v/>
      </c>
      <c r="U306" t="str">
        <f>TEXT(Tabela1[[#This Row],[DATA]],"dd/mm/aaaa")</f>
        <v>22/04/2026</v>
      </c>
    </row>
    <row r="307" spans="1:21" x14ac:dyDescent="0.25">
      <c r="A307" s="4">
        <v>46134.383090277777</v>
      </c>
      <c r="B307" s="5" t="s">
        <v>19</v>
      </c>
      <c r="C307" s="5" t="s">
        <v>20</v>
      </c>
      <c r="D307" s="5">
        <v>15</v>
      </c>
      <c r="E307" s="6">
        <v>1104119000177</v>
      </c>
      <c r="F307" s="5">
        <v>15</v>
      </c>
      <c r="G307" s="7">
        <v>17768598994361</v>
      </c>
      <c r="H307" s="5" t="s">
        <v>264</v>
      </c>
      <c r="I307" s="5">
        <v>3003</v>
      </c>
      <c r="J307" s="5" t="s">
        <v>22</v>
      </c>
      <c r="K307" s="5" t="s">
        <v>23</v>
      </c>
      <c r="L307" s="5" t="s">
        <v>265</v>
      </c>
      <c r="M307" s="5" t="s">
        <v>284</v>
      </c>
      <c r="N307" s="5" t="s">
        <v>26</v>
      </c>
      <c r="O307" s="5">
        <v>16</v>
      </c>
      <c r="P307" s="5"/>
      <c r="Q307" s="5"/>
      <c r="R307" s="8">
        <v>6.9444444444444444E-5</v>
      </c>
      <c r="S307" s="8">
        <v>5.7870370370370373E-5</v>
      </c>
      <c r="T307" t="str">
        <f>IF(Tabela1[[#This Row],[STATUS_NEGOCIO]]="Enviar E-mail",1,"")</f>
        <v/>
      </c>
      <c r="U307" t="str">
        <f>TEXT(Tabela1[[#This Row],[DATA]],"dd/mm/aaaa")</f>
        <v>22/04/2026</v>
      </c>
    </row>
    <row r="308" spans="1:21" x14ac:dyDescent="0.25">
      <c r="A308" s="4">
        <v>46134.383587962962</v>
      </c>
      <c r="B308" s="5" t="s">
        <v>19</v>
      </c>
      <c r="C308" s="5" t="s">
        <v>27</v>
      </c>
      <c r="D308" s="5">
        <v>16</v>
      </c>
      <c r="E308" s="6">
        <v>1209604000105</v>
      </c>
      <c r="F308" s="5">
        <v>16</v>
      </c>
      <c r="G308" s="7">
        <v>17768599424541</v>
      </c>
      <c r="H308" s="5" t="s">
        <v>266</v>
      </c>
      <c r="I308" s="5">
        <v>3003</v>
      </c>
      <c r="J308" s="5" t="s">
        <v>22</v>
      </c>
      <c r="K308" s="5" t="s">
        <v>23</v>
      </c>
      <c r="L308" s="5" t="s">
        <v>31</v>
      </c>
      <c r="M308" s="5" t="s">
        <v>284</v>
      </c>
      <c r="N308" s="5" t="s">
        <v>26</v>
      </c>
      <c r="O308" s="5">
        <v>16</v>
      </c>
      <c r="P308" s="5"/>
      <c r="Q308" s="5"/>
      <c r="R308" s="8">
        <v>2.0833333333333335E-4</v>
      </c>
      <c r="S308" s="8">
        <v>1.9675925925925926E-4</v>
      </c>
      <c r="T308" t="str">
        <f>IF(Tabela1[[#This Row],[STATUS_NEGOCIO]]="Enviar E-mail",1,"")</f>
        <v/>
      </c>
      <c r="U308" t="str">
        <f>TEXT(Tabela1[[#This Row],[DATA]],"dd/mm/aaaa")</f>
        <v>22/04/2026</v>
      </c>
    </row>
    <row r="309" spans="1:21" x14ac:dyDescent="0.25">
      <c r="A309" s="4">
        <v>46134.383819444447</v>
      </c>
      <c r="B309" s="5" t="s">
        <v>19</v>
      </c>
      <c r="C309" s="5" t="s">
        <v>37</v>
      </c>
      <c r="D309" s="5">
        <v>17</v>
      </c>
      <c r="E309" s="6">
        <v>1340549000198</v>
      </c>
      <c r="F309" s="5">
        <v>17</v>
      </c>
      <c r="G309" s="7">
        <v>17768599624631</v>
      </c>
      <c r="H309" s="5" t="s">
        <v>281</v>
      </c>
      <c r="I309" s="5" t="s">
        <v>52</v>
      </c>
      <c r="J309" s="5" t="s">
        <v>22</v>
      </c>
      <c r="K309" s="5" t="s">
        <v>36</v>
      </c>
      <c r="L309" s="5" t="s">
        <v>36</v>
      </c>
      <c r="M309" s="5" t="s">
        <v>284</v>
      </c>
      <c r="N309" s="5" t="s">
        <v>53</v>
      </c>
      <c r="O309" s="5">
        <v>19</v>
      </c>
      <c r="P309" s="5"/>
      <c r="Q309" s="5"/>
      <c r="R309" s="8">
        <v>0</v>
      </c>
      <c r="S309" s="5" t="s">
        <v>37</v>
      </c>
      <c r="T309" t="str">
        <f>IF(Tabela1[[#This Row],[STATUS_NEGOCIO]]="Enviar E-mail",1,"")</f>
        <v/>
      </c>
      <c r="U309" t="str">
        <f>TEXT(Tabela1[[#This Row],[DATA]],"dd/mm/aaaa")</f>
        <v>22/04/2026</v>
      </c>
    </row>
    <row r="310" spans="1:21" x14ac:dyDescent="0.25">
      <c r="A310" s="4">
        <v>46134.384386574071</v>
      </c>
      <c r="B310" s="5" t="s">
        <v>19</v>
      </c>
      <c r="C310" s="5" t="s">
        <v>37</v>
      </c>
      <c r="D310" s="5">
        <v>18</v>
      </c>
      <c r="E310" s="6">
        <v>1387961000163</v>
      </c>
      <c r="F310" s="5">
        <v>18</v>
      </c>
      <c r="G310" s="7">
        <v>17768600114681</v>
      </c>
      <c r="H310" s="5" t="s">
        <v>267</v>
      </c>
      <c r="I310" s="5">
        <v>3003</v>
      </c>
      <c r="J310" s="5" t="s">
        <v>22</v>
      </c>
      <c r="K310" s="5" t="s">
        <v>23</v>
      </c>
      <c r="L310" s="5" t="s">
        <v>31</v>
      </c>
      <c r="M310" s="5" t="s">
        <v>284</v>
      </c>
      <c r="N310" s="5" t="s">
        <v>26</v>
      </c>
      <c r="O310" s="5">
        <v>131</v>
      </c>
      <c r="P310" s="5"/>
      <c r="Q310" s="5"/>
      <c r="R310" s="8">
        <v>1.1574074074074073E-5</v>
      </c>
      <c r="S310" s="5" t="s">
        <v>37</v>
      </c>
      <c r="T310" t="str">
        <f>IF(Tabela1[[#This Row],[STATUS_NEGOCIO]]="Enviar E-mail",1,"")</f>
        <v/>
      </c>
      <c r="U310" t="str">
        <f>TEXT(Tabela1[[#This Row],[DATA]],"dd/mm/aaaa")</f>
        <v>22/04/2026</v>
      </c>
    </row>
    <row r="311" spans="1:21" x14ac:dyDescent="0.25">
      <c r="A311" s="4">
        <v>46134.384583333333</v>
      </c>
      <c r="B311" s="5" t="s">
        <v>19</v>
      </c>
      <c r="C311" s="5" t="s">
        <v>37</v>
      </c>
      <c r="D311" s="5">
        <v>19</v>
      </c>
      <c r="E311" s="6">
        <v>1399122000165</v>
      </c>
      <c r="F311" s="5">
        <v>19</v>
      </c>
      <c r="G311" s="7">
        <v>17768600284791</v>
      </c>
      <c r="H311" s="5" t="s">
        <v>285</v>
      </c>
      <c r="I311" s="5" t="s">
        <v>52</v>
      </c>
      <c r="J311" s="5" t="s">
        <v>22</v>
      </c>
      <c r="K311" s="5" t="s">
        <v>36</v>
      </c>
      <c r="L311" s="5" t="s">
        <v>36</v>
      </c>
      <c r="M311" s="5" t="s">
        <v>284</v>
      </c>
      <c r="N311" s="5" t="s">
        <v>53</v>
      </c>
      <c r="O311" s="5">
        <v>19</v>
      </c>
      <c r="P311" s="5"/>
      <c r="Q311" s="5"/>
      <c r="R311" s="8">
        <v>0</v>
      </c>
      <c r="S311" s="5" t="s">
        <v>37</v>
      </c>
      <c r="T311" t="str">
        <f>IF(Tabela1[[#This Row],[STATUS_NEGOCIO]]="Enviar E-mail",1,"")</f>
        <v/>
      </c>
      <c r="U311" t="str">
        <f>TEXT(Tabela1[[#This Row],[DATA]],"dd/mm/aaaa")</f>
        <v>22/04/2026</v>
      </c>
    </row>
    <row r="312" spans="1:21" x14ac:dyDescent="0.25">
      <c r="A312" s="4">
        <v>46134.385300925926</v>
      </c>
      <c r="B312" s="5" t="s">
        <v>19</v>
      </c>
      <c r="C312" s="5" t="s">
        <v>27</v>
      </c>
      <c r="D312" s="5">
        <v>20</v>
      </c>
      <c r="E312" s="6">
        <v>1401398000130</v>
      </c>
      <c r="F312" s="5">
        <v>20</v>
      </c>
      <c r="G312" s="7">
        <v>17768600904861</v>
      </c>
      <c r="H312" s="5" t="s">
        <v>286</v>
      </c>
      <c r="I312" s="5">
        <v>3003</v>
      </c>
      <c r="J312" s="5" t="s">
        <v>22</v>
      </c>
      <c r="K312" s="5" t="s">
        <v>23</v>
      </c>
      <c r="L312" s="5" t="s">
        <v>40</v>
      </c>
      <c r="M312" s="5" t="s">
        <v>284</v>
      </c>
      <c r="N312" s="5" t="s">
        <v>26</v>
      </c>
      <c r="O312" s="5">
        <v>16</v>
      </c>
      <c r="P312" s="5"/>
      <c r="Q312" s="5"/>
      <c r="R312" s="8">
        <v>1.8055555555555555E-3</v>
      </c>
      <c r="S312" s="8">
        <v>1.7824074074074075E-3</v>
      </c>
      <c r="T312">
        <f>IF(Tabela1[[#This Row],[STATUS_NEGOCIO]]="Enviar E-mail",1,"")</f>
        <v>1</v>
      </c>
      <c r="U312" t="str">
        <f>TEXT(Tabela1[[#This Row],[DATA]],"dd/mm/aaaa")</f>
        <v>22/04/2026</v>
      </c>
    </row>
    <row r="313" spans="1:21" x14ac:dyDescent="0.25">
      <c r="A313" s="4">
        <v>46134.387199074074</v>
      </c>
      <c r="B313" s="5" t="s">
        <v>19</v>
      </c>
      <c r="C313" s="5" t="s">
        <v>27</v>
      </c>
      <c r="D313" s="5">
        <v>21</v>
      </c>
      <c r="E313" s="6">
        <v>1485063000148</v>
      </c>
      <c r="F313" s="5">
        <v>21</v>
      </c>
      <c r="G313" s="7">
        <v>17768602545311</v>
      </c>
      <c r="H313" s="5" t="s">
        <v>230</v>
      </c>
      <c r="I313" s="5">
        <v>3003</v>
      </c>
      <c r="J313" s="5" t="s">
        <v>22</v>
      </c>
      <c r="K313" s="5" t="s">
        <v>23</v>
      </c>
      <c r="L313" s="5" t="s">
        <v>31</v>
      </c>
      <c r="M313" s="5" t="s">
        <v>284</v>
      </c>
      <c r="N313" s="5" t="s">
        <v>26</v>
      </c>
      <c r="O313" s="5">
        <v>16</v>
      </c>
      <c r="P313" s="5"/>
      <c r="Q313" s="5"/>
      <c r="R313" s="8">
        <v>1.0416666666666667E-4</v>
      </c>
      <c r="S313" s="8">
        <v>8.1018518518518516E-5</v>
      </c>
      <c r="T313" t="str">
        <f>IF(Tabela1[[#This Row],[STATUS_NEGOCIO]]="Enviar E-mail",1,"")</f>
        <v/>
      </c>
      <c r="U313" t="str">
        <f>TEXT(Tabela1[[#This Row],[DATA]],"dd/mm/aaaa")</f>
        <v>22/04/2026</v>
      </c>
    </row>
    <row r="314" spans="1:21" x14ac:dyDescent="0.25">
      <c r="A314" s="4">
        <v>46134.38758101852</v>
      </c>
      <c r="B314" s="5" t="s">
        <v>19</v>
      </c>
      <c r="C314" s="5" t="s">
        <v>37</v>
      </c>
      <c r="D314" s="5">
        <v>22</v>
      </c>
      <c r="E314" s="6">
        <v>1632895000140</v>
      </c>
      <c r="F314" s="5">
        <v>22</v>
      </c>
      <c r="G314" s="7">
        <v>17768602555331</v>
      </c>
      <c r="H314" s="5" t="s">
        <v>287</v>
      </c>
      <c r="I314" s="5">
        <v>3003</v>
      </c>
      <c r="J314" s="5" t="s">
        <v>22</v>
      </c>
      <c r="K314" s="5" t="s">
        <v>23</v>
      </c>
      <c r="L314" s="5" t="s">
        <v>31</v>
      </c>
      <c r="M314" s="5" t="s">
        <v>284</v>
      </c>
      <c r="N314" s="5" t="s">
        <v>26</v>
      </c>
      <c r="O314" s="5">
        <v>131</v>
      </c>
      <c r="P314" s="5"/>
      <c r="Q314" s="5"/>
      <c r="R314" s="8">
        <v>2.4305555555555555E-4</v>
      </c>
      <c r="S314" s="5" t="s">
        <v>37</v>
      </c>
      <c r="T314" t="str">
        <f>IF(Tabela1[[#This Row],[STATUS_NEGOCIO]]="Enviar E-mail",1,"")</f>
        <v/>
      </c>
      <c r="U314" t="str">
        <f>TEXT(Tabela1[[#This Row],[DATA]],"dd/mm/aaaa")</f>
        <v>22/04/2026</v>
      </c>
    </row>
    <row r="315" spans="1:21" x14ac:dyDescent="0.25">
      <c r="A315" s="4">
        <v>46134.38790509259</v>
      </c>
      <c r="B315" s="5" t="s">
        <v>19</v>
      </c>
      <c r="C315" s="5" t="s">
        <v>37</v>
      </c>
      <c r="D315" s="5">
        <v>23</v>
      </c>
      <c r="E315" s="6">
        <v>1721269000120</v>
      </c>
      <c r="F315" s="5">
        <v>23</v>
      </c>
      <c r="G315" s="7">
        <v>17768602895521</v>
      </c>
      <c r="H315" s="5" t="s">
        <v>288</v>
      </c>
      <c r="I315" s="5">
        <v>3003</v>
      </c>
      <c r="J315" s="5" t="s">
        <v>22</v>
      </c>
      <c r="K315" s="5" t="s">
        <v>23</v>
      </c>
      <c r="L315" s="5" t="s">
        <v>31</v>
      </c>
      <c r="M315" s="5" t="s">
        <v>284</v>
      </c>
      <c r="N315" s="5" t="s">
        <v>26</v>
      </c>
      <c r="O315" s="5">
        <v>131</v>
      </c>
      <c r="P315" s="5"/>
      <c r="Q315" s="5"/>
      <c r="R315" s="8">
        <v>3.1250000000000001E-4</v>
      </c>
      <c r="S315" s="5" t="s">
        <v>37</v>
      </c>
      <c r="T315" t="str">
        <f>IF(Tabela1[[#This Row],[STATUS_NEGOCIO]]="Enviar E-mail",1,"")</f>
        <v/>
      </c>
      <c r="U315" t="str">
        <f>TEXT(Tabela1[[#This Row],[DATA]],"dd/mm/aaaa")</f>
        <v>22/04/2026</v>
      </c>
    </row>
    <row r="316" spans="1:21" x14ac:dyDescent="0.25">
      <c r="A316" s="4">
        <v>46134.387997685182</v>
      </c>
      <c r="B316" s="5" t="s">
        <v>19</v>
      </c>
      <c r="C316" s="5" t="s">
        <v>27</v>
      </c>
      <c r="D316" s="5">
        <v>24</v>
      </c>
      <c r="E316" s="6">
        <v>1728820000167</v>
      </c>
      <c r="F316" s="5">
        <v>24</v>
      </c>
      <c r="G316" s="7">
        <v>17768603235661</v>
      </c>
      <c r="H316" s="5" t="s">
        <v>289</v>
      </c>
      <c r="I316" s="5">
        <v>3003</v>
      </c>
      <c r="J316" s="5" t="s">
        <v>22</v>
      </c>
      <c r="K316" s="5" t="s">
        <v>23</v>
      </c>
      <c r="L316" s="5" t="s">
        <v>40</v>
      </c>
      <c r="M316" s="5" t="s">
        <v>284</v>
      </c>
      <c r="N316" s="5" t="s">
        <v>26</v>
      </c>
      <c r="O316" s="5">
        <v>16</v>
      </c>
      <c r="P316" s="5"/>
      <c r="Q316" s="5"/>
      <c r="R316" s="8">
        <v>1.8749999999999999E-3</v>
      </c>
      <c r="S316" s="8">
        <v>1.8518518518518519E-3</v>
      </c>
      <c r="T316">
        <f>IF(Tabela1[[#This Row],[STATUS_NEGOCIO]]="Enviar E-mail",1,"")</f>
        <v>1</v>
      </c>
      <c r="U316" t="str">
        <f>TEXT(Tabela1[[#This Row],[DATA]],"dd/mm/aaaa")</f>
        <v>22/04/2026</v>
      </c>
    </row>
    <row r="317" spans="1:21" x14ac:dyDescent="0.25">
      <c r="A317" s="4">
        <v>46134.38994212963</v>
      </c>
      <c r="B317" s="5" t="s">
        <v>19</v>
      </c>
      <c r="C317" s="5" t="s">
        <v>20</v>
      </c>
      <c r="D317" s="5">
        <v>25</v>
      </c>
      <c r="E317" s="6">
        <v>1784604000139</v>
      </c>
      <c r="F317" s="5">
        <v>25</v>
      </c>
      <c r="G317" s="7">
        <v>17768604915831</v>
      </c>
      <c r="H317" s="5" t="s">
        <v>290</v>
      </c>
      <c r="I317" s="5">
        <v>3003</v>
      </c>
      <c r="J317" s="5" t="s">
        <v>22</v>
      </c>
      <c r="K317" s="5" t="s">
        <v>23</v>
      </c>
      <c r="L317" s="5" t="s">
        <v>40</v>
      </c>
      <c r="M317" s="5" t="s">
        <v>284</v>
      </c>
      <c r="N317" s="5" t="s">
        <v>32</v>
      </c>
      <c r="O317" s="5">
        <v>16</v>
      </c>
      <c r="P317" s="5"/>
      <c r="Q317" s="5"/>
      <c r="R317" s="8">
        <v>2.2916666666666667E-3</v>
      </c>
      <c r="S317" s="8">
        <v>2.2685185185185187E-3</v>
      </c>
      <c r="T317">
        <f>IF(Tabela1[[#This Row],[STATUS_NEGOCIO]]="Enviar E-mail",1,"")</f>
        <v>1</v>
      </c>
      <c r="U317" t="str">
        <f>TEXT(Tabela1[[#This Row],[DATA]],"dd/mm/aaaa")</f>
        <v>22/04/2026</v>
      </c>
    </row>
    <row r="318" spans="1:21" x14ac:dyDescent="0.25">
      <c r="A318" s="4">
        <v>46134.392696759256</v>
      </c>
      <c r="B318" s="5" t="s">
        <v>19</v>
      </c>
      <c r="C318" s="5" t="s">
        <v>27</v>
      </c>
      <c r="D318" s="5">
        <v>27</v>
      </c>
      <c r="E318" s="6">
        <v>1959285000155</v>
      </c>
      <c r="F318" s="5">
        <v>27</v>
      </c>
      <c r="G318" s="7">
        <v>17768607296461</v>
      </c>
      <c r="H318" s="5" t="s">
        <v>291</v>
      </c>
      <c r="I318" s="5">
        <v>3003</v>
      </c>
      <c r="J318" s="5" t="s">
        <v>22</v>
      </c>
      <c r="K318" s="5" t="s">
        <v>23</v>
      </c>
      <c r="L318" s="5" t="s">
        <v>31</v>
      </c>
      <c r="M318" s="5" t="s">
        <v>284</v>
      </c>
      <c r="N318" s="5" t="s">
        <v>26</v>
      </c>
      <c r="O318" s="5">
        <v>16</v>
      </c>
      <c r="P318" s="5"/>
      <c r="Q318" s="5"/>
      <c r="R318" s="8">
        <v>2.8935185185185184E-4</v>
      </c>
      <c r="S318" s="8">
        <v>2.6620370370370372E-4</v>
      </c>
      <c r="T318" t="str">
        <f>IF(Tabela1[[#This Row],[STATUS_NEGOCIO]]="Enviar E-mail",1,"")</f>
        <v/>
      </c>
      <c r="U318" t="str">
        <f>TEXT(Tabela1[[#This Row],[DATA]],"dd/mm/aaaa")</f>
        <v>22/04/2026</v>
      </c>
    </row>
    <row r="319" spans="1:21" x14ac:dyDescent="0.25">
      <c r="A319" s="4">
        <v>46134.395891203705</v>
      </c>
      <c r="B319" s="5" t="s">
        <v>19</v>
      </c>
      <c r="C319" s="5" t="s">
        <v>37</v>
      </c>
      <c r="D319" s="5">
        <v>28</v>
      </c>
      <c r="E319" s="6">
        <v>1978794000125</v>
      </c>
      <c r="F319" s="5">
        <v>28</v>
      </c>
      <c r="G319" s="7">
        <v>17768607896551</v>
      </c>
      <c r="H319" s="5" t="s">
        <v>292</v>
      </c>
      <c r="I319" s="5">
        <v>3003</v>
      </c>
      <c r="J319" s="5" t="s">
        <v>22</v>
      </c>
      <c r="K319" s="5" t="s">
        <v>23</v>
      </c>
      <c r="L319" s="5" t="s">
        <v>31</v>
      </c>
      <c r="M319" s="5" t="s">
        <v>284</v>
      </c>
      <c r="N319" s="5" t="s">
        <v>26</v>
      </c>
      <c r="O319" s="5">
        <v>131</v>
      </c>
      <c r="P319" s="5"/>
      <c r="Q319" s="5"/>
      <c r="R319" s="8">
        <v>2.1759259259259258E-3</v>
      </c>
      <c r="S319" s="5" t="s">
        <v>37</v>
      </c>
      <c r="T319" t="str">
        <f>IF(Tabela1[[#This Row],[STATUS_NEGOCIO]]="Enviar E-mail",1,"")</f>
        <v/>
      </c>
      <c r="U319" t="str">
        <f>TEXT(Tabela1[[#This Row],[DATA]],"dd/mm/aaaa")</f>
        <v>22/04/2026</v>
      </c>
    </row>
    <row r="320" spans="1:21" x14ac:dyDescent="0.25">
      <c r="A320" s="4">
        <v>46134.39607638889</v>
      </c>
      <c r="B320" s="5" t="s">
        <v>19</v>
      </c>
      <c r="C320" s="5" t="s">
        <v>27</v>
      </c>
      <c r="D320" s="5">
        <v>30</v>
      </c>
      <c r="E320" s="6">
        <v>2055500000156</v>
      </c>
      <c r="F320" s="5">
        <v>30</v>
      </c>
      <c r="G320" s="7">
        <v>17768610217311</v>
      </c>
      <c r="H320" s="5" t="s">
        <v>293</v>
      </c>
      <c r="I320" s="5">
        <v>3003</v>
      </c>
      <c r="J320" s="5" t="s">
        <v>22</v>
      </c>
      <c r="K320" s="5" t="s">
        <v>23</v>
      </c>
      <c r="L320" s="5" t="s">
        <v>265</v>
      </c>
      <c r="M320" s="5" t="s">
        <v>284</v>
      </c>
      <c r="N320" s="5" t="s">
        <v>32</v>
      </c>
      <c r="O320" s="5">
        <v>16</v>
      </c>
      <c r="P320" s="5"/>
      <c r="Q320" s="5"/>
      <c r="R320" s="8">
        <v>4.6296296296296298E-4</v>
      </c>
      <c r="S320" s="8">
        <v>4.3981481481481481E-4</v>
      </c>
      <c r="T320" t="str">
        <f>IF(Tabela1[[#This Row],[STATUS_NEGOCIO]]="Enviar E-mail",1,"")</f>
        <v/>
      </c>
      <c r="U320" t="str">
        <f>TEXT(Tabela1[[#This Row],[DATA]],"dd/mm/aaaa")</f>
        <v>22/04/2026</v>
      </c>
    </row>
    <row r="321" spans="1:21" x14ac:dyDescent="0.25">
      <c r="A321" s="4">
        <v>46134.39671296296</v>
      </c>
      <c r="B321" s="5" t="s">
        <v>19</v>
      </c>
      <c r="C321" s="5" t="s">
        <v>20</v>
      </c>
      <c r="D321" s="5">
        <v>31</v>
      </c>
      <c r="E321" s="6">
        <v>2079896000171</v>
      </c>
      <c r="F321" s="5">
        <v>31</v>
      </c>
      <c r="G321" s="7">
        <v>17768610767341</v>
      </c>
      <c r="H321" s="5" t="s">
        <v>272</v>
      </c>
      <c r="I321" s="5">
        <v>3003</v>
      </c>
      <c r="J321" s="5" t="s">
        <v>22</v>
      </c>
      <c r="K321" s="5" t="s">
        <v>23</v>
      </c>
      <c r="L321" s="5" t="s">
        <v>44</v>
      </c>
      <c r="M321" s="5" t="s">
        <v>284</v>
      </c>
      <c r="N321" s="5" t="s">
        <v>32</v>
      </c>
      <c r="O321" s="5">
        <v>16</v>
      </c>
      <c r="P321" s="5"/>
      <c r="Q321" s="5"/>
      <c r="R321" s="8">
        <v>2.8935185185185184E-4</v>
      </c>
      <c r="S321" s="8">
        <v>2.6620370370370372E-4</v>
      </c>
      <c r="T321" t="str">
        <f>IF(Tabela1[[#This Row],[STATUS_NEGOCIO]]="Enviar E-mail",1,"")</f>
        <v/>
      </c>
      <c r="U321" t="str">
        <f>TEXT(Tabela1[[#This Row],[DATA]],"dd/mm/aaaa")</f>
        <v>22/04/2026</v>
      </c>
    </row>
    <row r="322" spans="1:21" x14ac:dyDescent="0.25">
      <c r="A322" s="4">
        <v>46134.397638888891</v>
      </c>
      <c r="B322" s="5" t="s">
        <v>19</v>
      </c>
      <c r="C322" s="5" t="s">
        <v>37</v>
      </c>
      <c r="D322" s="5">
        <v>32</v>
      </c>
      <c r="E322" s="6">
        <v>2113776000143</v>
      </c>
      <c r="F322" s="5">
        <v>32</v>
      </c>
      <c r="G322" s="7">
        <v>17768611147471</v>
      </c>
      <c r="H322" s="5" t="s">
        <v>294</v>
      </c>
      <c r="I322" s="5">
        <v>3003</v>
      </c>
      <c r="J322" s="5" t="s">
        <v>22</v>
      </c>
      <c r="K322" s="5" t="s">
        <v>23</v>
      </c>
      <c r="L322" s="5" t="s">
        <v>31</v>
      </c>
      <c r="M322" s="5" t="s">
        <v>284</v>
      </c>
      <c r="N322" s="5" t="s">
        <v>26</v>
      </c>
      <c r="O322" s="5">
        <v>131</v>
      </c>
      <c r="P322" s="5"/>
      <c r="Q322" s="5"/>
      <c r="R322" s="8">
        <v>4.5138888888888887E-4</v>
      </c>
      <c r="S322" s="5" t="s">
        <v>37</v>
      </c>
      <c r="T322" t="str">
        <f>IF(Tabela1[[#This Row],[STATUS_NEGOCIO]]="Enviar E-mail",1,"")</f>
        <v/>
      </c>
      <c r="U322" t="str">
        <f>TEXT(Tabela1[[#This Row],[DATA]],"dd/mm/aaaa")</f>
        <v>22/04/2026</v>
      </c>
    </row>
    <row r="323" spans="1:21" x14ac:dyDescent="0.25">
      <c r="A323" s="4">
        <v>46134.398854166669</v>
      </c>
      <c r="B323" s="5" t="s">
        <v>19</v>
      </c>
      <c r="C323" s="5" t="s">
        <v>37</v>
      </c>
      <c r="D323" s="5">
        <v>33</v>
      </c>
      <c r="E323" s="6">
        <v>2148473000166</v>
      </c>
      <c r="F323" s="5">
        <v>33</v>
      </c>
      <c r="G323" s="7">
        <v>17768611667621</v>
      </c>
      <c r="H323" s="5" t="s">
        <v>283</v>
      </c>
      <c r="I323" s="5">
        <v>3003</v>
      </c>
      <c r="J323" s="5" t="s">
        <v>22</v>
      </c>
      <c r="K323" s="5" t="s">
        <v>23</v>
      </c>
      <c r="L323" s="5" t="s">
        <v>31</v>
      </c>
      <c r="M323" s="5" t="s">
        <v>284</v>
      </c>
      <c r="N323" s="5" t="s">
        <v>26</v>
      </c>
      <c r="O323" s="5">
        <v>131</v>
      </c>
      <c r="P323" s="5"/>
      <c r="Q323" s="5"/>
      <c r="R323" s="8">
        <v>9.0277777777777774E-4</v>
      </c>
      <c r="S323" s="5" t="s">
        <v>37</v>
      </c>
      <c r="T323" t="str">
        <f>IF(Tabela1[[#This Row],[STATUS_NEGOCIO]]="Enviar E-mail",1,"")</f>
        <v/>
      </c>
      <c r="U323" t="str">
        <f>TEXT(Tabela1[[#This Row],[DATA]],"dd/mm/aaaa")</f>
        <v>22/04/2026</v>
      </c>
    </row>
    <row r="324" spans="1:21" x14ac:dyDescent="0.25">
      <c r="A324" s="4">
        <v>46134.399039351854</v>
      </c>
      <c r="B324" s="5" t="s">
        <v>19</v>
      </c>
      <c r="C324" s="5" t="s">
        <v>37</v>
      </c>
      <c r="D324" s="5">
        <v>35</v>
      </c>
      <c r="E324" s="6">
        <v>2326459000105</v>
      </c>
      <c r="F324" s="5">
        <v>35</v>
      </c>
      <c r="G324" s="7">
        <v>17768612778421</v>
      </c>
      <c r="H324" s="5" t="s">
        <v>295</v>
      </c>
      <c r="I324" s="5" t="s">
        <v>52</v>
      </c>
      <c r="J324" s="5" t="s">
        <v>22</v>
      </c>
      <c r="K324" s="5" t="s">
        <v>36</v>
      </c>
      <c r="L324" s="5" t="s">
        <v>36</v>
      </c>
      <c r="M324" s="5" t="s">
        <v>284</v>
      </c>
      <c r="N324" s="5" t="s">
        <v>53</v>
      </c>
      <c r="O324" s="5">
        <v>19</v>
      </c>
      <c r="P324" s="5"/>
      <c r="Q324" s="5"/>
      <c r="R324" s="8">
        <v>0</v>
      </c>
      <c r="S324" s="5" t="s">
        <v>37</v>
      </c>
      <c r="T324" t="str">
        <f>IF(Tabela1[[#This Row],[STATUS_NEGOCIO]]="Enviar E-mail",1,"")</f>
        <v/>
      </c>
      <c r="U324" t="str">
        <f>TEXT(Tabela1[[#This Row],[DATA]],"dd/mm/aaaa")</f>
        <v>22/04/2026</v>
      </c>
    </row>
    <row r="325" spans="1:21" x14ac:dyDescent="0.25">
      <c r="A325" s="4">
        <v>46134.399768518517</v>
      </c>
      <c r="B325" s="5" t="s">
        <v>19</v>
      </c>
      <c r="C325" s="5" t="s">
        <v>27</v>
      </c>
      <c r="D325" s="5">
        <v>36</v>
      </c>
      <c r="E325" s="6">
        <v>2427859000107</v>
      </c>
      <c r="F325" s="5">
        <v>36</v>
      </c>
      <c r="G325" s="7">
        <v>17768613408571</v>
      </c>
      <c r="H325" s="5" t="s">
        <v>296</v>
      </c>
      <c r="I325" s="5">
        <v>3003</v>
      </c>
      <c r="J325" s="5" t="s">
        <v>22</v>
      </c>
      <c r="K325" s="5" t="s">
        <v>23</v>
      </c>
      <c r="L325" s="5" t="s">
        <v>31</v>
      </c>
      <c r="M325" s="5" t="s">
        <v>284</v>
      </c>
      <c r="N325" s="5" t="s">
        <v>26</v>
      </c>
      <c r="O325" s="5">
        <v>16</v>
      </c>
      <c r="P325" s="5"/>
      <c r="Q325" s="5"/>
      <c r="R325" s="8">
        <v>3.4722222222222224E-4</v>
      </c>
      <c r="S325" s="8">
        <v>3.2407407407407406E-4</v>
      </c>
      <c r="T325" t="str">
        <f>IF(Tabela1[[#This Row],[STATUS_NEGOCIO]]="Enviar E-mail",1,"")</f>
        <v/>
      </c>
      <c r="U325" t="str">
        <f>TEXT(Tabela1[[#This Row],[DATA]],"dd/mm/aaaa")</f>
        <v>22/04/2026</v>
      </c>
    </row>
    <row r="326" spans="1:21" x14ac:dyDescent="0.25">
      <c r="A326" s="4">
        <v>46134.400312500002</v>
      </c>
      <c r="B326" s="5" t="s">
        <v>19</v>
      </c>
      <c r="C326" s="5" t="s">
        <v>20</v>
      </c>
      <c r="D326" s="5">
        <v>37</v>
      </c>
      <c r="E326" s="6">
        <v>2464189000107</v>
      </c>
      <c r="F326" s="5">
        <v>37</v>
      </c>
      <c r="G326" s="7">
        <v>17768613878861</v>
      </c>
      <c r="H326" s="5" t="s">
        <v>297</v>
      </c>
      <c r="I326" s="5">
        <v>3003</v>
      </c>
      <c r="J326" s="5" t="s">
        <v>22</v>
      </c>
      <c r="K326" s="5" t="s">
        <v>23</v>
      </c>
      <c r="L326" s="5" t="s">
        <v>265</v>
      </c>
      <c r="M326" s="5" t="s">
        <v>284</v>
      </c>
      <c r="N326" s="5" t="s">
        <v>32</v>
      </c>
      <c r="O326" s="5">
        <v>16</v>
      </c>
      <c r="P326" s="5"/>
      <c r="Q326" s="5"/>
      <c r="R326" s="8">
        <v>2.5462962962962961E-4</v>
      </c>
      <c r="S326" s="8">
        <v>2.3148148148148149E-4</v>
      </c>
      <c r="T326" t="str">
        <f>IF(Tabela1[[#This Row],[STATUS_NEGOCIO]]="Enviar E-mail",1,"")</f>
        <v/>
      </c>
      <c r="U326" t="str">
        <f>TEXT(Tabela1[[#This Row],[DATA]],"dd/mm/aaaa")</f>
        <v>22/04/2026</v>
      </c>
    </row>
    <row r="327" spans="1:21" x14ac:dyDescent="0.25">
      <c r="A327" s="4">
        <v>46134.400995370372</v>
      </c>
      <c r="B327" s="5" t="s">
        <v>19</v>
      </c>
      <c r="C327" s="5" t="s">
        <v>27</v>
      </c>
      <c r="D327" s="5">
        <v>38</v>
      </c>
      <c r="E327" s="6">
        <v>2495060000158</v>
      </c>
      <c r="F327" s="5">
        <v>38</v>
      </c>
      <c r="G327" s="7">
        <v>17768614469041</v>
      </c>
      <c r="H327" s="5" t="s">
        <v>298</v>
      </c>
      <c r="I327" s="5">
        <v>3003</v>
      </c>
      <c r="J327" s="5" t="s">
        <v>22</v>
      </c>
      <c r="K327" s="5" t="s">
        <v>23</v>
      </c>
      <c r="L327" s="5" t="s">
        <v>40</v>
      </c>
      <c r="M327" s="5" t="s">
        <v>284</v>
      </c>
      <c r="N327" s="5" t="s">
        <v>26</v>
      </c>
      <c r="O327" s="5">
        <v>16</v>
      </c>
      <c r="P327" s="5"/>
      <c r="Q327" s="5"/>
      <c r="R327" s="8">
        <v>1.9444444444444444E-3</v>
      </c>
      <c r="S327" s="8">
        <v>1.9212962962962964E-3</v>
      </c>
      <c r="T327">
        <f>IF(Tabela1[[#This Row],[STATUS_NEGOCIO]]="Enviar E-mail",1,"")</f>
        <v>1</v>
      </c>
      <c r="U327" t="str">
        <f>TEXT(Tabela1[[#This Row],[DATA]],"dd/mm/aaaa")</f>
        <v>22/04/2026</v>
      </c>
    </row>
    <row r="328" spans="1:21" x14ac:dyDescent="0.25">
      <c r="A328" s="4">
        <v>46134.403020833335</v>
      </c>
      <c r="B328" s="5" t="s">
        <v>19</v>
      </c>
      <c r="C328" s="5" t="s">
        <v>37</v>
      </c>
      <c r="D328" s="5">
        <v>39</v>
      </c>
      <c r="E328" s="6">
        <v>2510074000101</v>
      </c>
      <c r="F328" s="5">
        <v>39</v>
      </c>
      <c r="G328" s="7">
        <v>17768616219241</v>
      </c>
      <c r="H328" s="5" t="s">
        <v>299</v>
      </c>
      <c r="I328" s="5" t="s">
        <v>52</v>
      </c>
      <c r="J328" s="5" t="s">
        <v>22</v>
      </c>
      <c r="K328" s="5" t="s">
        <v>36</v>
      </c>
      <c r="L328" s="5" t="s">
        <v>36</v>
      </c>
      <c r="M328" s="5" t="s">
        <v>284</v>
      </c>
      <c r="N328" s="5" t="s">
        <v>53</v>
      </c>
      <c r="O328" s="5">
        <v>19</v>
      </c>
      <c r="P328" s="5"/>
      <c r="Q328" s="5"/>
      <c r="R328" s="8">
        <v>0</v>
      </c>
      <c r="S328" s="5" t="s">
        <v>37</v>
      </c>
      <c r="T328" t="str">
        <f>IF(Tabela1[[#This Row],[STATUS_NEGOCIO]]="Enviar E-mail",1,"")</f>
        <v/>
      </c>
      <c r="U328" t="str">
        <f>TEXT(Tabela1[[#This Row],[DATA]],"dd/mm/aaaa")</f>
        <v>22/04/2026</v>
      </c>
    </row>
    <row r="329" spans="1:21" x14ac:dyDescent="0.25">
      <c r="A329" s="4">
        <v>46134.403564814813</v>
      </c>
      <c r="B329" s="5" t="s">
        <v>19</v>
      </c>
      <c r="C329" s="5" t="s">
        <v>37</v>
      </c>
      <c r="D329" s="5">
        <v>40</v>
      </c>
      <c r="E329" s="6">
        <v>2604580000151</v>
      </c>
      <c r="F329" s="5">
        <v>40</v>
      </c>
      <c r="G329" s="7">
        <v>17768616689271</v>
      </c>
      <c r="H329" s="5" t="s">
        <v>300</v>
      </c>
      <c r="I329" s="5" t="s">
        <v>52</v>
      </c>
      <c r="J329" s="5" t="s">
        <v>22</v>
      </c>
      <c r="K329" s="5" t="s">
        <v>36</v>
      </c>
      <c r="L329" s="5" t="s">
        <v>36</v>
      </c>
      <c r="M329" s="5" t="s">
        <v>284</v>
      </c>
      <c r="N329" s="5" t="s">
        <v>53</v>
      </c>
      <c r="O329" s="5">
        <v>19</v>
      </c>
      <c r="P329" s="5"/>
      <c r="Q329" s="5"/>
      <c r="R329" s="8">
        <v>0</v>
      </c>
      <c r="S329" s="5" t="s">
        <v>37</v>
      </c>
      <c r="T329" t="str">
        <f>IF(Tabela1[[#This Row],[STATUS_NEGOCIO]]="Enviar E-mail",1,"")</f>
        <v/>
      </c>
      <c r="U329" t="str">
        <f>TEXT(Tabela1[[#This Row],[DATA]],"dd/mm/aaaa")</f>
        <v>22/04/2026</v>
      </c>
    </row>
    <row r="330" spans="1:21" x14ac:dyDescent="0.25">
      <c r="A330" s="4">
        <v>46134.404733796298</v>
      </c>
      <c r="B330" s="5" t="s">
        <v>19</v>
      </c>
      <c r="C330" s="5" t="s">
        <v>37</v>
      </c>
      <c r="D330" s="5">
        <v>41</v>
      </c>
      <c r="E330" s="6">
        <v>2605792000153</v>
      </c>
      <c r="F330" s="5">
        <v>41</v>
      </c>
      <c r="G330" s="7">
        <v>17768617179481</v>
      </c>
      <c r="H330" s="5" t="s">
        <v>183</v>
      </c>
      <c r="I330" s="5">
        <v>3003</v>
      </c>
      <c r="J330" s="5" t="s">
        <v>22</v>
      </c>
      <c r="K330" s="5" t="s">
        <v>23</v>
      </c>
      <c r="L330" s="5" t="s">
        <v>31</v>
      </c>
      <c r="M330" s="5" t="s">
        <v>284</v>
      </c>
      <c r="N330" s="5" t="s">
        <v>26</v>
      </c>
      <c r="O330" s="5">
        <v>131</v>
      </c>
      <c r="P330" s="5"/>
      <c r="Q330" s="5"/>
      <c r="R330" s="8">
        <v>5.4398148148148144E-4</v>
      </c>
      <c r="S330" s="5" t="s">
        <v>37</v>
      </c>
      <c r="T330" t="str">
        <f>IF(Tabela1[[#This Row],[STATUS_NEGOCIO]]="Enviar E-mail",1,"")</f>
        <v/>
      </c>
      <c r="U330" t="str">
        <f>TEXT(Tabela1[[#This Row],[DATA]],"dd/mm/aaaa")</f>
        <v>22/04/2026</v>
      </c>
    </row>
    <row r="331" spans="1:21" x14ac:dyDescent="0.25">
      <c r="A331" s="4">
        <v>46134.404803240737</v>
      </c>
      <c r="B331" s="5" t="s">
        <v>19</v>
      </c>
      <c r="C331" s="5" t="s">
        <v>27</v>
      </c>
      <c r="D331" s="5">
        <v>42</v>
      </c>
      <c r="E331" s="6">
        <v>2746258000167</v>
      </c>
      <c r="F331" s="5">
        <v>42</v>
      </c>
      <c r="G331" s="7">
        <v>17768617759641</v>
      </c>
      <c r="H331" s="5" t="s">
        <v>138</v>
      </c>
      <c r="I331" s="5">
        <v>3003</v>
      </c>
      <c r="J331" s="5" t="s">
        <v>22</v>
      </c>
      <c r="K331" s="5" t="s">
        <v>23</v>
      </c>
      <c r="L331" s="5" t="s">
        <v>31</v>
      </c>
      <c r="M331" s="5" t="s">
        <v>284</v>
      </c>
      <c r="N331" s="5" t="s">
        <v>26</v>
      </c>
      <c r="O331" s="5">
        <v>16</v>
      </c>
      <c r="P331" s="5"/>
      <c r="Q331" s="5"/>
      <c r="R331" s="8">
        <v>4.5138888888888887E-4</v>
      </c>
      <c r="S331" s="8">
        <v>4.2824074074074075E-4</v>
      </c>
      <c r="T331" t="str">
        <f>IF(Tabela1[[#This Row],[STATUS_NEGOCIO]]="Enviar E-mail",1,"")</f>
        <v/>
      </c>
      <c r="U331" t="str">
        <f>TEXT(Tabela1[[#This Row],[DATA]],"dd/mm/aaaa")</f>
        <v>22/04/2026</v>
      </c>
    </row>
    <row r="332" spans="1:21" x14ac:dyDescent="0.25">
      <c r="A332" s="4">
        <v>46134.405497685184</v>
      </c>
      <c r="B332" s="5" t="s">
        <v>19</v>
      </c>
      <c r="C332" s="5" t="s">
        <v>20</v>
      </c>
      <c r="D332" s="5">
        <v>43</v>
      </c>
      <c r="E332" s="6">
        <v>2755969000106</v>
      </c>
      <c r="F332" s="5">
        <v>43</v>
      </c>
      <c r="G332" s="7">
        <v>17768618359871</v>
      </c>
      <c r="H332" s="5" t="s">
        <v>207</v>
      </c>
      <c r="I332" s="5">
        <v>3003</v>
      </c>
      <c r="J332" s="5" t="s">
        <v>22</v>
      </c>
      <c r="K332" s="5" t="s">
        <v>23</v>
      </c>
      <c r="L332" s="5" t="s">
        <v>31</v>
      </c>
      <c r="M332" s="5" t="s">
        <v>284</v>
      </c>
      <c r="N332" s="5" t="s">
        <v>32</v>
      </c>
      <c r="O332" s="5">
        <v>16</v>
      </c>
      <c r="P332" s="5"/>
      <c r="Q332" s="5"/>
      <c r="R332" s="8">
        <v>1.3888888888888889E-4</v>
      </c>
      <c r="S332" s="8">
        <v>1.1574074074074075E-4</v>
      </c>
      <c r="T332" t="str">
        <f>IF(Tabela1[[#This Row],[STATUS_NEGOCIO]]="Enviar E-mail",1,"")</f>
        <v/>
      </c>
      <c r="U332" t="str">
        <f>TEXT(Tabela1[[#This Row],[DATA]],"dd/mm/aaaa")</f>
        <v>22/04/2026</v>
      </c>
    </row>
    <row r="333" spans="1:21" x14ac:dyDescent="0.25">
      <c r="A333" s="4">
        <v>46134.408483796295</v>
      </c>
      <c r="B333" s="5" t="s">
        <v>19</v>
      </c>
      <c r="C333" s="5" t="s">
        <v>37</v>
      </c>
      <c r="D333" s="5">
        <v>44</v>
      </c>
      <c r="E333" s="6">
        <v>2823246000199</v>
      </c>
      <c r="F333" s="5">
        <v>44</v>
      </c>
      <c r="G333" s="7">
        <v>17768618829941</v>
      </c>
      <c r="H333" s="5" t="s">
        <v>301</v>
      </c>
      <c r="I333" s="5">
        <v>3003</v>
      </c>
      <c r="J333" s="5" t="s">
        <v>22</v>
      </c>
      <c r="K333" s="5" t="s">
        <v>23</v>
      </c>
      <c r="L333" s="5" t="s">
        <v>31</v>
      </c>
      <c r="M333" s="5" t="s">
        <v>284</v>
      </c>
      <c r="N333" s="5" t="s">
        <v>26</v>
      </c>
      <c r="O333" s="5">
        <v>131</v>
      </c>
      <c r="P333" s="5"/>
      <c r="Q333" s="5"/>
      <c r="R333" s="8">
        <v>2.1296296296296298E-3</v>
      </c>
      <c r="S333" s="5" t="s">
        <v>37</v>
      </c>
      <c r="T333" t="str">
        <f>IF(Tabela1[[#This Row],[STATUS_NEGOCIO]]="Enviar E-mail",1,"")</f>
        <v/>
      </c>
      <c r="U333" t="str">
        <f>TEXT(Tabela1[[#This Row],[DATA]],"dd/mm/aaaa")</f>
        <v>22/04/2026</v>
      </c>
    </row>
    <row r="334" spans="1:21" x14ac:dyDescent="0.25">
      <c r="A334" s="4">
        <v>46134.408541666664</v>
      </c>
      <c r="B334" s="5" t="s">
        <v>19</v>
      </c>
      <c r="C334" s="5" t="s">
        <v>20</v>
      </c>
      <c r="D334" s="5">
        <v>45</v>
      </c>
      <c r="E334" s="6">
        <v>2918682000141</v>
      </c>
      <c r="F334" s="5">
        <v>45</v>
      </c>
      <c r="G334" s="7">
        <v>177686209810541</v>
      </c>
      <c r="H334" s="5" t="s">
        <v>277</v>
      </c>
      <c r="I334" s="5">
        <v>3003</v>
      </c>
      <c r="J334" s="5" t="s">
        <v>22</v>
      </c>
      <c r="K334" s="5" t="s">
        <v>23</v>
      </c>
      <c r="L334" s="5" t="s">
        <v>31</v>
      </c>
      <c r="M334" s="5" t="s">
        <v>284</v>
      </c>
      <c r="N334" s="5" t="s">
        <v>32</v>
      </c>
      <c r="O334" s="5">
        <v>16</v>
      </c>
      <c r="P334" s="5"/>
      <c r="Q334" s="5"/>
      <c r="R334" s="8">
        <v>9.2592592592592588E-5</v>
      </c>
      <c r="S334" s="8">
        <v>6.9444444444444444E-5</v>
      </c>
      <c r="T334" t="str">
        <f>IF(Tabela1[[#This Row],[STATUS_NEGOCIO]]="Enviar E-mail",1,"")</f>
        <v/>
      </c>
      <c r="U334" t="str">
        <f>TEXT(Tabela1[[#This Row],[DATA]],"dd/mm/aaaa")</f>
        <v>22/04/2026</v>
      </c>
    </row>
    <row r="335" spans="1:21" x14ac:dyDescent="0.25">
      <c r="A335" s="4">
        <v>46134.408888888887</v>
      </c>
      <c r="B335" s="5" t="s">
        <v>19</v>
      </c>
      <c r="C335" s="5" t="s">
        <v>37</v>
      </c>
      <c r="D335" s="5">
        <v>46</v>
      </c>
      <c r="E335" s="6">
        <v>2961614000165</v>
      </c>
      <c r="F335" s="5">
        <v>46</v>
      </c>
      <c r="G335" s="7">
        <v>177686212810561</v>
      </c>
      <c r="H335" s="5" t="s">
        <v>192</v>
      </c>
      <c r="I335" s="5" t="s">
        <v>52</v>
      </c>
      <c r="J335" s="5" t="s">
        <v>22</v>
      </c>
      <c r="K335" s="5" t="s">
        <v>36</v>
      </c>
      <c r="L335" s="5" t="s">
        <v>36</v>
      </c>
      <c r="M335" s="5" t="s">
        <v>284</v>
      </c>
      <c r="N335" s="5" t="s">
        <v>53</v>
      </c>
      <c r="O335" s="5">
        <v>19</v>
      </c>
      <c r="P335" s="5"/>
      <c r="Q335" s="5"/>
      <c r="R335" s="8">
        <v>0</v>
      </c>
      <c r="S335" s="5" t="s">
        <v>37</v>
      </c>
      <c r="T335" t="str">
        <f>IF(Tabela1[[#This Row],[STATUS_NEGOCIO]]="Enviar E-mail",1,"")</f>
        <v/>
      </c>
      <c r="U335" t="str">
        <f>TEXT(Tabela1[[#This Row],[DATA]],"dd/mm/aaaa")</f>
        <v>22/04/2026</v>
      </c>
    </row>
    <row r="336" spans="1:21" x14ac:dyDescent="0.25">
      <c r="A336" s="4">
        <v>46134.413043981483</v>
      </c>
      <c r="B336" s="5" t="s">
        <v>19</v>
      </c>
      <c r="C336" s="5" t="s">
        <v>37</v>
      </c>
      <c r="D336" s="5">
        <v>47</v>
      </c>
      <c r="E336" s="6">
        <v>3063053000140</v>
      </c>
      <c r="F336" s="5">
        <v>47</v>
      </c>
      <c r="G336" s="7">
        <v>177686217610581</v>
      </c>
      <c r="H336" s="5" t="s">
        <v>302</v>
      </c>
      <c r="I336" s="5">
        <v>3003</v>
      </c>
      <c r="J336" s="5" t="s">
        <v>22</v>
      </c>
      <c r="K336" s="5" t="s">
        <v>23</v>
      </c>
      <c r="L336" s="5" t="s">
        <v>31</v>
      </c>
      <c r="M336" s="5" t="s">
        <v>284</v>
      </c>
      <c r="N336" s="5" t="s">
        <v>26</v>
      </c>
      <c r="O336" s="5">
        <v>131</v>
      </c>
      <c r="P336" s="5"/>
      <c r="Q336" s="5"/>
      <c r="R336" s="8">
        <v>3.5069444444444445E-3</v>
      </c>
      <c r="S336" s="5" t="s">
        <v>37</v>
      </c>
      <c r="T336" t="str">
        <f>IF(Tabela1[[#This Row],[STATUS_NEGOCIO]]="Enviar E-mail",1,"")</f>
        <v/>
      </c>
      <c r="U336" t="str">
        <f>TEXT(Tabela1[[#This Row],[DATA]],"dd/mm/aaaa")</f>
        <v>22/04/2026</v>
      </c>
    </row>
    <row r="337" spans="1:21" x14ac:dyDescent="0.25">
      <c r="A337" s="4">
        <v>46134.413113425922</v>
      </c>
      <c r="B337" s="5" t="s">
        <v>19</v>
      </c>
      <c r="C337" s="5" t="s">
        <v>37</v>
      </c>
      <c r="D337" s="5">
        <v>49</v>
      </c>
      <c r="E337" s="6">
        <v>3130917000107</v>
      </c>
      <c r="F337" s="5">
        <v>49</v>
      </c>
      <c r="G337" s="7">
        <v>177686249311821</v>
      </c>
      <c r="H337" s="5" t="s">
        <v>303</v>
      </c>
      <c r="I337" s="5">
        <v>3003</v>
      </c>
      <c r="J337" s="5" t="s">
        <v>22</v>
      </c>
      <c r="K337" s="5" t="s">
        <v>23</v>
      </c>
      <c r="L337" s="5" t="s">
        <v>31</v>
      </c>
      <c r="M337" s="5" t="s">
        <v>284</v>
      </c>
      <c r="N337" s="5" t="s">
        <v>53</v>
      </c>
      <c r="O337" s="5">
        <v>128</v>
      </c>
      <c r="P337" s="5"/>
      <c r="Q337" s="5"/>
      <c r="R337" s="8">
        <v>8.1018518518518516E-5</v>
      </c>
      <c r="S337" s="5" t="s">
        <v>37</v>
      </c>
      <c r="T337" t="str">
        <f>IF(Tabela1[[#This Row],[STATUS_NEGOCIO]]="Enviar E-mail",1,"")</f>
        <v/>
      </c>
      <c r="U337" t="str">
        <f>TEXT(Tabela1[[#This Row],[DATA]],"dd/mm/aaaa")</f>
        <v>22/04/2026</v>
      </c>
    </row>
    <row r="338" spans="1:21" x14ac:dyDescent="0.25">
      <c r="A338" s="4">
        <v>46134.413611111115</v>
      </c>
      <c r="B338" s="5" t="s">
        <v>19</v>
      </c>
      <c r="C338" s="5" t="s">
        <v>37</v>
      </c>
      <c r="D338" s="5">
        <v>50</v>
      </c>
      <c r="E338" s="6">
        <v>3135802000105</v>
      </c>
      <c r="F338" s="5">
        <v>50</v>
      </c>
      <c r="G338" s="7">
        <v>177686253611951</v>
      </c>
      <c r="H338" s="5" t="s">
        <v>304</v>
      </c>
      <c r="I338" s="5">
        <v>3003</v>
      </c>
      <c r="J338" s="5" t="s">
        <v>22</v>
      </c>
      <c r="K338" s="5" t="s">
        <v>23</v>
      </c>
      <c r="L338" s="5" t="s">
        <v>31</v>
      </c>
      <c r="M338" s="5" t="s">
        <v>284</v>
      </c>
      <c r="N338" s="5" t="s">
        <v>53</v>
      </c>
      <c r="O338" s="5">
        <v>128</v>
      </c>
      <c r="P338" s="5"/>
      <c r="Q338" s="5"/>
      <c r="R338" s="8">
        <v>8.1018518518518516E-5</v>
      </c>
      <c r="S338" s="5" t="s">
        <v>37</v>
      </c>
      <c r="T338" t="str">
        <f>IF(Tabela1[[#This Row],[STATUS_NEGOCIO]]="Enviar E-mail",1,"")</f>
        <v/>
      </c>
      <c r="U338" t="str">
        <f>TEXT(Tabela1[[#This Row],[DATA]],"dd/mm/aaaa")</f>
        <v>22/04/2026</v>
      </c>
    </row>
    <row r="339" spans="1:21" x14ac:dyDescent="0.25">
      <c r="A339" s="4">
        <v>46134.413969907408</v>
      </c>
      <c r="B339" s="5" t="s">
        <v>19</v>
      </c>
      <c r="C339" s="5" t="s">
        <v>37</v>
      </c>
      <c r="D339" s="5">
        <v>51</v>
      </c>
      <c r="E339" s="6">
        <v>3276131000194</v>
      </c>
      <c r="F339" s="5">
        <v>51</v>
      </c>
      <c r="G339" s="7">
        <v>177686256712111</v>
      </c>
      <c r="H339" s="5" t="s">
        <v>210</v>
      </c>
      <c r="I339" s="5">
        <v>3003</v>
      </c>
      <c r="J339" s="5" t="s">
        <v>22</v>
      </c>
      <c r="K339" s="5" t="s">
        <v>23</v>
      </c>
      <c r="L339" s="5" t="s">
        <v>31</v>
      </c>
      <c r="M339" s="5" t="s">
        <v>284</v>
      </c>
      <c r="N339" s="5" t="s">
        <v>53</v>
      </c>
      <c r="O339" s="5">
        <v>147</v>
      </c>
      <c r="P339" s="5"/>
      <c r="Q339" s="5"/>
      <c r="R339" s="8">
        <v>8.1018518518518516E-5</v>
      </c>
      <c r="S339" s="5" t="s">
        <v>37</v>
      </c>
      <c r="T339" t="str">
        <f>IF(Tabela1[[#This Row],[STATUS_NEGOCIO]]="Enviar E-mail",1,"")</f>
        <v/>
      </c>
      <c r="U339" t="str">
        <f>TEXT(Tabela1[[#This Row],[DATA]],"dd/mm/aaaa")</f>
        <v>22/04/2026</v>
      </c>
    </row>
    <row r="340" spans="1:21" x14ac:dyDescent="0.25">
      <c r="A340" s="4">
        <v>46134.414201388892</v>
      </c>
      <c r="B340" s="5" t="s">
        <v>19</v>
      </c>
      <c r="C340" s="5" t="s">
        <v>37</v>
      </c>
      <c r="D340" s="5">
        <v>52</v>
      </c>
      <c r="E340" s="6">
        <v>3311811000100</v>
      </c>
      <c r="F340" s="5">
        <v>52</v>
      </c>
      <c r="G340" s="7">
        <v>177686258712191</v>
      </c>
      <c r="H340" s="5" t="s">
        <v>305</v>
      </c>
      <c r="I340" s="5">
        <v>3003</v>
      </c>
      <c r="J340" s="5" t="s">
        <v>22</v>
      </c>
      <c r="K340" s="5" t="s">
        <v>23</v>
      </c>
      <c r="L340" s="5" t="s">
        <v>31</v>
      </c>
      <c r="M340" s="5" t="s">
        <v>284</v>
      </c>
      <c r="N340" s="5" t="s">
        <v>53</v>
      </c>
      <c r="O340" s="5">
        <v>128</v>
      </c>
      <c r="P340" s="5"/>
      <c r="Q340" s="5"/>
      <c r="R340" s="8">
        <v>8.1018518518518516E-5</v>
      </c>
      <c r="S340" s="5" t="s">
        <v>37</v>
      </c>
      <c r="T340" t="str">
        <f>IF(Tabela1[[#This Row],[STATUS_NEGOCIO]]="Enviar E-mail",1,"")</f>
        <v/>
      </c>
      <c r="U340" t="str">
        <f>TEXT(Tabela1[[#This Row],[DATA]],"dd/mm/aaaa")</f>
        <v>22/04/2026</v>
      </c>
    </row>
    <row r="341" spans="1:21" x14ac:dyDescent="0.25">
      <c r="A341" s="4">
        <v>46134.41443287037</v>
      </c>
      <c r="B341" s="5" t="s">
        <v>19</v>
      </c>
      <c r="C341" s="5" t="s">
        <v>37</v>
      </c>
      <c r="D341" s="5">
        <v>53</v>
      </c>
      <c r="E341" s="6">
        <v>3463826000185</v>
      </c>
      <c r="F341" s="5">
        <v>53</v>
      </c>
      <c r="G341" s="7">
        <v>177686260712321</v>
      </c>
      <c r="H341" s="5" t="s">
        <v>306</v>
      </c>
      <c r="I341" s="5">
        <v>3003</v>
      </c>
      <c r="J341" s="5" t="s">
        <v>22</v>
      </c>
      <c r="K341" s="5" t="s">
        <v>23</v>
      </c>
      <c r="L341" s="5" t="s">
        <v>31</v>
      </c>
      <c r="M341" s="5" t="s">
        <v>284</v>
      </c>
      <c r="N341" s="5" t="s">
        <v>26</v>
      </c>
      <c r="O341" s="5">
        <v>131</v>
      </c>
      <c r="P341" s="5"/>
      <c r="Q341" s="5"/>
      <c r="R341" s="8">
        <v>1.3888888888888889E-4</v>
      </c>
      <c r="S341" s="5" t="s">
        <v>37</v>
      </c>
      <c r="T341" t="str">
        <f>IF(Tabela1[[#This Row],[STATUS_NEGOCIO]]="Enviar E-mail",1,"")</f>
        <v/>
      </c>
      <c r="U341" t="str">
        <f>TEXT(Tabela1[[#This Row],[DATA]],"dd/mm/aaaa")</f>
        <v>22/04/2026</v>
      </c>
    </row>
    <row r="342" spans="1:21" x14ac:dyDescent="0.25">
      <c r="A342" s="4">
        <v>46134.414722222224</v>
      </c>
      <c r="B342" s="5" t="s">
        <v>19</v>
      </c>
      <c r="C342" s="5" t="s">
        <v>37</v>
      </c>
      <c r="D342" s="5">
        <v>54</v>
      </c>
      <c r="E342" s="6">
        <v>3478949000190</v>
      </c>
      <c r="F342" s="5">
        <v>54</v>
      </c>
      <c r="G342" s="7">
        <v>177686263212421</v>
      </c>
      <c r="H342" s="5" t="s">
        <v>307</v>
      </c>
      <c r="I342" s="5">
        <v>3003</v>
      </c>
      <c r="J342" s="5" t="s">
        <v>22</v>
      </c>
      <c r="K342" s="5" t="s">
        <v>23</v>
      </c>
      <c r="L342" s="5" t="s">
        <v>31</v>
      </c>
      <c r="M342" s="5" t="s">
        <v>284</v>
      </c>
      <c r="N342" s="5" t="s">
        <v>53</v>
      </c>
      <c r="O342" s="5">
        <v>128</v>
      </c>
      <c r="P342" s="5"/>
      <c r="Q342" s="5"/>
      <c r="R342" s="8">
        <v>8.1018518518518516E-5</v>
      </c>
      <c r="S342" s="5" t="s">
        <v>37</v>
      </c>
      <c r="T342" t="str">
        <f>IF(Tabela1[[#This Row],[STATUS_NEGOCIO]]="Enviar E-mail",1,"")</f>
        <v/>
      </c>
      <c r="U342" t="str">
        <f>TEXT(Tabela1[[#This Row],[DATA]],"dd/mm/aaaa")</f>
        <v>22/04/2026</v>
      </c>
    </row>
    <row r="343" spans="1:21" x14ac:dyDescent="0.25">
      <c r="A343" s="4">
        <v>46134.414942129632</v>
      </c>
      <c r="B343" s="5" t="s">
        <v>19</v>
      </c>
      <c r="C343" s="5" t="s">
        <v>37</v>
      </c>
      <c r="D343" s="5">
        <v>55</v>
      </c>
      <c r="E343" s="6">
        <v>3488597000153</v>
      </c>
      <c r="F343" s="5">
        <v>55</v>
      </c>
      <c r="G343" s="7">
        <v>177686265112541</v>
      </c>
      <c r="H343" s="5" t="s">
        <v>308</v>
      </c>
      <c r="I343" s="5">
        <v>3003</v>
      </c>
      <c r="J343" s="5" t="s">
        <v>22</v>
      </c>
      <c r="K343" s="5" t="s">
        <v>23</v>
      </c>
      <c r="L343" s="5" t="s">
        <v>31</v>
      </c>
      <c r="M343" s="5" t="s">
        <v>284</v>
      </c>
      <c r="N343" s="5" t="s">
        <v>53</v>
      </c>
      <c r="O343" s="5">
        <v>128</v>
      </c>
      <c r="P343" s="5"/>
      <c r="Q343" s="5"/>
      <c r="R343" s="8">
        <v>6.9444444444444444E-5</v>
      </c>
      <c r="S343" s="5" t="s">
        <v>37</v>
      </c>
      <c r="T343" t="str">
        <f>IF(Tabela1[[#This Row],[STATUS_NEGOCIO]]="Enviar E-mail",1,"")</f>
        <v/>
      </c>
      <c r="U343" t="str">
        <f>TEXT(Tabela1[[#This Row],[DATA]],"dd/mm/aaaa")</f>
        <v>22/04/2026</v>
      </c>
    </row>
    <row r="344" spans="1:21" x14ac:dyDescent="0.25">
      <c r="A344" s="4">
        <v>46134.415208333332</v>
      </c>
      <c r="B344" s="5" t="s">
        <v>19</v>
      </c>
      <c r="C344" s="5" t="s">
        <v>37</v>
      </c>
      <c r="D344" s="5">
        <v>56</v>
      </c>
      <c r="E344" s="6">
        <v>3569821000131</v>
      </c>
      <c r="F344" s="5">
        <v>56</v>
      </c>
      <c r="G344" s="7">
        <v>177686267412631</v>
      </c>
      <c r="H344" s="5" t="s">
        <v>309</v>
      </c>
      <c r="I344" s="5">
        <v>3003</v>
      </c>
      <c r="J344" s="5" t="s">
        <v>22</v>
      </c>
      <c r="K344" s="5" t="s">
        <v>23</v>
      </c>
      <c r="L344" s="5" t="s">
        <v>31</v>
      </c>
      <c r="M344" s="5" t="s">
        <v>284</v>
      </c>
      <c r="N344" s="5" t="s">
        <v>53</v>
      </c>
      <c r="O344" s="5">
        <v>131</v>
      </c>
      <c r="P344" s="5"/>
      <c r="Q344" s="5"/>
      <c r="R344" s="8">
        <v>1.1574074074074073E-5</v>
      </c>
      <c r="S344" s="5" t="s">
        <v>37</v>
      </c>
      <c r="T344" t="str">
        <f>IF(Tabela1[[#This Row],[STATUS_NEGOCIO]]="Enviar E-mail",1,"")</f>
        <v/>
      </c>
      <c r="U344" t="str">
        <f>TEXT(Tabela1[[#This Row],[DATA]],"dd/mm/aaaa")</f>
        <v>22/04/2026</v>
      </c>
    </row>
    <row r="345" spans="1:21" x14ac:dyDescent="0.25">
      <c r="A345" s="4">
        <v>46134.41547453704</v>
      </c>
      <c r="B345" s="5" t="s">
        <v>19</v>
      </c>
      <c r="C345" s="5" t="s">
        <v>37</v>
      </c>
      <c r="D345" s="5">
        <v>57</v>
      </c>
      <c r="E345" s="6">
        <v>3651229000184</v>
      </c>
      <c r="F345" s="5">
        <v>57</v>
      </c>
      <c r="G345" s="7">
        <v>177686269712721</v>
      </c>
      <c r="H345" s="5" t="s">
        <v>310</v>
      </c>
      <c r="I345" s="5">
        <v>3003</v>
      </c>
      <c r="J345" s="5" t="s">
        <v>22</v>
      </c>
      <c r="K345" s="5" t="s">
        <v>23</v>
      </c>
      <c r="L345" s="5" t="s">
        <v>31</v>
      </c>
      <c r="M345" s="5" t="s">
        <v>284</v>
      </c>
      <c r="N345" s="5" t="s">
        <v>53</v>
      </c>
      <c r="O345" s="5">
        <v>128</v>
      </c>
      <c r="P345" s="5"/>
      <c r="Q345" s="5"/>
      <c r="R345" s="8">
        <v>8.1018518518518516E-5</v>
      </c>
      <c r="S345" s="5" t="s">
        <v>37</v>
      </c>
      <c r="T345" t="str">
        <f>IF(Tabela1[[#This Row],[STATUS_NEGOCIO]]="Enviar E-mail",1,"")</f>
        <v/>
      </c>
      <c r="U345" t="str">
        <f>TEXT(Tabela1[[#This Row],[DATA]],"dd/mm/aaaa")</f>
        <v>22/04/2026</v>
      </c>
    </row>
    <row r="346" spans="1:21" x14ac:dyDescent="0.25">
      <c r="A346" s="4">
        <v>46134.415868055556</v>
      </c>
      <c r="B346" s="5" t="s">
        <v>19</v>
      </c>
      <c r="C346" s="5" t="s">
        <v>27</v>
      </c>
      <c r="D346" s="5">
        <v>58</v>
      </c>
      <c r="E346" s="6">
        <v>3850983000143</v>
      </c>
      <c r="F346" s="5">
        <v>58</v>
      </c>
      <c r="G346" s="7">
        <v>177686273112801</v>
      </c>
      <c r="H346" s="5" t="s">
        <v>311</v>
      </c>
      <c r="I346" s="5">
        <v>3003</v>
      </c>
      <c r="J346" s="5" t="s">
        <v>22</v>
      </c>
      <c r="K346" s="5" t="s">
        <v>23</v>
      </c>
      <c r="L346" s="5" t="s">
        <v>265</v>
      </c>
      <c r="M346" s="5" t="s">
        <v>284</v>
      </c>
      <c r="N346" s="5" t="s">
        <v>26</v>
      </c>
      <c r="O346" s="5">
        <v>16</v>
      </c>
      <c r="P346" s="5"/>
      <c r="Q346" s="5"/>
      <c r="R346" s="8">
        <v>5.7870370370370373E-5</v>
      </c>
      <c r="S346" s="5" t="s">
        <v>37</v>
      </c>
      <c r="T346" t="str">
        <f>IF(Tabela1[[#This Row],[STATUS_NEGOCIO]]="Enviar E-mail",1,"")</f>
        <v/>
      </c>
      <c r="U346" t="str">
        <f>TEXT(Tabela1[[#This Row],[DATA]],"dd/mm/aaaa")</f>
        <v>22/04/2026</v>
      </c>
    </row>
    <row r="347" spans="1:21" x14ac:dyDescent="0.25">
      <c r="A347" s="4">
        <v>46134.416134259256</v>
      </c>
      <c r="B347" s="5" t="s">
        <v>19</v>
      </c>
      <c r="C347" s="5" t="s">
        <v>37</v>
      </c>
      <c r="D347" s="5">
        <v>59</v>
      </c>
      <c r="E347" s="6">
        <v>3904574000182</v>
      </c>
      <c r="F347" s="5">
        <v>59</v>
      </c>
      <c r="G347" s="7">
        <v>177686275412851</v>
      </c>
      <c r="H347" s="5" t="s">
        <v>312</v>
      </c>
      <c r="I347" s="5">
        <v>3003</v>
      </c>
      <c r="J347" s="5" t="s">
        <v>22</v>
      </c>
      <c r="K347" s="5" t="s">
        <v>23</v>
      </c>
      <c r="L347" s="5" t="s">
        <v>31</v>
      </c>
      <c r="M347" s="5" t="s">
        <v>284</v>
      </c>
      <c r="N347" s="5" t="s">
        <v>53</v>
      </c>
      <c r="O347" s="5">
        <v>128</v>
      </c>
      <c r="P347" s="5"/>
      <c r="Q347" s="5"/>
      <c r="R347" s="8">
        <v>8.1018518518518516E-5</v>
      </c>
      <c r="S347" s="5" t="s">
        <v>37</v>
      </c>
      <c r="T347" t="str">
        <f>IF(Tabela1[[#This Row],[STATUS_NEGOCIO]]="Enviar E-mail",1,"")</f>
        <v/>
      </c>
      <c r="U347" t="str">
        <f>TEXT(Tabela1[[#This Row],[DATA]],"dd/mm/aaaa")</f>
        <v>22/04/2026</v>
      </c>
    </row>
    <row r="348" spans="1:21" x14ac:dyDescent="0.25">
      <c r="A348" s="4">
        <v>46134.416354166664</v>
      </c>
      <c r="B348" s="5" t="s">
        <v>19</v>
      </c>
      <c r="C348" s="5" t="s">
        <v>37</v>
      </c>
      <c r="D348" s="5">
        <v>60</v>
      </c>
      <c r="E348" s="6">
        <v>3954733000153</v>
      </c>
      <c r="F348" s="5">
        <v>60</v>
      </c>
      <c r="G348" s="7">
        <v>177686277312961</v>
      </c>
      <c r="H348" s="5" t="s">
        <v>313</v>
      </c>
      <c r="I348" s="5">
        <v>3003</v>
      </c>
      <c r="J348" s="5" t="s">
        <v>22</v>
      </c>
      <c r="K348" s="5" t="s">
        <v>23</v>
      </c>
      <c r="L348" s="5" t="s">
        <v>31</v>
      </c>
      <c r="M348" s="5" t="s">
        <v>284</v>
      </c>
      <c r="N348" s="5" t="s">
        <v>53</v>
      </c>
      <c r="O348" s="5">
        <v>128</v>
      </c>
      <c r="P348" s="5"/>
      <c r="Q348" s="5"/>
      <c r="R348" s="8">
        <v>8.1018518518518516E-5</v>
      </c>
      <c r="S348" s="5" t="s">
        <v>37</v>
      </c>
      <c r="T348" t="str">
        <f>IF(Tabela1[[#This Row],[STATUS_NEGOCIO]]="Enviar E-mail",1,"")</f>
        <v/>
      </c>
      <c r="U348" t="str">
        <f>TEXT(Tabela1[[#This Row],[DATA]],"dd/mm/aaaa")</f>
        <v>22/04/2026</v>
      </c>
    </row>
    <row r="349" spans="1:21" x14ac:dyDescent="0.25">
      <c r="A349" s="4">
        <v>46134.416574074072</v>
      </c>
      <c r="B349" s="5" t="s">
        <v>19</v>
      </c>
      <c r="C349" s="5" t="s">
        <v>37</v>
      </c>
      <c r="D349" s="5">
        <v>61</v>
      </c>
      <c r="E349" s="6">
        <v>3995747000115</v>
      </c>
      <c r="F349" s="5">
        <v>61</v>
      </c>
      <c r="G349" s="7">
        <v>177686279213021</v>
      </c>
      <c r="H349" s="5" t="s">
        <v>314</v>
      </c>
      <c r="I349" s="5">
        <v>3003</v>
      </c>
      <c r="J349" s="5" t="s">
        <v>22</v>
      </c>
      <c r="K349" s="5" t="s">
        <v>23</v>
      </c>
      <c r="L349" s="5" t="s">
        <v>31</v>
      </c>
      <c r="M349" s="5" t="s">
        <v>284</v>
      </c>
      <c r="N349" s="5" t="s">
        <v>53</v>
      </c>
      <c r="O349" s="5">
        <v>128</v>
      </c>
      <c r="P349" s="5"/>
      <c r="Q349" s="5"/>
      <c r="R349" s="8">
        <v>8.1018518518518516E-5</v>
      </c>
      <c r="S349" s="5" t="s">
        <v>37</v>
      </c>
      <c r="T349" t="str">
        <f>IF(Tabela1[[#This Row],[STATUS_NEGOCIO]]="Enviar E-mail",1,"")</f>
        <v/>
      </c>
      <c r="U349" t="str">
        <f>TEXT(Tabela1[[#This Row],[DATA]],"dd/mm/aaaa")</f>
        <v>22/04/2026</v>
      </c>
    </row>
    <row r="350" spans="1:21" x14ac:dyDescent="0.25">
      <c r="A350" s="4">
        <v>46134.416712962964</v>
      </c>
      <c r="B350" s="5" t="s">
        <v>19</v>
      </c>
      <c r="C350" s="5" t="s">
        <v>37</v>
      </c>
      <c r="D350" s="5">
        <v>62</v>
      </c>
      <c r="E350" s="6">
        <v>4028062000162</v>
      </c>
      <c r="F350" s="5">
        <v>62</v>
      </c>
      <c r="G350" s="7">
        <v>177686280413041</v>
      </c>
      <c r="H350" s="5" t="s">
        <v>315</v>
      </c>
      <c r="I350" s="5">
        <v>3003</v>
      </c>
      <c r="J350" s="5" t="s">
        <v>22</v>
      </c>
      <c r="K350" s="5" t="s">
        <v>23</v>
      </c>
      <c r="L350" s="5" t="s">
        <v>31</v>
      </c>
      <c r="M350" s="5" t="s">
        <v>284</v>
      </c>
      <c r="N350" s="5" t="s">
        <v>53</v>
      </c>
      <c r="O350" s="5">
        <v>128</v>
      </c>
      <c r="P350" s="5"/>
      <c r="Q350" s="5"/>
      <c r="R350" s="8">
        <v>8.1018518518518516E-5</v>
      </c>
      <c r="S350" s="5" t="s">
        <v>37</v>
      </c>
      <c r="T350" t="str">
        <f>IF(Tabela1[[#This Row],[STATUS_NEGOCIO]]="Enviar E-mail",1,"")</f>
        <v/>
      </c>
      <c r="U350" t="str">
        <f>TEXT(Tabela1[[#This Row],[DATA]],"dd/mm/aaaa")</f>
        <v>22/04/2026</v>
      </c>
    </row>
    <row r="351" spans="1:21" x14ac:dyDescent="0.25">
      <c r="A351" s="4">
        <v>46134.417118055557</v>
      </c>
      <c r="B351" s="5" t="s">
        <v>19</v>
      </c>
      <c r="C351" s="5" t="s">
        <v>37</v>
      </c>
      <c r="D351" s="5">
        <v>63</v>
      </c>
      <c r="E351" s="6">
        <v>4044746000158</v>
      </c>
      <c r="F351" s="5">
        <v>63</v>
      </c>
      <c r="G351" s="7">
        <v>177686283913061</v>
      </c>
      <c r="H351" s="5" t="s">
        <v>110</v>
      </c>
      <c r="I351" s="5">
        <v>3003</v>
      </c>
      <c r="J351" s="5" t="s">
        <v>22</v>
      </c>
      <c r="K351" s="5" t="s">
        <v>23</v>
      </c>
      <c r="L351" s="5" t="s">
        <v>31</v>
      </c>
      <c r="M351" s="5" t="s">
        <v>284</v>
      </c>
      <c r="N351" s="5" t="s">
        <v>53</v>
      </c>
      <c r="O351" s="5">
        <v>128</v>
      </c>
      <c r="P351" s="5"/>
      <c r="Q351" s="5"/>
      <c r="R351" s="8">
        <v>8.1018518518518516E-5</v>
      </c>
      <c r="S351" s="5" t="s">
        <v>37</v>
      </c>
      <c r="T351" t="str">
        <f>IF(Tabela1[[#This Row],[STATUS_NEGOCIO]]="Enviar E-mail",1,"")</f>
        <v/>
      </c>
      <c r="U351" t="str">
        <f>TEXT(Tabela1[[#This Row],[DATA]],"dd/mm/aaaa")</f>
        <v>22/04/2026</v>
      </c>
    </row>
    <row r="352" spans="1:21" x14ac:dyDescent="0.25">
      <c r="A352" s="4">
        <v>46134.417245370372</v>
      </c>
      <c r="B352" s="5" t="s">
        <v>19</v>
      </c>
      <c r="C352" s="5" t="s">
        <v>37</v>
      </c>
      <c r="D352" s="5">
        <v>64</v>
      </c>
      <c r="E352" s="6">
        <v>4048649000133</v>
      </c>
      <c r="F352" s="5">
        <v>64</v>
      </c>
      <c r="G352" s="7">
        <v>177686285013141</v>
      </c>
      <c r="H352" s="5" t="s">
        <v>137</v>
      </c>
      <c r="I352" s="5">
        <v>3003</v>
      </c>
      <c r="J352" s="5" t="s">
        <v>22</v>
      </c>
      <c r="K352" s="5" t="s">
        <v>23</v>
      </c>
      <c r="L352" s="5" t="s">
        <v>31</v>
      </c>
      <c r="M352" s="5" t="s">
        <v>284</v>
      </c>
      <c r="N352" s="5" t="s">
        <v>53</v>
      </c>
      <c r="O352" s="5">
        <v>128</v>
      </c>
      <c r="P352" s="5"/>
      <c r="Q352" s="5"/>
      <c r="R352" s="8">
        <v>8.1018518518518516E-5</v>
      </c>
      <c r="S352" s="5" t="s">
        <v>37</v>
      </c>
      <c r="T352" t="str">
        <f>IF(Tabela1[[#This Row],[STATUS_NEGOCIO]]="Enviar E-mail",1,"")</f>
        <v/>
      </c>
      <c r="U352" t="str">
        <f>TEXT(Tabela1[[#This Row],[DATA]],"dd/mm/aaaa")</f>
        <v>22/04/2026</v>
      </c>
    </row>
    <row r="353" spans="1:21" x14ac:dyDescent="0.25">
      <c r="A353" s="4">
        <v>46134.417395833334</v>
      </c>
      <c r="B353" s="5" t="s">
        <v>19</v>
      </c>
      <c r="C353" s="5" t="s">
        <v>37</v>
      </c>
      <c r="D353" s="5">
        <v>65</v>
      </c>
      <c r="E353" s="6">
        <v>4063828000140</v>
      </c>
      <c r="F353" s="5">
        <v>65</v>
      </c>
      <c r="G353" s="7">
        <v>177686286313201</v>
      </c>
      <c r="H353" s="5" t="s">
        <v>316</v>
      </c>
      <c r="I353" s="5">
        <v>3003</v>
      </c>
      <c r="J353" s="5" t="s">
        <v>22</v>
      </c>
      <c r="K353" s="5" t="s">
        <v>23</v>
      </c>
      <c r="L353" s="5" t="s">
        <v>31</v>
      </c>
      <c r="M353" s="5" t="s">
        <v>284</v>
      </c>
      <c r="N353" s="5" t="s">
        <v>53</v>
      </c>
      <c r="O353" s="5">
        <v>128</v>
      </c>
      <c r="P353" s="5"/>
      <c r="Q353" s="5"/>
      <c r="R353" s="8">
        <v>8.1018518518518516E-5</v>
      </c>
      <c r="S353" s="5" t="s">
        <v>37</v>
      </c>
      <c r="T353" t="str">
        <f>IF(Tabela1[[#This Row],[STATUS_NEGOCIO]]="Enviar E-mail",1,"")</f>
        <v/>
      </c>
      <c r="U353" t="str">
        <f>TEXT(Tabela1[[#This Row],[DATA]],"dd/mm/aaaa")</f>
        <v>22/04/2026</v>
      </c>
    </row>
    <row r="354" spans="1:21" x14ac:dyDescent="0.25">
      <c r="A354" s="4">
        <v>46134.417731481481</v>
      </c>
      <c r="B354" s="5" t="s">
        <v>19</v>
      </c>
      <c r="C354" s="5" t="s">
        <v>37</v>
      </c>
      <c r="D354" s="5">
        <v>66</v>
      </c>
      <c r="E354" s="6">
        <v>4137354000133</v>
      </c>
      <c r="F354" s="5">
        <v>66</v>
      </c>
      <c r="G354" s="7">
        <v>177686289213221</v>
      </c>
      <c r="H354" s="5" t="s">
        <v>136</v>
      </c>
      <c r="I354" s="5">
        <v>3003</v>
      </c>
      <c r="J354" s="5" t="s">
        <v>22</v>
      </c>
      <c r="K354" s="5" t="s">
        <v>23</v>
      </c>
      <c r="L354" s="5" t="s">
        <v>31</v>
      </c>
      <c r="M354" s="5" t="s">
        <v>284</v>
      </c>
      <c r="N354" s="5" t="s">
        <v>53</v>
      </c>
      <c r="O354" s="5">
        <v>128</v>
      </c>
      <c r="P354" s="5"/>
      <c r="Q354" s="5"/>
      <c r="R354" s="8">
        <v>8.1018518518518516E-5</v>
      </c>
      <c r="S354" s="5" t="s">
        <v>37</v>
      </c>
      <c r="T354" t="str">
        <f>IF(Tabela1[[#This Row],[STATUS_NEGOCIO]]="Enviar E-mail",1,"")</f>
        <v/>
      </c>
      <c r="U354" t="str">
        <f>TEXT(Tabela1[[#This Row],[DATA]],"dd/mm/aaaa")</f>
        <v>22/04/2026</v>
      </c>
    </row>
    <row r="355" spans="1:21" x14ac:dyDescent="0.25">
      <c r="A355" s="4">
        <v>46134.418032407404</v>
      </c>
      <c r="B355" s="5" t="s">
        <v>19</v>
      </c>
      <c r="C355" s="5" t="s">
        <v>37</v>
      </c>
      <c r="D355" s="5">
        <v>67</v>
      </c>
      <c r="E355" s="6">
        <v>4160599000181</v>
      </c>
      <c r="F355" s="5">
        <v>67</v>
      </c>
      <c r="G355" s="7">
        <v>177686291813281</v>
      </c>
      <c r="H355" s="5" t="s">
        <v>238</v>
      </c>
      <c r="I355" s="5">
        <v>3003</v>
      </c>
      <c r="J355" s="5" t="s">
        <v>22</v>
      </c>
      <c r="K355" s="5" t="s">
        <v>23</v>
      </c>
      <c r="L355" s="5" t="s">
        <v>31</v>
      </c>
      <c r="M355" s="5" t="s">
        <v>284</v>
      </c>
      <c r="N355" s="5" t="s">
        <v>53</v>
      </c>
      <c r="O355" s="5">
        <v>128</v>
      </c>
      <c r="P355" s="5"/>
      <c r="Q355" s="5"/>
      <c r="R355" s="8">
        <v>8.1018518518518516E-5</v>
      </c>
      <c r="S355" s="5" t="s">
        <v>37</v>
      </c>
      <c r="T355" t="str">
        <f>IF(Tabela1[[#This Row],[STATUS_NEGOCIO]]="Enviar E-mail",1,"")</f>
        <v/>
      </c>
      <c r="U355" t="str">
        <f>TEXT(Tabela1[[#This Row],[DATA]],"dd/mm/aaaa")</f>
        <v>22/04/2026</v>
      </c>
    </row>
    <row r="356" spans="1:21" x14ac:dyDescent="0.25">
      <c r="A356" s="4">
        <v>46134.41846064815</v>
      </c>
      <c r="B356" s="5" t="s">
        <v>19</v>
      </c>
      <c r="C356" s="5" t="s">
        <v>37</v>
      </c>
      <c r="D356" s="5">
        <v>68</v>
      </c>
      <c r="E356" s="6">
        <v>4356149000169</v>
      </c>
      <c r="F356" s="5">
        <v>68</v>
      </c>
      <c r="G356" s="7">
        <v>177686295513301</v>
      </c>
      <c r="H356" s="5" t="s">
        <v>317</v>
      </c>
      <c r="I356" s="5">
        <v>3003</v>
      </c>
      <c r="J356" s="5" t="s">
        <v>22</v>
      </c>
      <c r="K356" s="5" t="s">
        <v>23</v>
      </c>
      <c r="L356" s="5" t="s">
        <v>31</v>
      </c>
      <c r="M356" s="5" t="s">
        <v>284</v>
      </c>
      <c r="N356" s="5" t="s">
        <v>53</v>
      </c>
      <c r="O356" s="5">
        <v>128</v>
      </c>
      <c r="P356" s="5"/>
      <c r="Q356" s="5"/>
      <c r="R356" s="8">
        <v>8.1018518518518516E-5</v>
      </c>
      <c r="S356" s="5" t="s">
        <v>37</v>
      </c>
      <c r="T356" t="str">
        <f>IF(Tabela1[[#This Row],[STATUS_NEGOCIO]]="Enviar E-mail",1,"")</f>
        <v/>
      </c>
      <c r="U356" t="str">
        <f>TEXT(Tabela1[[#This Row],[DATA]],"dd/mm/aaaa")</f>
        <v>22/04/2026</v>
      </c>
    </row>
    <row r="357" spans="1:21" x14ac:dyDescent="0.25">
      <c r="A357" s="4">
        <v>46134.418958333335</v>
      </c>
      <c r="B357" s="5" t="s">
        <v>19</v>
      </c>
      <c r="C357" s="5" t="s">
        <v>37</v>
      </c>
      <c r="D357" s="5">
        <v>69</v>
      </c>
      <c r="E357" s="6">
        <v>4371864000170</v>
      </c>
      <c r="F357" s="5">
        <v>69</v>
      </c>
      <c r="G357" s="7">
        <v>177686299813451</v>
      </c>
      <c r="H357" s="5" t="s">
        <v>318</v>
      </c>
      <c r="I357" s="5">
        <v>3003</v>
      </c>
      <c r="J357" s="5" t="s">
        <v>22</v>
      </c>
      <c r="K357" s="5" t="s">
        <v>23</v>
      </c>
      <c r="L357" s="5" t="s">
        <v>31</v>
      </c>
      <c r="M357" s="5" t="s">
        <v>284</v>
      </c>
      <c r="N357" s="5" t="s">
        <v>53</v>
      </c>
      <c r="O357" s="5">
        <v>128</v>
      </c>
      <c r="P357" s="5"/>
      <c r="Q357" s="5"/>
      <c r="R357" s="8">
        <v>8.1018518518518516E-5</v>
      </c>
      <c r="S357" s="5" t="s">
        <v>37</v>
      </c>
      <c r="T357" t="str">
        <f>IF(Tabela1[[#This Row],[STATUS_NEGOCIO]]="Enviar E-mail",1,"")</f>
        <v/>
      </c>
      <c r="U357" t="str">
        <f>TEXT(Tabela1[[#This Row],[DATA]],"dd/mm/aaaa")</f>
        <v>22/04/2026</v>
      </c>
    </row>
    <row r="358" spans="1:21" x14ac:dyDescent="0.25">
      <c r="A358" s="4">
        <v>46134.419212962966</v>
      </c>
      <c r="B358" s="5" t="s">
        <v>19</v>
      </c>
      <c r="C358" s="5" t="s">
        <v>37</v>
      </c>
      <c r="D358" s="5">
        <v>70</v>
      </c>
      <c r="E358" s="6">
        <v>4373195000176</v>
      </c>
      <c r="F358" s="5">
        <v>70</v>
      </c>
      <c r="G358" s="7">
        <v>177686302013471</v>
      </c>
      <c r="H358" s="5" t="s">
        <v>319</v>
      </c>
      <c r="I358" s="5">
        <v>3003</v>
      </c>
      <c r="J358" s="5" t="s">
        <v>22</v>
      </c>
      <c r="K358" s="5" t="s">
        <v>23</v>
      </c>
      <c r="L358" s="5" t="s">
        <v>31</v>
      </c>
      <c r="M358" s="5" t="s">
        <v>284</v>
      </c>
      <c r="N358" s="5" t="s">
        <v>53</v>
      </c>
      <c r="O358" s="5">
        <v>128</v>
      </c>
      <c r="P358" s="5"/>
      <c r="Q358" s="5"/>
      <c r="R358" s="8">
        <v>8.1018518518518516E-5</v>
      </c>
      <c r="S358" s="5" t="s">
        <v>37</v>
      </c>
      <c r="T358" t="str">
        <f>IF(Tabela1[[#This Row],[STATUS_NEGOCIO]]="Enviar E-mail",1,"")</f>
        <v/>
      </c>
      <c r="U358" t="str">
        <f>TEXT(Tabela1[[#This Row],[DATA]],"dd/mm/aaaa")</f>
        <v>22/04/2026</v>
      </c>
    </row>
    <row r="359" spans="1:21" x14ac:dyDescent="0.25">
      <c r="A359" s="4">
        <v>46134.419409722221</v>
      </c>
      <c r="B359" s="5" t="s">
        <v>19</v>
      </c>
      <c r="C359" s="5" t="s">
        <v>37</v>
      </c>
      <c r="D359" s="5">
        <v>71</v>
      </c>
      <c r="E359" s="6">
        <v>4433625000106</v>
      </c>
      <c r="F359" s="5">
        <v>71</v>
      </c>
      <c r="G359" s="7">
        <v>177686303713491</v>
      </c>
      <c r="H359" s="5" t="s">
        <v>320</v>
      </c>
      <c r="I359" s="5">
        <v>3003</v>
      </c>
      <c r="J359" s="5" t="s">
        <v>22</v>
      </c>
      <c r="K359" s="5" t="s">
        <v>23</v>
      </c>
      <c r="L359" s="5" t="s">
        <v>31</v>
      </c>
      <c r="M359" s="5" t="s">
        <v>284</v>
      </c>
      <c r="N359" s="5" t="s">
        <v>26</v>
      </c>
      <c r="O359" s="5">
        <v>131</v>
      </c>
      <c r="P359" s="5"/>
      <c r="Q359" s="5"/>
      <c r="R359" s="8">
        <v>4.6296296296296294E-5</v>
      </c>
      <c r="S359" s="5" t="s">
        <v>37</v>
      </c>
      <c r="T359" t="str">
        <f>IF(Tabela1[[#This Row],[STATUS_NEGOCIO]]="Enviar E-mail",1,"")</f>
        <v/>
      </c>
      <c r="U359" t="str">
        <f>TEXT(Tabela1[[#This Row],[DATA]],"dd/mm/aaaa")</f>
        <v>22/04/2026</v>
      </c>
    </row>
    <row r="360" spans="1:21" x14ac:dyDescent="0.25">
      <c r="A360" s="4">
        <v>46134.419583333336</v>
      </c>
      <c r="B360" s="5" t="s">
        <v>19</v>
      </c>
      <c r="C360" s="5" t="s">
        <v>37</v>
      </c>
      <c r="D360" s="5">
        <v>72</v>
      </c>
      <c r="E360" s="6">
        <v>4652839000165</v>
      </c>
      <c r="F360" s="5">
        <v>72</v>
      </c>
      <c r="G360" s="7">
        <v>177686305213581</v>
      </c>
      <c r="H360" s="5" t="s">
        <v>208</v>
      </c>
      <c r="I360" s="5">
        <v>3003</v>
      </c>
      <c r="J360" s="5" t="s">
        <v>22</v>
      </c>
      <c r="K360" s="5" t="s">
        <v>23</v>
      </c>
      <c r="L360" s="5" t="s">
        <v>31</v>
      </c>
      <c r="M360" s="5" t="s">
        <v>284</v>
      </c>
      <c r="N360" s="5" t="s">
        <v>53</v>
      </c>
      <c r="O360" s="5">
        <v>128</v>
      </c>
      <c r="P360" s="5"/>
      <c r="Q360" s="5"/>
      <c r="R360" s="8">
        <v>8.1018518518518516E-5</v>
      </c>
      <c r="S360" s="5" t="s">
        <v>37</v>
      </c>
      <c r="T360" t="str">
        <f>IF(Tabela1[[#This Row],[STATUS_NEGOCIO]]="Enviar E-mail",1,"")</f>
        <v/>
      </c>
      <c r="U360" t="str">
        <f>TEXT(Tabela1[[#This Row],[DATA]],"dd/mm/aaaa")</f>
        <v>22/04/2026</v>
      </c>
    </row>
    <row r="361" spans="1:21" x14ac:dyDescent="0.25">
      <c r="A361" s="4">
        <v>46134.419988425929</v>
      </c>
      <c r="B361" s="5" t="s">
        <v>19</v>
      </c>
      <c r="C361" s="5" t="s">
        <v>37</v>
      </c>
      <c r="D361" s="5">
        <v>73</v>
      </c>
      <c r="E361" s="6">
        <v>4728735000197</v>
      </c>
      <c r="F361" s="5">
        <v>73</v>
      </c>
      <c r="G361" s="7">
        <v>177686308713611</v>
      </c>
      <c r="H361" s="5" t="s">
        <v>321</v>
      </c>
      <c r="I361" s="5">
        <v>3003</v>
      </c>
      <c r="J361" s="5" t="s">
        <v>22</v>
      </c>
      <c r="K361" s="5" t="s">
        <v>23</v>
      </c>
      <c r="L361" s="5" t="s">
        <v>31</v>
      </c>
      <c r="M361" s="5" t="s">
        <v>284</v>
      </c>
      <c r="N361" s="5" t="s">
        <v>53</v>
      </c>
      <c r="O361" s="5">
        <v>128</v>
      </c>
      <c r="P361" s="5"/>
      <c r="Q361" s="5"/>
      <c r="R361" s="8">
        <v>6.9444444444444444E-5</v>
      </c>
      <c r="S361" s="5" t="s">
        <v>37</v>
      </c>
      <c r="T361" t="str">
        <f>IF(Tabela1[[#This Row],[STATUS_NEGOCIO]]="Enviar E-mail",1,"")</f>
        <v/>
      </c>
      <c r="U361" t="str">
        <f>TEXT(Tabela1[[#This Row],[DATA]],"dd/mm/aaaa")</f>
        <v>22/04/2026</v>
      </c>
    </row>
    <row r="362" spans="1:21" x14ac:dyDescent="0.25">
      <c r="A362" s="4">
        <v>46134.420486111114</v>
      </c>
      <c r="B362" s="5" t="s">
        <v>19</v>
      </c>
      <c r="C362" s="5" t="s">
        <v>37</v>
      </c>
      <c r="D362" s="5">
        <v>74</v>
      </c>
      <c r="E362" s="6">
        <v>4900076000124</v>
      </c>
      <c r="F362" s="5">
        <v>74</v>
      </c>
      <c r="G362" s="7">
        <v>177686313013691</v>
      </c>
      <c r="H362" s="5" t="s">
        <v>322</v>
      </c>
      <c r="I362" s="5">
        <v>3003</v>
      </c>
      <c r="J362" s="5" t="s">
        <v>22</v>
      </c>
      <c r="K362" s="5" t="s">
        <v>23</v>
      </c>
      <c r="L362" s="5" t="s">
        <v>31</v>
      </c>
      <c r="M362" s="5" t="s">
        <v>284</v>
      </c>
      <c r="N362" s="5" t="s">
        <v>53</v>
      </c>
      <c r="O362" s="5">
        <v>128</v>
      </c>
      <c r="P362" s="5"/>
      <c r="Q362" s="5"/>
      <c r="R362" s="8">
        <v>8.1018518518518516E-5</v>
      </c>
      <c r="S362" s="5" t="s">
        <v>37</v>
      </c>
      <c r="T362" t="str">
        <f>IF(Tabela1[[#This Row],[STATUS_NEGOCIO]]="Enviar E-mail",1,"")</f>
        <v/>
      </c>
      <c r="U362" t="str">
        <f>TEXT(Tabela1[[#This Row],[DATA]],"dd/mm/aaaa")</f>
        <v>22/04/2026</v>
      </c>
    </row>
    <row r="363" spans="1:21" x14ac:dyDescent="0.25">
      <c r="A363" s="4">
        <v>46134.420613425929</v>
      </c>
      <c r="B363" s="5" t="s">
        <v>19</v>
      </c>
      <c r="C363" s="5" t="s">
        <v>37</v>
      </c>
      <c r="D363" s="5">
        <v>75</v>
      </c>
      <c r="E363" s="6">
        <v>4987252000107</v>
      </c>
      <c r="F363" s="5">
        <v>75</v>
      </c>
      <c r="G363" s="7">
        <v>177686314113711</v>
      </c>
      <c r="H363" s="5" t="s">
        <v>323</v>
      </c>
      <c r="I363" s="5">
        <v>3003</v>
      </c>
      <c r="J363" s="5" t="s">
        <v>22</v>
      </c>
      <c r="K363" s="5" t="s">
        <v>23</v>
      </c>
      <c r="L363" s="5" t="s">
        <v>31</v>
      </c>
      <c r="M363" s="5" t="s">
        <v>284</v>
      </c>
      <c r="N363" s="5" t="s">
        <v>53</v>
      </c>
      <c r="O363" s="5">
        <v>131</v>
      </c>
      <c r="P363" s="5"/>
      <c r="Q363" s="5"/>
      <c r="R363" s="8">
        <v>3.4722222222222222E-5</v>
      </c>
      <c r="S363" s="5" t="s">
        <v>37</v>
      </c>
      <c r="T363" t="str">
        <f>IF(Tabela1[[#This Row],[STATUS_NEGOCIO]]="Enviar E-mail",1,"")</f>
        <v/>
      </c>
      <c r="U363" t="str">
        <f>TEXT(Tabela1[[#This Row],[DATA]],"dd/mm/aaaa")</f>
        <v>22/04/2026</v>
      </c>
    </row>
    <row r="364" spans="1:21" x14ac:dyDescent="0.25">
      <c r="A364" s="4">
        <v>46134.42083333333</v>
      </c>
      <c r="B364" s="5" t="s">
        <v>19</v>
      </c>
      <c r="C364" s="5" t="s">
        <v>37</v>
      </c>
      <c r="D364" s="5">
        <v>76</v>
      </c>
      <c r="E364" s="6">
        <v>5068583000106</v>
      </c>
      <c r="F364" s="5">
        <v>76</v>
      </c>
      <c r="G364" s="7">
        <v>177686316013771</v>
      </c>
      <c r="H364" s="5" t="s">
        <v>174</v>
      </c>
      <c r="I364" s="5">
        <v>3003</v>
      </c>
      <c r="J364" s="5" t="s">
        <v>22</v>
      </c>
      <c r="K364" s="5" t="s">
        <v>23</v>
      </c>
      <c r="L364" s="5" t="s">
        <v>31</v>
      </c>
      <c r="M364" s="5" t="s">
        <v>284</v>
      </c>
      <c r="N364" s="5" t="s">
        <v>53</v>
      </c>
      <c r="O364" s="5">
        <v>128</v>
      </c>
      <c r="P364" s="5"/>
      <c r="Q364" s="5"/>
      <c r="R364" s="8">
        <v>8.1018518518518516E-5</v>
      </c>
      <c r="S364" s="5" t="s">
        <v>37</v>
      </c>
      <c r="T364" t="str">
        <f>IF(Tabela1[[#This Row],[STATUS_NEGOCIO]]="Enviar E-mail",1,"")</f>
        <v/>
      </c>
      <c r="U364" t="str">
        <f>TEXT(Tabela1[[#This Row],[DATA]],"dd/mm/aaaa")</f>
        <v>22/04/2026</v>
      </c>
    </row>
    <row r="365" spans="1:21" x14ac:dyDescent="0.25">
      <c r="A365" s="4">
        <v>46134.420995370368</v>
      </c>
      <c r="B365" s="5" t="s">
        <v>19</v>
      </c>
      <c r="C365" s="5" t="s">
        <v>37</v>
      </c>
      <c r="D365" s="5">
        <v>77</v>
      </c>
      <c r="E365" s="6">
        <v>5105470000133</v>
      </c>
      <c r="F365" s="5">
        <v>77</v>
      </c>
      <c r="G365" s="7">
        <v>177686317413791</v>
      </c>
      <c r="H365" s="5" t="s">
        <v>274</v>
      </c>
      <c r="I365" s="5">
        <v>3003</v>
      </c>
      <c r="J365" s="5" t="s">
        <v>22</v>
      </c>
      <c r="K365" s="5" t="s">
        <v>23</v>
      </c>
      <c r="L365" s="5" t="s">
        <v>31</v>
      </c>
      <c r="M365" s="5" t="s">
        <v>284</v>
      </c>
      <c r="N365" s="5" t="s">
        <v>53</v>
      </c>
      <c r="O365" s="5">
        <v>128</v>
      </c>
      <c r="P365" s="5"/>
      <c r="Q365" s="5"/>
      <c r="R365" s="8">
        <v>8.1018518518518516E-5</v>
      </c>
      <c r="S365" s="5" t="s">
        <v>37</v>
      </c>
      <c r="T365" t="str">
        <f>IF(Tabela1[[#This Row],[STATUS_NEGOCIO]]="Enviar E-mail",1,"")</f>
        <v/>
      </c>
      <c r="U365" t="str">
        <f>TEXT(Tabela1[[#This Row],[DATA]],"dd/mm/aaaa")</f>
        <v>22/04/2026</v>
      </c>
    </row>
    <row r="366" spans="1:21" x14ac:dyDescent="0.25">
      <c r="A366" s="4">
        <v>46134.421134259261</v>
      </c>
      <c r="B366" s="5" t="s">
        <v>19</v>
      </c>
      <c r="C366" s="5" t="s">
        <v>37</v>
      </c>
      <c r="D366" s="5">
        <v>78</v>
      </c>
      <c r="E366" s="6">
        <v>5124020000198</v>
      </c>
      <c r="F366" s="5">
        <v>78</v>
      </c>
      <c r="G366" s="7">
        <v>177686318613871</v>
      </c>
      <c r="H366" s="5" t="s">
        <v>268</v>
      </c>
      <c r="I366" s="5">
        <v>3003</v>
      </c>
      <c r="J366" s="5" t="s">
        <v>22</v>
      </c>
      <c r="K366" s="5" t="s">
        <v>23</v>
      </c>
      <c r="L366" s="5" t="s">
        <v>31</v>
      </c>
      <c r="M366" s="5" t="s">
        <v>284</v>
      </c>
      <c r="N366" s="5" t="s">
        <v>53</v>
      </c>
      <c r="O366" s="5">
        <v>128</v>
      </c>
      <c r="P366" s="5"/>
      <c r="Q366" s="5"/>
      <c r="R366" s="8">
        <v>8.1018518518518516E-5</v>
      </c>
      <c r="S366" s="5" t="s">
        <v>37</v>
      </c>
      <c r="T366" t="str">
        <f>IF(Tabela1[[#This Row],[STATUS_NEGOCIO]]="Enviar E-mail",1,"")</f>
        <v/>
      </c>
      <c r="U366" t="str">
        <f>TEXT(Tabela1[[#This Row],[DATA]],"dd/mm/aaaa")</f>
        <v>22/04/2026</v>
      </c>
    </row>
    <row r="367" spans="1:21" x14ac:dyDescent="0.25">
      <c r="A367" s="4">
        <v>46134.421458333331</v>
      </c>
      <c r="B367" s="5" t="s">
        <v>19</v>
      </c>
      <c r="C367" s="5" t="s">
        <v>37</v>
      </c>
      <c r="D367" s="5">
        <v>79</v>
      </c>
      <c r="E367" s="6">
        <v>5133369000196</v>
      </c>
      <c r="F367" s="5">
        <v>79</v>
      </c>
      <c r="G367" s="7">
        <v>177686321413951</v>
      </c>
      <c r="H367" s="5" t="s">
        <v>103</v>
      </c>
      <c r="I367" s="5">
        <v>3003</v>
      </c>
      <c r="J367" s="5" t="s">
        <v>22</v>
      </c>
      <c r="K367" s="5" t="s">
        <v>23</v>
      </c>
      <c r="L367" s="5" t="s">
        <v>31</v>
      </c>
      <c r="M367" s="5" t="s">
        <v>284</v>
      </c>
      <c r="N367" s="5" t="s">
        <v>53</v>
      </c>
      <c r="O367" s="5">
        <v>128</v>
      </c>
      <c r="P367" s="5"/>
      <c r="Q367" s="5"/>
      <c r="R367" s="8">
        <v>8.1018518518518516E-5</v>
      </c>
      <c r="S367" s="5" t="s">
        <v>37</v>
      </c>
      <c r="T367" t="str">
        <f>IF(Tabela1[[#This Row],[STATUS_NEGOCIO]]="Enviar E-mail",1,"")</f>
        <v/>
      </c>
      <c r="U367" t="str">
        <f>TEXT(Tabela1[[#This Row],[DATA]],"dd/mm/aaaa")</f>
        <v>22/04/2026</v>
      </c>
    </row>
    <row r="368" spans="1:21" x14ac:dyDescent="0.25">
      <c r="A368" s="4">
        <v>46134.421782407408</v>
      </c>
      <c r="B368" s="5" t="s">
        <v>19</v>
      </c>
      <c r="C368" s="5" t="s">
        <v>37</v>
      </c>
      <c r="D368" s="5">
        <v>80</v>
      </c>
      <c r="E368" s="6">
        <v>5207886000162</v>
      </c>
      <c r="F368" s="5">
        <v>80</v>
      </c>
      <c r="G368" s="7">
        <v>177686324214041</v>
      </c>
      <c r="H368" s="5" t="s">
        <v>190</v>
      </c>
      <c r="I368" s="5">
        <v>3003</v>
      </c>
      <c r="J368" s="5" t="s">
        <v>22</v>
      </c>
      <c r="K368" s="5" t="s">
        <v>23</v>
      </c>
      <c r="L368" s="5" t="s">
        <v>31</v>
      </c>
      <c r="M368" s="5" t="s">
        <v>284</v>
      </c>
      <c r="N368" s="5" t="s">
        <v>53</v>
      </c>
      <c r="O368" s="5">
        <v>128</v>
      </c>
      <c r="P368" s="5"/>
      <c r="Q368" s="5"/>
      <c r="R368" s="8">
        <v>8.1018518518518516E-5</v>
      </c>
      <c r="S368" s="5" t="s">
        <v>37</v>
      </c>
      <c r="T368" t="str">
        <f>IF(Tabela1[[#This Row],[STATUS_NEGOCIO]]="Enviar E-mail",1,"")</f>
        <v/>
      </c>
      <c r="U368" t="str">
        <f>TEXT(Tabela1[[#This Row],[DATA]],"dd/mm/aaaa")</f>
        <v>22/04/2026</v>
      </c>
    </row>
    <row r="369" spans="1:21" x14ac:dyDescent="0.25">
      <c r="A369" s="4">
        <v>46134.422326388885</v>
      </c>
      <c r="B369" s="5" t="s">
        <v>19</v>
      </c>
      <c r="C369" s="5" t="s">
        <v>37</v>
      </c>
      <c r="D369" s="5">
        <v>81</v>
      </c>
      <c r="E369" s="6">
        <v>5476516000120</v>
      </c>
      <c r="F369" s="5">
        <v>81</v>
      </c>
      <c r="G369" s="7">
        <v>177686328914211</v>
      </c>
      <c r="H369" s="5" t="s">
        <v>324</v>
      </c>
      <c r="I369" s="5">
        <v>3003</v>
      </c>
      <c r="J369" s="5" t="s">
        <v>22</v>
      </c>
      <c r="K369" s="5" t="s">
        <v>23</v>
      </c>
      <c r="L369" s="5" t="s">
        <v>31</v>
      </c>
      <c r="M369" s="5" t="s">
        <v>284</v>
      </c>
      <c r="N369" s="5" t="s">
        <v>53</v>
      </c>
      <c r="O369" s="5">
        <v>128</v>
      </c>
      <c r="P369" s="5"/>
      <c r="Q369" s="5"/>
      <c r="R369" s="8">
        <v>8.1018518518518516E-5</v>
      </c>
      <c r="S369" s="5" t="s">
        <v>37</v>
      </c>
      <c r="T369" t="str">
        <f>IF(Tabela1[[#This Row],[STATUS_NEGOCIO]]="Enviar E-mail",1,"")</f>
        <v/>
      </c>
      <c r="U369" t="str">
        <f>TEXT(Tabela1[[#This Row],[DATA]],"dd/mm/aaaa")</f>
        <v>22/04/2026</v>
      </c>
    </row>
    <row r="370" spans="1:21" x14ac:dyDescent="0.25">
      <c r="A370" s="4">
        <v>46134.422430555554</v>
      </c>
      <c r="B370" s="5" t="s">
        <v>19</v>
      </c>
      <c r="C370" s="5" t="s">
        <v>37</v>
      </c>
      <c r="D370" s="5">
        <v>82</v>
      </c>
      <c r="E370" s="6">
        <v>5483497000160</v>
      </c>
      <c r="F370" s="5">
        <v>82</v>
      </c>
      <c r="G370" s="7">
        <v>177686329814281</v>
      </c>
      <c r="H370" s="5" t="s">
        <v>58</v>
      </c>
      <c r="I370" s="5">
        <v>3003</v>
      </c>
      <c r="J370" s="5" t="s">
        <v>22</v>
      </c>
      <c r="K370" s="5" t="s">
        <v>23</v>
      </c>
      <c r="L370" s="5" t="s">
        <v>31</v>
      </c>
      <c r="M370" s="5" t="s">
        <v>284</v>
      </c>
      <c r="N370" s="5" t="s">
        <v>53</v>
      </c>
      <c r="O370" s="5">
        <v>128</v>
      </c>
      <c r="P370" s="5"/>
      <c r="Q370" s="5"/>
      <c r="R370" s="8">
        <v>8.1018518518518516E-5</v>
      </c>
      <c r="S370" s="5" t="s">
        <v>37</v>
      </c>
      <c r="T370" t="str">
        <f>IF(Tabela1[[#This Row],[STATUS_NEGOCIO]]="Enviar E-mail",1,"")</f>
        <v/>
      </c>
      <c r="U370" t="str">
        <f>TEXT(Tabela1[[#This Row],[DATA]],"dd/mm/aaaa")</f>
        <v>22/04/2026</v>
      </c>
    </row>
    <row r="371" spans="1:21" x14ac:dyDescent="0.25">
      <c r="A371" s="4">
        <v>46134.422534722224</v>
      </c>
      <c r="B371" s="5" t="s">
        <v>19</v>
      </c>
      <c r="C371" s="5" t="s">
        <v>37</v>
      </c>
      <c r="D371" s="5">
        <v>83</v>
      </c>
      <c r="E371" s="6">
        <v>5485452000124</v>
      </c>
      <c r="F371" s="5">
        <v>83</v>
      </c>
      <c r="G371" s="7">
        <v>177686330714301</v>
      </c>
      <c r="H371" s="5" t="s">
        <v>325</v>
      </c>
      <c r="I371" s="5">
        <v>3003</v>
      </c>
      <c r="J371" s="5" t="s">
        <v>22</v>
      </c>
      <c r="K371" s="5" t="s">
        <v>23</v>
      </c>
      <c r="L371" s="5" t="s">
        <v>31</v>
      </c>
      <c r="M371" s="5" t="s">
        <v>284</v>
      </c>
      <c r="N371" s="5" t="s">
        <v>53</v>
      </c>
      <c r="O371" s="5">
        <v>147</v>
      </c>
      <c r="P371" s="5"/>
      <c r="Q371" s="5"/>
      <c r="R371" s="8">
        <v>8.1018518518518516E-5</v>
      </c>
      <c r="S371" s="5" t="s">
        <v>37</v>
      </c>
      <c r="T371" t="str">
        <f>IF(Tabela1[[#This Row],[STATUS_NEGOCIO]]="Enviar E-mail",1,"")</f>
        <v/>
      </c>
      <c r="U371" t="str">
        <f>TEXT(Tabela1[[#This Row],[DATA]],"dd/mm/aaaa")</f>
        <v>22/04/2026</v>
      </c>
    </row>
    <row r="372" spans="1:21" x14ac:dyDescent="0.25">
      <c r="A372" s="4">
        <v>46134.422881944447</v>
      </c>
      <c r="B372" s="5" t="s">
        <v>19</v>
      </c>
      <c r="C372" s="5" t="s">
        <v>37</v>
      </c>
      <c r="D372" s="5">
        <v>84</v>
      </c>
      <c r="E372" s="6">
        <v>5487548000121</v>
      </c>
      <c r="F372" s="5">
        <v>84</v>
      </c>
      <c r="G372" s="7">
        <v>177686333714441</v>
      </c>
      <c r="H372" s="5" t="s">
        <v>49</v>
      </c>
      <c r="I372" s="5">
        <v>3003</v>
      </c>
      <c r="J372" s="5" t="s">
        <v>22</v>
      </c>
      <c r="K372" s="5" t="s">
        <v>23</v>
      </c>
      <c r="L372" s="5" t="s">
        <v>31</v>
      </c>
      <c r="M372" s="5" t="s">
        <v>284</v>
      </c>
      <c r="N372" s="5" t="s">
        <v>53</v>
      </c>
      <c r="O372" s="5">
        <v>128</v>
      </c>
      <c r="P372" s="5"/>
      <c r="Q372" s="5"/>
      <c r="R372" s="8">
        <v>8.1018518518518516E-5</v>
      </c>
      <c r="S372" s="5" t="s">
        <v>37</v>
      </c>
      <c r="T372" t="str">
        <f>IF(Tabela1[[#This Row],[STATUS_NEGOCIO]]="Enviar E-mail",1,"")</f>
        <v/>
      </c>
      <c r="U372" t="str">
        <f>TEXT(Tabela1[[#This Row],[DATA]],"dd/mm/aaaa")</f>
        <v>22/04/2026</v>
      </c>
    </row>
    <row r="373" spans="1:21" x14ac:dyDescent="0.25">
      <c r="A373" s="4">
        <v>46134.423043981478</v>
      </c>
      <c r="B373" s="5" t="s">
        <v>19</v>
      </c>
      <c r="C373" s="5" t="s">
        <v>37</v>
      </c>
      <c r="D373" s="5">
        <v>85</v>
      </c>
      <c r="E373" s="6">
        <v>5587109000190</v>
      </c>
      <c r="F373" s="5">
        <v>85</v>
      </c>
      <c r="G373" s="7">
        <v>177686335114541</v>
      </c>
      <c r="H373" s="5" t="s">
        <v>249</v>
      </c>
      <c r="I373" s="5">
        <v>3003</v>
      </c>
      <c r="J373" s="5" t="s">
        <v>22</v>
      </c>
      <c r="K373" s="5" t="s">
        <v>23</v>
      </c>
      <c r="L373" s="5" t="s">
        <v>31</v>
      </c>
      <c r="M373" s="5" t="s">
        <v>284</v>
      </c>
      <c r="N373" s="5" t="s">
        <v>53</v>
      </c>
      <c r="O373" s="5">
        <v>128</v>
      </c>
      <c r="P373" s="5"/>
      <c r="Q373" s="5"/>
      <c r="R373" s="8">
        <v>8.1018518518518516E-5</v>
      </c>
      <c r="S373" s="5" t="s">
        <v>37</v>
      </c>
      <c r="T373" t="str">
        <f>IF(Tabela1[[#This Row],[STATUS_NEGOCIO]]="Enviar E-mail",1,"")</f>
        <v/>
      </c>
      <c r="U373" t="str">
        <f>TEXT(Tabela1[[#This Row],[DATA]],"dd/mm/aaaa")</f>
        <v>22/04/2026</v>
      </c>
    </row>
    <row r="374" spans="1:21" x14ac:dyDescent="0.25">
      <c r="A374" s="4">
        <v>46134.423194444447</v>
      </c>
      <c r="B374" s="5" t="s">
        <v>19</v>
      </c>
      <c r="C374" s="5" t="s">
        <v>37</v>
      </c>
      <c r="D374" s="5">
        <v>86</v>
      </c>
      <c r="E374" s="6">
        <v>5600088000104</v>
      </c>
      <c r="F374" s="5">
        <v>86</v>
      </c>
      <c r="G374" s="7">
        <v>177686336414561</v>
      </c>
      <c r="H374" s="5" t="s">
        <v>326</v>
      </c>
      <c r="I374" s="5">
        <v>3003</v>
      </c>
      <c r="J374" s="5" t="s">
        <v>22</v>
      </c>
      <c r="K374" s="5" t="s">
        <v>23</v>
      </c>
      <c r="L374" s="5" t="s">
        <v>31</v>
      </c>
      <c r="M374" s="5" t="s">
        <v>284</v>
      </c>
      <c r="N374" s="5" t="s">
        <v>53</v>
      </c>
      <c r="O374" s="5">
        <v>147</v>
      </c>
      <c r="P374" s="5"/>
      <c r="Q374" s="5"/>
      <c r="R374" s="8">
        <v>8.1018518518518516E-5</v>
      </c>
      <c r="S374" s="5" t="s">
        <v>37</v>
      </c>
      <c r="T374" t="str">
        <f>IF(Tabela1[[#This Row],[STATUS_NEGOCIO]]="Enviar E-mail",1,"")</f>
        <v/>
      </c>
      <c r="U374" t="str">
        <f>TEXT(Tabela1[[#This Row],[DATA]],"dd/mm/aaaa")</f>
        <v>22/04/2026</v>
      </c>
    </row>
    <row r="375" spans="1:21" x14ac:dyDescent="0.25">
      <c r="A375" s="4">
        <v>46134.423611111109</v>
      </c>
      <c r="B375" s="5" t="s">
        <v>19</v>
      </c>
      <c r="C375" s="5" t="s">
        <v>27</v>
      </c>
      <c r="D375" s="5">
        <v>87</v>
      </c>
      <c r="E375" s="6">
        <v>5813848000153</v>
      </c>
      <c r="F375" s="5">
        <v>87</v>
      </c>
      <c r="G375" s="7">
        <v>177686340014661</v>
      </c>
      <c r="H375" s="5" t="s">
        <v>85</v>
      </c>
      <c r="I375" s="5">
        <v>3003</v>
      </c>
      <c r="J375" s="5" t="s">
        <v>22</v>
      </c>
      <c r="K375" s="5" t="s">
        <v>23</v>
      </c>
      <c r="L375" s="5" t="s">
        <v>40</v>
      </c>
      <c r="M375" s="5" t="s">
        <v>284</v>
      </c>
      <c r="N375" s="5" t="s">
        <v>26</v>
      </c>
      <c r="O375" s="5">
        <v>16</v>
      </c>
      <c r="P375" s="5"/>
      <c r="Q375" s="5"/>
      <c r="R375" s="8">
        <v>1.736111111111111E-3</v>
      </c>
      <c r="S375" s="8">
        <v>1.7013888888888888E-3</v>
      </c>
      <c r="T375">
        <f>IF(Tabela1[[#This Row],[STATUS_NEGOCIO]]="Enviar E-mail",1,"")</f>
        <v>1</v>
      </c>
      <c r="U375" t="str">
        <f>TEXT(Tabela1[[#This Row],[DATA]],"dd/mm/aaaa")</f>
        <v>22/04/2026</v>
      </c>
    </row>
    <row r="376" spans="1:21" x14ac:dyDescent="0.25">
      <c r="A376" s="4">
        <v>46134.425578703704</v>
      </c>
      <c r="B376" s="5" t="s">
        <v>19</v>
      </c>
      <c r="C376" s="5" t="s">
        <v>37</v>
      </c>
      <c r="D376" s="5">
        <v>88</v>
      </c>
      <c r="E376" s="6">
        <v>5870198000188</v>
      </c>
      <c r="F376" s="5">
        <v>88</v>
      </c>
      <c r="G376" s="7">
        <v>177686357014721</v>
      </c>
      <c r="H376" s="5" t="s">
        <v>135</v>
      </c>
      <c r="I376" s="5">
        <v>3003</v>
      </c>
      <c r="J376" s="5" t="s">
        <v>22</v>
      </c>
      <c r="K376" s="5" t="s">
        <v>23</v>
      </c>
      <c r="L376" s="5" t="s">
        <v>31</v>
      </c>
      <c r="M376" s="5" t="s">
        <v>284</v>
      </c>
      <c r="N376" s="5" t="s">
        <v>53</v>
      </c>
      <c r="O376" s="5">
        <v>128</v>
      </c>
      <c r="P376" s="5"/>
      <c r="Q376" s="5"/>
      <c r="R376" s="8">
        <v>6.9444444444444444E-5</v>
      </c>
      <c r="S376" s="5" t="s">
        <v>37</v>
      </c>
      <c r="T376" t="str">
        <f>IF(Tabela1[[#This Row],[STATUS_NEGOCIO]]="Enviar E-mail",1,"")</f>
        <v/>
      </c>
      <c r="U376" t="str">
        <f>TEXT(Tabela1[[#This Row],[DATA]],"dd/mm/aaaa")</f>
        <v>22/04/2026</v>
      </c>
    </row>
    <row r="377" spans="1:21" x14ac:dyDescent="0.25">
      <c r="A377" s="4">
        <v>46134.426087962966</v>
      </c>
      <c r="B377" s="5" t="s">
        <v>19</v>
      </c>
      <c r="C377" s="5" t="s">
        <v>37</v>
      </c>
      <c r="D377" s="5">
        <v>89</v>
      </c>
      <c r="E377" s="6">
        <v>5887391000121</v>
      </c>
      <c r="F377" s="5">
        <v>89</v>
      </c>
      <c r="G377" s="7">
        <v>177686361414771</v>
      </c>
      <c r="H377" s="5" t="s">
        <v>327</v>
      </c>
      <c r="I377" s="5">
        <v>3003</v>
      </c>
      <c r="J377" s="5" t="s">
        <v>22</v>
      </c>
      <c r="K377" s="5" t="s">
        <v>23</v>
      </c>
      <c r="L377" s="5" t="s">
        <v>31</v>
      </c>
      <c r="M377" s="5" t="s">
        <v>284</v>
      </c>
      <c r="N377" s="5" t="s">
        <v>53</v>
      </c>
      <c r="O377" s="5">
        <v>128</v>
      </c>
      <c r="P377" s="5"/>
      <c r="Q377" s="5"/>
      <c r="R377" s="8">
        <v>8.1018518518518516E-5</v>
      </c>
      <c r="S377" s="5" t="s">
        <v>37</v>
      </c>
      <c r="T377" t="str">
        <f>IF(Tabela1[[#This Row],[STATUS_NEGOCIO]]="Enviar E-mail",1,"")</f>
        <v/>
      </c>
      <c r="U377" t="str">
        <f>TEXT(Tabela1[[#This Row],[DATA]],"dd/mm/aaaa")</f>
        <v>22/04/2026</v>
      </c>
    </row>
    <row r="378" spans="1:21" x14ac:dyDescent="0.25">
      <c r="A378" s="4">
        <v>46134.426585648151</v>
      </c>
      <c r="B378" s="5" t="s">
        <v>19</v>
      </c>
      <c r="C378" s="5" t="s">
        <v>37</v>
      </c>
      <c r="D378" s="5">
        <v>90</v>
      </c>
      <c r="E378" s="6">
        <v>5951912000162</v>
      </c>
      <c r="F378" s="5">
        <v>90</v>
      </c>
      <c r="G378" s="7">
        <v>177686365714791</v>
      </c>
      <c r="H378" s="5" t="s">
        <v>328</v>
      </c>
      <c r="I378" s="5">
        <v>3003</v>
      </c>
      <c r="J378" s="5" t="s">
        <v>22</v>
      </c>
      <c r="K378" s="5" t="s">
        <v>23</v>
      </c>
      <c r="L378" s="5" t="s">
        <v>31</v>
      </c>
      <c r="M378" s="5" t="s">
        <v>284</v>
      </c>
      <c r="N378" s="5" t="s">
        <v>53</v>
      </c>
      <c r="O378" s="5">
        <v>128</v>
      </c>
      <c r="P378" s="5"/>
      <c r="Q378" s="5"/>
      <c r="R378" s="8">
        <v>8.1018518518518516E-5</v>
      </c>
      <c r="S378" s="5" t="s">
        <v>37</v>
      </c>
      <c r="T378" t="str">
        <f>IF(Tabela1[[#This Row],[STATUS_NEGOCIO]]="Enviar E-mail",1,"")</f>
        <v/>
      </c>
      <c r="U378" t="str">
        <f>TEXT(Tabela1[[#This Row],[DATA]],"dd/mm/aaaa")</f>
        <v>22/04/2026</v>
      </c>
    </row>
    <row r="379" spans="1:21" x14ac:dyDescent="0.25">
      <c r="A379" s="4">
        <v>46134.426759259259</v>
      </c>
      <c r="B379" s="5" t="s">
        <v>19</v>
      </c>
      <c r="C379" s="5" t="s">
        <v>37</v>
      </c>
      <c r="D379" s="5">
        <v>91</v>
      </c>
      <c r="E379" s="6">
        <v>6058857000149</v>
      </c>
      <c r="F379" s="5">
        <v>91</v>
      </c>
      <c r="G379" s="7">
        <v>177686367214811</v>
      </c>
      <c r="H379" s="5" t="s">
        <v>254</v>
      </c>
      <c r="I379" s="5" t="s">
        <v>52</v>
      </c>
      <c r="J379" s="5" t="s">
        <v>22</v>
      </c>
      <c r="K379" s="5" t="s">
        <v>36</v>
      </c>
      <c r="L379" s="5" t="s">
        <v>36</v>
      </c>
      <c r="M379" s="5" t="s">
        <v>284</v>
      </c>
      <c r="N379" s="5" t="s">
        <v>53</v>
      </c>
      <c r="O379" s="5">
        <v>19</v>
      </c>
      <c r="P379" s="5"/>
      <c r="Q379" s="5"/>
      <c r="R379" s="8">
        <v>0</v>
      </c>
      <c r="S379" s="5" t="s">
        <v>37</v>
      </c>
      <c r="T379" t="str">
        <f>IF(Tabela1[[#This Row],[STATUS_NEGOCIO]]="Enviar E-mail",1,"")</f>
        <v/>
      </c>
      <c r="U379" t="str">
        <f>TEXT(Tabela1[[#This Row],[DATA]],"dd/mm/aaaa")</f>
        <v>22/04/2026</v>
      </c>
    </row>
    <row r="380" spans="1:21" x14ac:dyDescent="0.25">
      <c r="A380" s="4">
        <v>46134.427476851852</v>
      </c>
      <c r="B380" s="5" t="s">
        <v>19</v>
      </c>
      <c r="C380" s="5" t="s">
        <v>37</v>
      </c>
      <c r="D380" s="5">
        <v>92</v>
      </c>
      <c r="E380" s="6">
        <v>6093542000132</v>
      </c>
      <c r="F380" s="5">
        <v>92</v>
      </c>
      <c r="G380" s="7">
        <v>177686373415031</v>
      </c>
      <c r="H380" s="5" t="s">
        <v>329</v>
      </c>
      <c r="I380" s="5">
        <v>3003</v>
      </c>
      <c r="J380" s="5" t="s">
        <v>22</v>
      </c>
      <c r="K380" s="5" t="s">
        <v>23</v>
      </c>
      <c r="L380" s="5" t="s">
        <v>31</v>
      </c>
      <c r="M380" s="5" t="s">
        <v>284</v>
      </c>
      <c r="N380" s="5" t="s">
        <v>53</v>
      </c>
      <c r="O380" s="5">
        <v>131</v>
      </c>
      <c r="P380" s="5"/>
      <c r="Q380" s="5"/>
      <c r="R380" s="8">
        <v>0</v>
      </c>
      <c r="S380" s="5" t="s">
        <v>37</v>
      </c>
      <c r="T380" t="str">
        <f>IF(Tabela1[[#This Row],[STATUS_NEGOCIO]]="Enviar E-mail",1,"")</f>
        <v/>
      </c>
      <c r="U380" t="str">
        <f>TEXT(Tabela1[[#This Row],[DATA]],"dd/mm/aaaa")</f>
        <v>22/04/2026</v>
      </c>
    </row>
    <row r="381" spans="1:21" x14ac:dyDescent="0.25">
      <c r="A381" s="4">
        <v>46134.42763888889</v>
      </c>
      <c r="B381" s="5" t="s">
        <v>19</v>
      </c>
      <c r="C381" s="5" t="s">
        <v>37</v>
      </c>
      <c r="D381" s="5">
        <v>93</v>
      </c>
      <c r="E381" s="6">
        <v>6100968000176</v>
      </c>
      <c r="F381" s="5">
        <v>93</v>
      </c>
      <c r="G381" s="7">
        <v>177686374815041</v>
      </c>
      <c r="H381" s="5" t="s">
        <v>330</v>
      </c>
      <c r="I381" s="5" t="s">
        <v>52</v>
      </c>
      <c r="J381" s="5" t="s">
        <v>22</v>
      </c>
      <c r="K381" s="5" t="s">
        <v>36</v>
      </c>
      <c r="L381" s="5" t="s">
        <v>36</v>
      </c>
      <c r="M381" s="5" t="s">
        <v>284</v>
      </c>
      <c r="N381" s="5" t="s">
        <v>53</v>
      </c>
      <c r="O381" s="5">
        <v>1</v>
      </c>
      <c r="P381" s="5"/>
      <c r="Q381" s="5"/>
      <c r="R381" s="8">
        <v>0</v>
      </c>
      <c r="S381" s="5" t="s">
        <v>37</v>
      </c>
      <c r="T381" t="str">
        <f>IF(Tabela1[[#This Row],[STATUS_NEGOCIO]]="Enviar E-mail",1,"")</f>
        <v/>
      </c>
      <c r="U381" t="str">
        <f>TEXT(Tabela1[[#This Row],[DATA]],"dd/mm/aaaa")</f>
        <v>22/04/2026</v>
      </c>
    </row>
    <row r="382" spans="1:21" x14ac:dyDescent="0.25">
      <c r="A382" s="4">
        <v>46134.427986111114</v>
      </c>
      <c r="B382" s="5" t="s">
        <v>19</v>
      </c>
      <c r="C382" s="5" t="s">
        <v>37</v>
      </c>
      <c r="D382" s="5">
        <v>94</v>
      </c>
      <c r="E382" s="6">
        <v>6215708000146</v>
      </c>
      <c r="F382" s="5">
        <v>94</v>
      </c>
      <c r="G382" s="7">
        <v>177686377815181</v>
      </c>
      <c r="H382" s="5" t="s">
        <v>180</v>
      </c>
      <c r="I382" s="5">
        <v>3003</v>
      </c>
      <c r="J382" s="5" t="s">
        <v>22</v>
      </c>
      <c r="K382" s="5" t="s">
        <v>23</v>
      </c>
      <c r="L382" s="5" t="s">
        <v>31</v>
      </c>
      <c r="M382" s="5" t="s">
        <v>284</v>
      </c>
      <c r="N382" s="5" t="s">
        <v>53</v>
      </c>
      <c r="O382" s="5">
        <v>147</v>
      </c>
      <c r="P382" s="5"/>
      <c r="Q382" s="5"/>
      <c r="R382" s="8">
        <v>8.1018518518518516E-5</v>
      </c>
      <c r="S382" s="5" t="s">
        <v>37</v>
      </c>
      <c r="T382" t="str">
        <f>IF(Tabela1[[#This Row],[STATUS_NEGOCIO]]="Enviar E-mail",1,"")</f>
        <v/>
      </c>
      <c r="U382" t="str">
        <f>TEXT(Tabela1[[#This Row],[DATA]],"dd/mm/aaaa")</f>
        <v>22/04/2026</v>
      </c>
    </row>
    <row r="383" spans="1:21" x14ac:dyDescent="0.25">
      <c r="A383" s="4">
        <v>46134.428483796299</v>
      </c>
      <c r="B383" s="5" t="s">
        <v>19</v>
      </c>
      <c r="C383" s="5" t="s">
        <v>37</v>
      </c>
      <c r="D383" s="5">
        <v>95</v>
      </c>
      <c r="E383" s="6">
        <v>6236859000180</v>
      </c>
      <c r="F383" s="5">
        <v>95</v>
      </c>
      <c r="G383" s="7">
        <v>177686382115311</v>
      </c>
      <c r="H383" s="5" t="s">
        <v>331</v>
      </c>
      <c r="I383" s="5">
        <v>3003</v>
      </c>
      <c r="J383" s="5" t="s">
        <v>22</v>
      </c>
      <c r="K383" s="5" t="s">
        <v>23</v>
      </c>
      <c r="L383" s="5" t="s">
        <v>31</v>
      </c>
      <c r="M383" s="5" t="s">
        <v>284</v>
      </c>
      <c r="N383" s="5" t="s">
        <v>53</v>
      </c>
      <c r="O383" s="5">
        <v>128</v>
      </c>
      <c r="P383" s="5"/>
      <c r="Q383" s="5"/>
      <c r="R383" s="8">
        <v>8.1018518518518516E-5</v>
      </c>
      <c r="S383" s="5" t="s">
        <v>37</v>
      </c>
      <c r="T383" t="str">
        <f>IF(Tabela1[[#This Row],[STATUS_NEGOCIO]]="Enviar E-mail",1,"")</f>
        <v/>
      </c>
      <c r="U383" t="str">
        <f>TEXT(Tabela1[[#This Row],[DATA]],"dd/mm/aaaa")</f>
        <v>22/04/2026</v>
      </c>
    </row>
    <row r="384" spans="1:21" x14ac:dyDescent="0.25">
      <c r="A384" s="4">
        <v>46134.428749999999</v>
      </c>
      <c r="B384" s="5" t="s">
        <v>19</v>
      </c>
      <c r="C384" s="5" t="s">
        <v>37</v>
      </c>
      <c r="D384" s="5">
        <v>96</v>
      </c>
      <c r="E384" s="6">
        <v>6276371000187</v>
      </c>
      <c r="F384" s="5">
        <v>96</v>
      </c>
      <c r="G384" s="7">
        <v>177686384415401</v>
      </c>
      <c r="H384" s="5" t="s">
        <v>332</v>
      </c>
      <c r="I384" s="5">
        <v>3003</v>
      </c>
      <c r="J384" s="5" t="s">
        <v>22</v>
      </c>
      <c r="K384" s="5" t="s">
        <v>23</v>
      </c>
      <c r="L384" s="5" t="s">
        <v>31</v>
      </c>
      <c r="M384" s="5" t="s">
        <v>284</v>
      </c>
      <c r="N384" s="5" t="s">
        <v>53</v>
      </c>
      <c r="O384" s="5">
        <v>128</v>
      </c>
      <c r="P384" s="5"/>
      <c r="Q384" s="5"/>
      <c r="R384" s="8">
        <v>8.1018518518518516E-5</v>
      </c>
      <c r="S384" s="5" t="s">
        <v>37</v>
      </c>
      <c r="T384" t="str">
        <f>IF(Tabela1[[#This Row],[STATUS_NEGOCIO]]="Enviar E-mail",1,"")</f>
        <v/>
      </c>
      <c r="U384" t="str">
        <f>TEXT(Tabela1[[#This Row],[DATA]],"dd/mm/aaaa")</f>
        <v>22/04/2026</v>
      </c>
    </row>
    <row r="385" spans="1:21" x14ac:dyDescent="0.25">
      <c r="A385" s="4">
        <v>46134.42895833333</v>
      </c>
      <c r="B385" s="5" t="s">
        <v>19</v>
      </c>
      <c r="C385" s="5" t="s">
        <v>37</v>
      </c>
      <c r="D385" s="5">
        <v>97</v>
      </c>
      <c r="E385" s="6">
        <v>6326043000148</v>
      </c>
      <c r="F385" s="5">
        <v>97</v>
      </c>
      <c r="G385" s="7">
        <v>177686386215621</v>
      </c>
      <c r="H385" s="5" t="s">
        <v>116</v>
      </c>
      <c r="I385" s="5">
        <v>3003</v>
      </c>
      <c r="J385" s="5" t="s">
        <v>22</v>
      </c>
      <c r="K385" s="5" t="s">
        <v>23</v>
      </c>
      <c r="L385" s="5" t="s">
        <v>31</v>
      </c>
      <c r="M385" s="5" t="s">
        <v>284</v>
      </c>
      <c r="N385" s="5" t="s">
        <v>53</v>
      </c>
      <c r="O385" s="5">
        <v>128</v>
      </c>
      <c r="P385" s="5"/>
      <c r="Q385" s="5"/>
      <c r="R385" s="8">
        <v>8.1018518518518516E-5</v>
      </c>
      <c r="S385" s="5" t="s">
        <v>37</v>
      </c>
      <c r="T385" t="str">
        <f>IF(Tabela1[[#This Row],[STATUS_NEGOCIO]]="Enviar E-mail",1,"")</f>
        <v/>
      </c>
      <c r="U385" t="str">
        <f>TEXT(Tabela1[[#This Row],[DATA]],"dd/mm/aaaa")</f>
        <v>22/04/2026</v>
      </c>
    </row>
    <row r="386" spans="1:21" x14ac:dyDescent="0.25">
      <c r="A386" s="4">
        <v>46134.429085648146</v>
      </c>
      <c r="B386" s="5" t="s">
        <v>19</v>
      </c>
      <c r="C386" s="5" t="s">
        <v>37</v>
      </c>
      <c r="D386" s="5">
        <v>98</v>
      </c>
      <c r="E386" s="6">
        <v>6652280000107</v>
      </c>
      <c r="F386" s="5">
        <v>98</v>
      </c>
      <c r="G386" s="7">
        <v>177686387215781</v>
      </c>
      <c r="H386" s="5" t="s">
        <v>333</v>
      </c>
      <c r="I386" s="5" t="s">
        <v>52</v>
      </c>
      <c r="J386" s="5" t="s">
        <v>22</v>
      </c>
      <c r="K386" s="5" t="s">
        <v>36</v>
      </c>
      <c r="L386" s="5" t="s">
        <v>36</v>
      </c>
      <c r="M386" s="5" t="s">
        <v>284</v>
      </c>
      <c r="N386" s="5" t="s">
        <v>53</v>
      </c>
      <c r="O386" s="5">
        <v>1</v>
      </c>
      <c r="P386" s="5"/>
      <c r="Q386" s="5"/>
      <c r="R386" s="8">
        <v>0</v>
      </c>
      <c r="S386" s="5" t="s">
        <v>37</v>
      </c>
      <c r="T386" t="str">
        <f>IF(Tabela1[[#This Row],[STATUS_NEGOCIO]]="Enviar E-mail",1,"")</f>
        <v/>
      </c>
      <c r="U386" t="str">
        <f>TEXT(Tabela1[[#This Row],[DATA]],"dd/mm/aaaa")</f>
        <v>22/04/2026</v>
      </c>
    </row>
    <row r="387" spans="1:21" x14ac:dyDescent="0.25">
      <c r="A387" s="4">
        <v>46134.429085648146</v>
      </c>
      <c r="B387" s="5" t="s">
        <v>19</v>
      </c>
      <c r="C387" s="5" t="s">
        <v>37</v>
      </c>
      <c r="D387" s="5">
        <v>99</v>
      </c>
      <c r="E387" s="6">
        <v>6983876000181</v>
      </c>
      <c r="F387" s="5">
        <v>99</v>
      </c>
      <c r="G387" s="7">
        <v>177686387315801</v>
      </c>
      <c r="H387" s="5" t="s">
        <v>334</v>
      </c>
      <c r="I387" s="5">
        <v>3003</v>
      </c>
      <c r="J387" s="5" t="s">
        <v>22</v>
      </c>
      <c r="K387" s="5" t="s">
        <v>23</v>
      </c>
      <c r="L387" s="5" t="s">
        <v>31</v>
      </c>
      <c r="M387" s="5" t="s">
        <v>284</v>
      </c>
      <c r="N387" s="5" t="s">
        <v>53</v>
      </c>
      <c r="O387" s="5">
        <v>128</v>
      </c>
      <c r="P387" s="5"/>
      <c r="Q387" s="5"/>
      <c r="R387" s="8">
        <v>8.1018518518518516E-5</v>
      </c>
      <c r="S387" s="5" t="s">
        <v>37</v>
      </c>
      <c r="T387" t="str">
        <f>IF(Tabela1[[#This Row],[STATUS_NEGOCIO]]="Enviar E-mail",1,"")</f>
        <v/>
      </c>
      <c r="U387" t="str">
        <f>TEXT(Tabela1[[#This Row],[DATA]],"dd/mm/aaaa")</f>
        <v>22/04/2026</v>
      </c>
    </row>
    <row r="388" spans="1:21" x14ac:dyDescent="0.25">
      <c r="A388" s="4">
        <v>46134.429224537038</v>
      </c>
      <c r="B388" s="5" t="s">
        <v>19</v>
      </c>
      <c r="C388" s="5" t="s">
        <v>37</v>
      </c>
      <c r="D388" s="5">
        <v>100</v>
      </c>
      <c r="E388" s="6">
        <v>7042642000364</v>
      </c>
      <c r="F388" s="5">
        <v>100</v>
      </c>
      <c r="G388" s="7">
        <v>177686388515851</v>
      </c>
      <c r="H388" s="5" t="s">
        <v>335</v>
      </c>
      <c r="I388" s="5" t="s">
        <v>52</v>
      </c>
      <c r="J388" s="5" t="s">
        <v>22</v>
      </c>
      <c r="K388" s="5" t="s">
        <v>62</v>
      </c>
      <c r="L388" s="5" t="s">
        <v>62</v>
      </c>
      <c r="M388" s="5" t="s">
        <v>284</v>
      </c>
      <c r="N388" s="5" t="s">
        <v>53</v>
      </c>
      <c r="O388" s="5">
        <v>17</v>
      </c>
      <c r="P388" s="5"/>
      <c r="Q388" s="5"/>
      <c r="R388" s="8">
        <v>0</v>
      </c>
      <c r="S388" s="5" t="s">
        <v>37</v>
      </c>
      <c r="T388" t="str">
        <f>IF(Tabela1[[#This Row],[STATUS_NEGOCIO]]="Enviar E-mail",1,"")</f>
        <v/>
      </c>
      <c r="U388" t="str">
        <f>TEXT(Tabela1[[#This Row],[DATA]],"dd/mm/aaaa")</f>
        <v>22/04/2026</v>
      </c>
    </row>
    <row r="389" spans="1:21" x14ac:dyDescent="0.25">
      <c r="A389" s="4">
        <v>46134.429502314815</v>
      </c>
      <c r="B389" s="5" t="s">
        <v>19</v>
      </c>
      <c r="C389" s="5" t="s">
        <v>20</v>
      </c>
      <c r="D389" s="5">
        <v>101</v>
      </c>
      <c r="E389" s="6">
        <v>7072293000161</v>
      </c>
      <c r="F389" s="5">
        <v>101</v>
      </c>
      <c r="G389" s="7">
        <v>177686390915871</v>
      </c>
      <c r="H389" s="5" t="s">
        <v>336</v>
      </c>
      <c r="I389" s="5">
        <v>3003</v>
      </c>
      <c r="J389" s="5" t="s">
        <v>22</v>
      </c>
      <c r="K389" s="5" t="s">
        <v>23</v>
      </c>
      <c r="L389" s="5" t="s">
        <v>40</v>
      </c>
      <c r="M389" s="5" t="s">
        <v>284</v>
      </c>
      <c r="N389" s="5" t="s">
        <v>32</v>
      </c>
      <c r="O389" s="5">
        <v>16</v>
      </c>
      <c r="P389" s="5"/>
      <c r="Q389" s="5"/>
      <c r="R389" s="8">
        <v>2.8819444444444444E-3</v>
      </c>
      <c r="S389" s="8">
        <v>2.8472222222222223E-3</v>
      </c>
      <c r="T389">
        <f>IF(Tabela1[[#This Row],[STATUS_NEGOCIO]]="Enviar E-mail",1,"")</f>
        <v>1</v>
      </c>
      <c r="U389" t="str">
        <f>TEXT(Tabela1[[#This Row],[DATA]],"dd/mm/aaaa")</f>
        <v>22/04/2026</v>
      </c>
    </row>
    <row r="390" spans="1:21" x14ac:dyDescent="0.25">
      <c r="A390" s="4">
        <v>46134.432627314818</v>
      </c>
      <c r="B390" s="5" t="s">
        <v>19</v>
      </c>
      <c r="C390" s="5" t="s">
        <v>37</v>
      </c>
      <c r="D390" s="5">
        <v>102</v>
      </c>
      <c r="E390" s="6">
        <v>7211888000150</v>
      </c>
      <c r="F390" s="5">
        <v>102</v>
      </c>
      <c r="G390" s="7">
        <v>177686417916271</v>
      </c>
      <c r="H390" s="5" t="s">
        <v>337</v>
      </c>
      <c r="I390" s="5">
        <v>3003</v>
      </c>
      <c r="J390" s="5" t="s">
        <v>22</v>
      </c>
      <c r="K390" s="5" t="s">
        <v>23</v>
      </c>
      <c r="L390" s="5" t="s">
        <v>31</v>
      </c>
      <c r="M390" s="5" t="s">
        <v>284</v>
      </c>
      <c r="N390" s="5" t="s">
        <v>53</v>
      </c>
      <c r="O390" s="5">
        <v>128</v>
      </c>
      <c r="P390" s="5"/>
      <c r="Q390" s="5"/>
      <c r="R390" s="8">
        <v>8.1018518518518516E-5</v>
      </c>
      <c r="S390" s="5" t="s">
        <v>37</v>
      </c>
      <c r="T390" t="str">
        <f>IF(Tabela1[[#This Row],[STATUS_NEGOCIO]]="Enviar E-mail",1,"")</f>
        <v/>
      </c>
      <c r="U390" t="str">
        <f>TEXT(Tabela1[[#This Row],[DATA]],"dd/mm/aaaa")</f>
        <v>22/04/2026</v>
      </c>
    </row>
    <row r="391" spans="1:21" x14ac:dyDescent="0.25">
      <c r="A391" s="4">
        <v>46134.432939814818</v>
      </c>
      <c r="B391" s="5" t="s">
        <v>19</v>
      </c>
      <c r="C391" s="5" t="s">
        <v>37</v>
      </c>
      <c r="D391" s="5">
        <v>103</v>
      </c>
      <c r="E391" s="6">
        <v>7355123000194</v>
      </c>
      <c r="F391" s="5">
        <v>103</v>
      </c>
      <c r="G391" s="7">
        <v>177686420616401</v>
      </c>
      <c r="H391" s="5" t="s">
        <v>161</v>
      </c>
      <c r="I391" s="5" t="s">
        <v>52</v>
      </c>
      <c r="J391" s="5" t="s">
        <v>22</v>
      </c>
      <c r="K391" s="5" t="s">
        <v>36</v>
      </c>
      <c r="L391" s="5" t="s">
        <v>36</v>
      </c>
      <c r="M391" s="5" t="s">
        <v>284</v>
      </c>
      <c r="N391" s="5" t="s">
        <v>53</v>
      </c>
      <c r="O391" s="5">
        <v>19</v>
      </c>
      <c r="P391" s="5"/>
      <c r="Q391" s="5"/>
      <c r="R391" s="8">
        <v>0</v>
      </c>
      <c r="S391" s="5" t="s">
        <v>37</v>
      </c>
      <c r="T391" t="str">
        <f>IF(Tabela1[[#This Row],[STATUS_NEGOCIO]]="Enviar E-mail",1,"")</f>
        <v/>
      </c>
      <c r="U391" t="str">
        <f>TEXT(Tabela1[[#This Row],[DATA]],"dd/mm/aaaa")</f>
        <v>22/04/2026</v>
      </c>
    </row>
    <row r="392" spans="1:21" x14ac:dyDescent="0.25">
      <c r="A392" s="4">
        <v>46134.433472222219</v>
      </c>
      <c r="B392" s="5" t="s">
        <v>19</v>
      </c>
      <c r="C392" s="5" t="s">
        <v>37</v>
      </c>
      <c r="D392" s="5">
        <v>104</v>
      </c>
      <c r="E392" s="6">
        <v>7368744000102</v>
      </c>
      <c r="F392" s="5">
        <v>104</v>
      </c>
      <c r="G392" s="7">
        <v>177686425216541</v>
      </c>
      <c r="H392" s="5" t="s">
        <v>338</v>
      </c>
      <c r="I392" s="5">
        <v>3003</v>
      </c>
      <c r="J392" s="5" t="s">
        <v>22</v>
      </c>
      <c r="K392" s="5" t="s">
        <v>23</v>
      </c>
      <c r="L392" s="5" t="s">
        <v>31</v>
      </c>
      <c r="M392" s="5" t="s">
        <v>284</v>
      </c>
      <c r="N392" s="5" t="s">
        <v>53</v>
      </c>
      <c r="O392" s="5">
        <v>128</v>
      </c>
      <c r="P392" s="5"/>
      <c r="Q392" s="5"/>
      <c r="R392" s="8">
        <v>8.1018518518518516E-5</v>
      </c>
      <c r="S392" s="5" t="s">
        <v>37</v>
      </c>
      <c r="T392" t="str">
        <f>IF(Tabela1[[#This Row],[STATUS_NEGOCIO]]="Enviar E-mail",1,"")</f>
        <v/>
      </c>
      <c r="U392" t="str">
        <f>TEXT(Tabela1[[#This Row],[DATA]],"dd/mm/aaaa")</f>
        <v>22/04/2026</v>
      </c>
    </row>
    <row r="393" spans="1:21" x14ac:dyDescent="0.25">
      <c r="A393" s="4">
        <v>46134.433749999997</v>
      </c>
      <c r="B393" s="5" t="s">
        <v>19</v>
      </c>
      <c r="C393" s="5" t="s">
        <v>27</v>
      </c>
      <c r="D393" s="5">
        <v>105</v>
      </c>
      <c r="E393" s="6">
        <v>7477770000179</v>
      </c>
      <c r="F393" s="5">
        <v>105</v>
      </c>
      <c r="G393" s="7">
        <v>177686427616551</v>
      </c>
      <c r="H393" s="5" t="s">
        <v>339</v>
      </c>
      <c r="I393" s="5">
        <v>3003</v>
      </c>
      <c r="J393" s="5" t="s">
        <v>22</v>
      </c>
      <c r="K393" s="5" t="s">
        <v>23</v>
      </c>
      <c r="L393" s="5" t="s">
        <v>265</v>
      </c>
      <c r="M393" s="5" t="s">
        <v>284</v>
      </c>
      <c r="N393" s="5" t="s">
        <v>26</v>
      </c>
      <c r="O393" s="5">
        <v>16</v>
      </c>
      <c r="P393" s="5"/>
      <c r="Q393" s="5"/>
      <c r="R393" s="8">
        <v>8.1018518518518516E-5</v>
      </c>
      <c r="S393" s="8">
        <v>1.1574074074074073E-5</v>
      </c>
      <c r="T393" t="str">
        <f>IF(Tabela1[[#This Row],[STATUS_NEGOCIO]]="Enviar E-mail",1,"")</f>
        <v/>
      </c>
      <c r="U393" t="str">
        <f>TEXT(Tabela1[[#This Row],[DATA]],"dd/mm/aaaa")</f>
        <v>22/04/2026</v>
      </c>
    </row>
    <row r="394" spans="1:21" x14ac:dyDescent="0.25">
      <c r="A394" s="4">
        <v>46134.434004629627</v>
      </c>
      <c r="B394" s="5" t="s">
        <v>19</v>
      </c>
      <c r="C394" s="5" t="s">
        <v>37</v>
      </c>
      <c r="D394" s="5">
        <v>106</v>
      </c>
      <c r="E394" s="6">
        <v>7485047000131</v>
      </c>
      <c r="F394" s="5">
        <v>106</v>
      </c>
      <c r="G394" s="7">
        <v>177686429816581</v>
      </c>
      <c r="H394" s="5" t="s">
        <v>340</v>
      </c>
      <c r="I394" s="5">
        <v>3003</v>
      </c>
      <c r="J394" s="5" t="s">
        <v>22</v>
      </c>
      <c r="K394" s="5" t="s">
        <v>23</v>
      </c>
      <c r="L394" s="5" t="s">
        <v>31</v>
      </c>
      <c r="M394" s="5" t="s">
        <v>284</v>
      </c>
      <c r="N394" s="5" t="s">
        <v>53</v>
      </c>
      <c r="O394" s="5">
        <v>128</v>
      </c>
      <c r="P394" s="5"/>
      <c r="Q394" s="5"/>
      <c r="R394" s="8">
        <v>8.1018518518518516E-5</v>
      </c>
      <c r="S394" s="5" t="s">
        <v>37</v>
      </c>
      <c r="T394" t="str">
        <f>IF(Tabela1[[#This Row],[STATUS_NEGOCIO]]="Enviar E-mail",1,"")</f>
        <v/>
      </c>
      <c r="U394" t="str">
        <f>TEXT(Tabela1[[#This Row],[DATA]],"dd/mm/aaaa")</f>
        <v>22/04/2026</v>
      </c>
    </row>
    <row r="395" spans="1:21" x14ac:dyDescent="0.25">
      <c r="A395" s="4">
        <v>46134.434398148151</v>
      </c>
      <c r="B395" s="5" t="s">
        <v>19</v>
      </c>
      <c r="C395" s="5" t="s">
        <v>20</v>
      </c>
      <c r="D395" s="5">
        <v>107</v>
      </c>
      <c r="E395" s="6">
        <v>7525932000105</v>
      </c>
      <c r="F395" s="5">
        <v>107</v>
      </c>
      <c r="G395" s="7">
        <v>177686433216781</v>
      </c>
      <c r="H395" s="5" t="s">
        <v>341</v>
      </c>
      <c r="I395" s="5">
        <v>3003</v>
      </c>
      <c r="J395" s="5" t="s">
        <v>22</v>
      </c>
      <c r="K395" s="5" t="s">
        <v>23</v>
      </c>
      <c r="L395" s="5" t="s">
        <v>24</v>
      </c>
      <c r="M395" s="5" t="s">
        <v>284</v>
      </c>
      <c r="N395" s="5" t="s">
        <v>26</v>
      </c>
      <c r="O395" s="5">
        <v>16</v>
      </c>
      <c r="P395" s="5"/>
      <c r="Q395" s="5"/>
      <c r="R395" s="8">
        <v>4.3981481481481481E-4</v>
      </c>
      <c r="S395" s="8">
        <v>3.7037037037037035E-4</v>
      </c>
      <c r="T395" t="str">
        <f>IF(Tabela1[[#This Row],[STATUS_NEGOCIO]]="Enviar E-mail",1,"")</f>
        <v/>
      </c>
      <c r="U395" t="str">
        <f>TEXT(Tabela1[[#This Row],[DATA]],"dd/mm/aaaa")</f>
        <v>22/04/2026</v>
      </c>
    </row>
    <row r="396" spans="1:21" x14ac:dyDescent="0.25">
      <c r="A396" s="4">
        <v>46134.435231481482</v>
      </c>
      <c r="B396" s="5" t="s">
        <v>19</v>
      </c>
      <c r="C396" s="5" t="s">
        <v>37</v>
      </c>
      <c r="D396" s="5">
        <v>108</v>
      </c>
      <c r="E396" s="6">
        <v>7560240000190</v>
      </c>
      <c r="F396" s="5">
        <v>108</v>
      </c>
      <c r="G396" s="7">
        <v>177686437616881</v>
      </c>
      <c r="H396" s="5" t="s">
        <v>165</v>
      </c>
      <c r="I396" s="5">
        <v>3003</v>
      </c>
      <c r="J396" s="5" t="s">
        <v>22</v>
      </c>
      <c r="K396" s="5" t="s">
        <v>23</v>
      </c>
      <c r="L396" s="5" t="s">
        <v>31</v>
      </c>
      <c r="M396" s="5" t="s">
        <v>284</v>
      </c>
      <c r="N396" s="5" t="s">
        <v>26</v>
      </c>
      <c r="O396" s="5">
        <v>131</v>
      </c>
      <c r="P396" s="5"/>
      <c r="Q396" s="5"/>
      <c r="R396" s="8">
        <v>2.199074074074074E-4</v>
      </c>
      <c r="S396" s="5" t="s">
        <v>37</v>
      </c>
      <c r="T396" t="str">
        <f>IF(Tabela1[[#This Row],[STATUS_NEGOCIO]]="Enviar E-mail",1,"")</f>
        <v/>
      </c>
      <c r="U396" t="str">
        <f>TEXT(Tabela1[[#This Row],[DATA]],"dd/mm/aaaa")</f>
        <v>22/04/2026</v>
      </c>
    </row>
    <row r="397" spans="1:21" x14ac:dyDescent="0.25">
      <c r="A397" s="4">
        <v>46134.435324074075</v>
      </c>
      <c r="B397" s="5" t="s">
        <v>19</v>
      </c>
      <c r="C397" s="5" t="s">
        <v>27</v>
      </c>
      <c r="D397" s="5">
        <v>109</v>
      </c>
      <c r="E397" s="6">
        <v>7564658000175</v>
      </c>
      <c r="F397" s="5">
        <v>109</v>
      </c>
      <c r="G397" s="7">
        <v>177686441217011</v>
      </c>
      <c r="H397" s="5" t="s">
        <v>342</v>
      </c>
      <c r="I397" s="5">
        <v>3003</v>
      </c>
      <c r="J397" s="5" t="s">
        <v>22</v>
      </c>
      <c r="K397" s="5" t="s">
        <v>23</v>
      </c>
      <c r="L397" s="5" t="s">
        <v>40</v>
      </c>
      <c r="M397" s="5" t="s">
        <v>284</v>
      </c>
      <c r="N397" s="5" t="s">
        <v>26</v>
      </c>
      <c r="O397" s="5">
        <v>16</v>
      </c>
      <c r="P397" s="5"/>
      <c r="Q397" s="5"/>
      <c r="R397" s="8">
        <v>1.5162037037037036E-3</v>
      </c>
      <c r="S397" s="8">
        <v>1.4814814814814814E-3</v>
      </c>
      <c r="T397">
        <f>IF(Tabela1[[#This Row],[STATUS_NEGOCIO]]="Enviar E-mail",1,"")</f>
        <v>1</v>
      </c>
      <c r="U397" t="str">
        <f>TEXT(Tabela1[[#This Row],[DATA]],"dd/mm/aaaa")</f>
        <v>22/04/2026</v>
      </c>
    </row>
    <row r="398" spans="1:21" x14ac:dyDescent="0.25">
      <c r="A398" s="4">
        <v>46134.436979166669</v>
      </c>
      <c r="B398" s="5" t="s">
        <v>19</v>
      </c>
      <c r="C398" s="5" t="s">
        <v>37</v>
      </c>
      <c r="D398" s="5">
        <v>110</v>
      </c>
      <c r="E398" s="6">
        <v>7585606000185</v>
      </c>
      <c r="F398" s="5">
        <v>110</v>
      </c>
      <c r="G398" s="7">
        <v>177686455517551</v>
      </c>
      <c r="H398" s="5" t="s">
        <v>93</v>
      </c>
      <c r="I398" s="5">
        <v>3003</v>
      </c>
      <c r="J398" s="5" t="s">
        <v>22</v>
      </c>
      <c r="K398" s="5" t="s">
        <v>23</v>
      </c>
      <c r="L398" s="5" t="s">
        <v>31</v>
      </c>
      <c r="M398" s="5" t="s">
        <v>284</v>
      </c>
      <c r="N398" s="5" t="s">
        <v>53</v>
      </c>
      <c r="O398" s="5">
        <v>128</v>
      </c>
      <c r="P398" s="5"/>
      <c r="Q398" s="5"/>
      <c r="R398" s="8">
        <v>8.1018518518518516E-5</v>
      </c>
      <c r="S398" s="5" t="s">
        <v>37</v>
      </c>
      <c r="T398" t="str">
        <f>IF(Tabela1[[#This Row],[STATUS_NEGOCIO]]="Enviar E-mail",1,"")</f>
        <v/>
      </c>
      <c r="U398" t="str">
        <f>TEXT(Tabela1[[#This Row],[DATA]],"dd/mm/aaaa")</f>
        <v>22/04/2026</v>
      </c>
    </row>
    <row r="399" spans="1:21" x14ac:dyDescent="0.25">
      <c r="A399" s="4">
        <v>46134.437314814815</v>
      </c>
      <c r="B399" s="5" t="s">
        <v>19</v>
      </c>
      <c r="C399" s="5" t="s">
        <v>20</v>
      </c>
      <c r="D399" s="5">
        <v>111</v>
      </c>
      <c r="E399" s="6">
        <v>7638597000143</v>
      </c>
      <c r="F399" s="5">
        <v>111</v>
      </c>
      <c r="G399" s="7">
        <v>177686458417571</v>
      </c>
      <c r="H399" s="5" t="s">
        <v>302</v>
      </c>
      <c r="I399" s="5">
        <v>3003</v>
      </c>
      <c r="J399" s="5" t="s">
        <v>22</v>
      </c>
      <c r="K399" s="5" t="s">
        <v>23</v>
      </c>
      <c r="L399" s="5" t="s">
        <v>44</v>
      </c>
      <c r="M399" s="5" t="s">
        <v>284</v>
      </c>
      <c r="N399" s="5" t="s">
        <v>26</v>
      </c>
      <c r="O399" s="5">
        <v>16</v>
      </c>
      <c r="P399" s="5"/>
      <c r="Q399" s="5"/>
      <c r="R399" s="8">
        <v>1.273148148148148E-4</v>
      </c>
      <c r="S399" s="8">
        <v>5.7870370370370373E-5</v>
      </c>
      <c r="T399" t="str">
        <f>IF(Tabela1[[#This Row],[STATUS_NEGOCIO]]="Enviar E-mail",1,"")</f>
        <v/>
      </c>
      <c r="U399" t="str">
        <f>TEXT(Tabela1[[#This Row],[DATA]],"dd/mm/aaaa")</f>
        <v>22/04/2026</v>
      </c>
    </row>
    <row r="400" spans="1:21" x14ac:dyDescent="0.25">
      <c r="A400" s="4">
        <v>46134.4375462963</v>
      </c>
      <c r="B400" s="5" t="s">
        <v>19</v>
      </c>
      <c r="C400" s="5" t="s">
        <v>37</v>
      </c>
      <c r="D400" s="5">
        <v>112</v>
      </c>
      <c r="E400" s="6">
        <v>7762793000125</v>
      </c>
      <c r="F400" s="5">
        <v>112</v>
      </c>
      <c r="G400" s="7">
        <v>177686460417601</v>
      </c>
      <c r="H400" s="5" t="s">
        <v>343</v>
      </c>
      <c r="I400" s="5">
        <v>3003</v>
      </c>
      <c r="J400" s="5" t="s">
        <v>22</v>
      </c>
      <c r="K400" s="5" t="s">
        <v>23</v>
      </c>
      <c r="L400" s="5" t="s">
        <v>31</v>
      </c>
      <c r="M400" s="5" t="s">
        <v>284</v>
      </c>
      <c r="N400" s="5" t="s">
        <v>53</v>
      </c>
      <c r="O400" s="5">
        <v>128</v>
      </c>
      <c r="P400" s="5"/>
      <c r="Q400" s="5"/>
      <c r="R400" s="8">
        <v>8.1018518518518516E-5</v>
      </c>
      <c r="S400" s="5" t="s">
        <v>37</v>
      </c>
      <c r="T400" t="str">
        <f>IF(Tabela1[[#This Row],[STATUS_NEGOCIO]]="Enviar E-mail",1,"")</f>
        <v/>
      </c>
      <c r="U400" t="str">
        <f>TEXT(Tabela1[[#This Row],[DATA]],"dd/mm/aaaa")</f>
        <v>22/04/2026</v>
      </c>
    </row>
    <row r="401" spans="1:21" x14ac:dyDescent="0.25">
      <c r="A401" s="4">
        <v>46134.4378125</v>
      </c>
      <c r="B401" s="5" t="s">
        <v>19</v>
      </c>
      <c r="C401" s="5" t="s">
        <v>37</v>
      </c>
      <c r="D401" s="5">
        <v>113</v>
      </c>
      <c r="E401" s="6">
        <v>7783371000136</v>
      </c>
      <c r="F401" s="5">
        <v>113</v>
      </c>
      <c r="G401" s="7">
        <v>177686462717691</v>
      </c>
      <c r="H401" s="5" t="s">
        <v>84</v>
      </c>
      <c r="I401" s="5">
        <v>3003</v>
      </c>
      <c r="J401" s="5" t="s">
        <v>22</v>
      </c>
      <c r="K401" s="5" t="s">
        <v>23</v>
      </c>
      <c r="L401" s="5" t="s">
        <v>31</v>
      </c>
      <c r="M401" s="5" t="s">
        <v>284</v>
      </c>
      <c r="N401" s="5" t="s">
        <v>53</v>
      </c>
      <c r="O401" s="5">
        <v>128</v>
      </c>
      <c r="P401" s="5"/>
      <c r="Q401" s="5"/>
      <c r="R401" s="8">
        <v>8.1018518518518516E-5</v>
      </c>
      <c r="S401" s="5" t="s">
        <v>37</v>
      </c>
      <c r="T401" t="str">
        <f>IF(Tabela1[[#This Row],[STATUS_NEGOCIO]]="Enviar E-mail",1,"")</f>
        <v/>
      </c>
      <c r="U401" t="str">
        <f>TEXT(Tabela1[[#This Row],[DATA]],"dd/mm/aaaa")</f>
        <v>22/04/2026</v>
      </c>
    </row>
    <row r="402" spans="1:21" x14ac:dyDescent="0.25">
      <c r="A402" s="4">
        <v>46134.437974537039</v>
      </c>
      <c r="B402" s="5" t="s">
        <v>19</v>
      </c>
      <c r="C402" s="5" t="s">
        <v>37</v>
      </c>
      <c r="D402" s="5">
        <v>114</v>
      </c>
      <c r="E402" s="6">
        <v>7876652000133</v>
      </c>
      <c r="F402" s="5">
        <v>114</v>
      </c>
      <c r="G402" s="7">
        <v>177686464117711</v>
      </c>
      <c r="H402" s="5" t="s">
        <v>344</v>
      </c>
      <c r="I402" s="5">
        <v>3003</v>
      </c>
      <c r="J402" s="5" t="s">
        <v>22</v>
      </c>
      <c r="K402" s="5" t="s">
        <v>23</v>
      </c>
      <c r="L402" s="5" t="s">
        <v>31</v>
      </c>
      <c r="M402" s="5" t="s">
        <v>284</v>
      </c>
      <c r="N402" s="5" t="s">
        <v>53</v>
      </c>
      <c r="O402" s="5">
        <v>128</v>
      </c>
      <c r="P402" s="5"/>
      <c r="Q402" s="5"/>
      <c r="R402" s="8">
        <v>8.1018518518518516E-5</v>
      </c>
      <c r="S402" s="5" t="s">
        <v>37</v>
      </c>
      <c r="T402" t="str">
        <f>IF(Tabela1[[#This Row],[STATUS_NEGOCIO]]="Enviar E-mail",1,"")</f>
        <v/>
      </c>
      <c r="U402" t="str">
        <f>TEXT(Tabela1[[#This Row],[DATA]],"dd/mm/aaaa")</f>
        <v>22/04/2026</v>
      </c>
    </row>
    <row r="403" spans="1:21" x14ac:dyDescent="0.25">
      <c r="A403" s="4">
        <v>46134.43822916667</v>
      </c>
      <c r="B403" s="5" t="s">
        <v>19</v>
      </c>
      <c r="C403" s="5" t="s">
        <v>37</v>
      </c>
      <c r="D403" s="5">
        <v>115</v>
      </c>
      <c r="E403" s="6">
        <v>7955927000124</v>
      </c>
      <c r="F403" s="5">
        <v>115</v>
      </c>
      <c r="G403" s="7">
        <v>177686466317791</v>
      </c>
      <c r="H403" s="5" t="s">
        <v>79</v>
      </c>
      <c r="I403" s="5">
        <v>3003</v>
      </c>
      <c r="J403" s="5" t="s">
        <v>22</v>
      </c>
      <c r="K403" s="5" t="s">
        <v>23</v>
      </c>
      <c r="L403" s="5" t="s">
        <v>31</v>
      </c>
      <c r="M403" s="5" t="s">
        <v>284</v>
      </c>
      <c r="N403" s="5" t="s">
        <v>53</v>
      </c>
      <c r="O403" s="5">
        <v>128</v>
      </c>
      <c r="P403" s="5"/>
      <c r="Q403" s="5"/>
      <c r="R403" s="8">
        <v>8.1018518518518516E-5</v>
      </c>
      <c r="S403" s="5" t="s">
        <v>37</v>
      </c>
      <c r="T403" t="str">
        <f>IF(Tabela1[[#This Row],[STATUS_NEGOCIO]]="Enviar E-mail",1,"")</f>
        <v/>
      </c>
      <c r="U403" t="str">
        <f>TEXT(Tabela1[[#This Row],[DATA]],"dd/mm/aaaa")</f>
        <v>22/04/2026</v>
      </c>
    </row>
    <row r="404" spans="1:21" x14ac:dyDescent="0.25">
      <c r="A404" s="4">
        <v>46134.438391203701</v>
      </c>
      <c r="B404" s="5" t="s">
        <v>19</v>
      </c>
      <c r="C404" s="5" t="s">
        <v>37</v>
      </c>
      <c r="D404" s="5">
        <v>116</v>
      </c>
      <c r="E404" s="6">
        <v>8083779000168</v>
      </c>
      <c r="F404" s="5">
        <v>116</v>
      </c>
      <c r="G404" s="7">
        <v>177686467717811</v>
      </c>
      <c r="H404" s="5" t="s">
        <v>345</v>
      </c>
      <c r="I404" s="5">
        <v>3003</v>
      </c>
      <c r="J404" s="5" t="s">
        <v>22</v>
      </c>
      <c r="K404" s="5" t="s">
        <v>23</v>
      </c>
      <c r="L404" s="5" t="s">
        <v>31</v>
      </c>
      <c r="M404" s="5" t="s">
        <v>284</v>
      </c>
      <c r="N404" s="5" t="s">
        <v>53</v>
      </c>
      <c r="O404" s="5">
        <v>147</v>
      </c>
      <c r="P404" s="5"/>
      <c r="Q404" s="5"/>
      <c r="R404" s="8">
        <v>8.1018518518518516E-5</v>
      </c>
      <c r="S404" s="5" t="s">
        <v>37</v>
      </c>
      <c r="T404" t="str">
        <f>IF(Tabela1[[#This Row],[STATUS_NEGOCIO]]="Enviar E-mail",1,"")</f>
        <v/>
      </c>
      <c r="U404" t="str">
        <f>TEXT(Tabela1[[#This Row],[DATA]],"dd/mm/aaaa")</f>
        <v>22/04/2026</v>
      </c>
    </row>
    <row r="405" spans="1:21" x14ac:dyDescent="0.25">
      <c r="A405" s="4">
        <v>46134.439386574071</v>
      </c>
      <c r="B405" s="5" t="s">
        <v>19</v>
      </c>
      <c r="C405" s="5" t="s">
        <v>37</v>
      </c>
      <c r="D405" s="5">
        <v>117</v>
      </c>
      <c r="E405" s="6">
        <v>8117661000103</v>
      </c>
      <c r="F405" s="5">
        <v>117</v>
      </c>
      <c r="G405" s="7">
        <v>177686476317921</v>
      </c>
      <c r="H405" s="5" t="s">
        <v>94</v>
      </c>
      <c r="I405" s="5">
        <v>3003</v>
      </c>
      <c r="J405" s="5" t="s">
        <v>22</v>
      </c>
      <c r="K405" s="5" t="s">
        <v>23</v>
      </c>
      <c r="L405" s="5" t="s">
        <v>31</v>
      </c>
      <c r="M405" s="5" t="s">
        <v>284</v>
      </c>
      <c r="N405" s="5" t="s">
        <v>53</v>
      </c>
      <c r="O405" s="5">
        <v>128</v>
      </c>
      <c r="P405" s="5"/>
      <c r="Q405" s="5"/>
      <c r="R405" s="8">
        <v>6.9444444444444444E-5</v>
      </c>
      <c r="S405" s="5" t="s">
        <v>37</v>
      </c>
      <c r="T405" t="str">
        <f>IF(Tabela1[[#This Row],[STATUS_NEGOCIO]]="Enviar E-mail",1,"")</f>
        <v/>
      </c>
      <c r="U405" t="str">
        <f>TEXT(Tabela1[[#This Row],[DATA]],"dd/mm/aaaa")</f>
        <v>22/04/2026</v>
      </c>
    </row>
    <row r="406" spans="1:21" x14ac:dyDescent="0.25">
      <c r="A406" s="4">
        <v>46134.444618055553</v>
      </c>
      <c r="B406" s="5" t="s">
        <v>19</v>
      </c>
      <c r="C406" s="5" t="s">
        <v>37</v>
      </c>
      <c r="D406" s="5">
        <v>118</v>
      </c>
      <c r="E406" s="6">
        <v>8144303000190</v>
      </c>
      <c r="F406" s="5">
        <v>118</v>
      </c>
      <c r="G406" s="7">
        <v>177686521518841</v>
      </c>
      <c r="H406" s="5" t="s">
        <v>346</v>
      </c>
      <c r="I406" s="5">
        <v>3003</v>
      </c>
      <c r="J406" s="5" t="s">
        <v>22</v>
      </c>
      <c r="K406" s="5" t="s">
        <v>23</v>
      </c>
      <c r="L406" s="5" t="s">
        <v>31</v>
      </c>
      <c r="M406" s="5" t="s">
        <v>284</v>
      </c>
      <c r="N406" s="5" t="s">
        <v>53</v>
      </c>
      <c r="O406" s="5">
        <v>128</v>
      </c>
      <c r="P406" s="5"/>
      <c r="Q406" s="5"/>
      <c r="R406" s="8">
        <v>8.1018518518518516E-5</v>
      </c>
      <c r="S406" s="5" t="s">
        <v>37</v>
      </c>
      <c r="T406" t="str">
        <f>IF(Tabela1[[#This Row],[STATUS_NEGOCIO]]="Enviar E-mail",1,"")</f>
        <v/>
      </c>
      <c r="U406" t="str">
        <f>TEXT(Tabela1[[#This Row],[DATA]],"dd/mm/aaaa")</f>
        <v>22/04/2026</v>
      </c>
    </row>
    <row r="407" spans="1:21" x14ac:dyDescent="0.25">
      <c r="A407" s="4">
        <v>46134.444733796299</v>
      </c>
      <c r="B407" s="5" t="s">
        <v>19</v>
      </c>
      <c r="C407" s="5" t="s">
        <v>20</v>
      </c>
      <c r="D407" s="5">
        <v>119</v>
      </c>
      <c r="E407" s="6">
        <v>8174306000176</v>
      </c>
      <c r="F407" s="5">
        <v>119</v>
      </c>
      <c r="G407" s="7">
        <v>177686522518861</v>
      </c>
      <c r="H407" s="5" t="s">
        <v>347</v>
      </c>
      <c r="I407" s="5">
        <v>3003</v>
      </c>
      <c r="J407" s="5" t="s">
        <v>22</v>
      </c>
      <c r="K407" s="5" t="s">
        <v>23</v>
      </c>
      <c r="L407" s="5" t="s">
        <v>44</v>
      </c>
      <c r="M407" s="5" t="s">
        <v>284</v>
      </c>
      <c r="N407" s="5" t="s">
        <v>26</v>
      </c>
      <c r="O407" s="5">
        <v>16</v>
      </c>
      <c r="P407" s="5"/>
      <c r="Q407" s="5"/>
      <c r="R407" s="8">
        <v>1.3888888888888889E-4</v>
      </c>
      <c r="S407" s="8">
        <v>8.1018518518518516E-5</v>
      </c>
      <c r="T407" t="str">
        <f>IF(Tabela1[[#This Row],[STATUS_NEGOCIO]]="Enviar E-mail",1,"")</f>
        <v/>
      </c>
      <c r="U407" t="str">
        <f>TEXT(Tabela1[[#This Row],[DATA]],"dd/mm/aaaa")</f>
        <v>22/04/2026</v>
      </c>
    </row>
    <row r="408" spans="1:21" x14ac:dyDescent="0.25">
      <c r="A408" s="4">
        <v>46134.444988425923</v>
      </c>
      <c r="B408" s="5" t="s">
        <v>19</v>
      </c>
      <c r="C408" s="5" t="s">
        <v>37</v>
      </c>
      <c r="D408" s="5">
        <v>120</v>
      </c>
      <c r="E408" s="6">
        <v>8226364000104</v>
      </c>
      <c r="F408" s="5">
        <v>120</v>
      </c>
      <c r="G408" s="7">
        <v>177686524718891</v>
      </c>
      <c r="H408" s="5" t="s">
        <v>348</v>
      </c>
      <c r="I408" s="5">
        <v>3003</v>
      </c>
      <c r="J408" s="5" t="s">
        <v>22</v>
      </c>
      <c r="K408" s="5" t="s">
        <v>23</v>
      </c>
      <c r="L408" s="5" t="s">
        <v>31</v>
      </c>
      <c r="M408" s="5" t="s">
        <v>284</v>
      </c>
      <c r="N408" s="5" t="s">
        <v>53</v>
      </c>
      <c r="O408" s="5">
        <v>128</v>
      </c>
      <c r="P408" s="5"/>
      <c r="Q408" s="5"/>
      <c r="R408" s="8">
        <v>8.1018518518518516E-5</v>
      </c>
      <c r="S408" s="5" t="s">
        <v>37</v>
      </c>
      <c r="T408" t="str">
        <f>IF(Tabela1[[#This Row],[STATUS_NEGOCIO]]="Enviar E-mail",1,"")</f>
        <v/>
      </c>
      <c r="U408" t="str">
        <f>TEXT(Tabela1[[#This Row],[DATA]],"dd/mm/aaaa")</f>
        <v>22/04/2026</v>
      </c>
    </row>
    <row r="409" spans="1:21" x14ac:dyDescent="0.25">
      <c r="A409" s="4">
        <v>46134.445486111108</v>
      </c>
      <c r="B409" s="5" t="s">
        <v>19</v>
      </c>
      <c r="C409" s="5" t="s">
        <v>37</v>
      </c>
      <c r="D409" s="5">
        <v>121</v>
      </c>
      <c r="E409" s="6">
        <v>8311819000262</v>
      </c>
      <c r="F409" s="5">
        <v>121</v>
      </c>
      <c r="G409" s="7">
        <v>177686529019021</v>
      </c>
      <c r="H409" s="5" t="s">
        <v>349</v>
      </c>
      <c r="I409" s="5">
        <v>3003</v>
      </c>
      <c r="J409" s="5" t="s">
        <v>22</v>
      </c>
      <c r="K409" s="5" t="s">
        <v>23</v>
      </c>
      <c r="L409" s="5" t="s">
        <v>31</v>
      </c>
      <c r="M409" s="5" t="s">
        <v>284</v>
      </c>
      <c r="N409" s="5" t="s">
        <v>53</v>
      </c>
      <c r="O409" s="5">
        <v>128</v>
      </c>
      <c r="P409" s="5"/>
      <c r="Q409" s="5"/>
      <c r="R409" s="8">
        <v>8.1018518518518516E-5</v>
      </c>
      <c r="S409" s="5" t="s">
        <v>37</v>
      </c>
      <c r="T409" t="str">
        <f>IF(Tabela1[[#This Row],[STATUS_NEGOCIO]]="Enviar E-mail",1,"")</f>
        <v/>
      </c>
      <c r="U409" t="str">
        <f>TEXT(Tabela1[[#This Row],[DATA]],"dd/mm/aaaa")</f>
        <v>22/04/2026</v>
      </c>
    </row>
    <row r="410" spans="1:21" x14ac:dyDescent="0.25">
      <c r="A410" s="4">
        <v>46134.445763888885</v>
      </c>
      <c r="B410" s="5" t="s">
        <v>19</v>
      </c>
      <c r="C410" s="5" t="s">
        <v>37</v>
      </c>
      <c r="D410" s="5">
        <v>122</v>
      </c>
      <c r="E410" s="6">
        <v>8518829000354</v>
      </c>
      <c r="F410" s="5">
        <v>122</v>
      </c>
      <c r="G410" s="7">
        <v>177686531419051</v>
      </c>
      <c r="H410" s="5" t="s">
        <v>350</v>
      </c>
      <c r="I410" s="5">
        <v>3003</v>
      </c>
      <c r="J410" s="5" t="s">
        <v>22</v>
      </c>
      <c r="K410" s="5" t="s">
        <v>23</v>
      </c>
      <c r="L410" s="5" t="s">
        <v>31</v>
      </c>
      <c r="M410" s="5" t="s">
        <v>284</v>
      </c>
      <c r="N410" s="5" t="s">
        <v>53</v>
      </c>
      <c r="O410" s="5">
        <v>128</v>
      </c>
      <c r="P410" s="5"/>
      <c r="Q410" s="5"/>
      <c r="R410" s="8">
        <v>8.1018518518518516E-5</v>
      </c>
      <c r="S410" s="5" t="s">
        <v>37</v>
      </c>
      <c r="T410" t="str">
        <f>IF(Tabela1[[#This Row],[STATUS_NEGOCIO]]="Enviar E-mail",1,"")</f>
        <v/>
      </c>
      <c r="U410" t="str">
        <f>TEXT(Tabela1[[#This Row],[DATA]],"dd/mm/aaaa")</f>
        <v>22/04/2026</v>
      </c>
    </row>
    <row r="411" spans="1:21" x14ac:dyDescent="0.25">
      <c r="A411" s="4">
        <v>46134.446099537039</v>
      </c>
      <c r="B411" s="5" t="s">
        <v>19</v>
      </c>
      <c r="C411" s="5" t="s">
        <v>37</v>
      </c>
      <c r="D411" s="5">
        <v>123</v>
      </c>
      <c r="E411" s="6">
        <v>8537926000122</v>
      </c>
      <c r="F411" s="5">
        <v>123</v>
      </c>
      <c r="G411" s="7">
        <v>177686534319071</v>
      </c>
      <c r="H411" s="5" t="s">
        <v>351</v>
      </c>
      <c r="I411" s="5">
        <v>3003</v>
      </c>
      <c r="J411" s="5" t="s">
        <v>22</v>
      </c>
      <c r="K411" s="5" t="s">
        <v>23</v>
      </c>
      <c r="L411" s="5" t="s">
        <v>31</v>
      </c>
      <c r="M411" s="5" t="s">
        <v>284</v>
      </c>
      <c r="N411" s="5" t="s">
        <v>53</v>
      </c>
      <c r="O411" s="5">
        <v>128</v>
      </c>
      <c r="P411" s="5"/>
      <c r="Q411" s="5"/>
      <c r="R411" s="8">
        <v>8.1018518518518516E-5</v>
      </c>
      <c r="S411" s="5" t="s">
        <v>37</v>
      </c>
      <c r="T411" t="str">
        <f>IF(Tabela1[[#This Row],[STATUS_NEGOCIO]]="Enviar E-mail",1,"")</f>
        <v/>
      </c>
      <c r="U411" t="str">
        <f>TEXT(Tabela1[[#This Row],[DATA]],"dd/mm/aaaa")</f>
        <v>22/04/2026</v>
      </c>
    </row>
    <row r="412" spans="1:21" x14ac:dyDescent="0.25">
      <c r="A412" s="4">
        <v>46134.446319444447</v>
      </c>
      <c r="B412" s="5" t="s">
        <v>19</v>
      </c>
      <c r="C412" s="5" t="s">
        <v>37</v>
      </c>
      <c r="D412" s="5">
        <v>124</v>
      </c>
      <c r="E412" s="6">
        <v>8599024000110</v>
      </c>
      <c r="F412" s="5">
        <v>124</v>
      </c>
      <c r="G412" s="7">
        <v>177686536219091</v>
      </c>
      <c r="H412" s="5" t="s">
        <v>352</v>
      </c>
      <c r="I412" s="5">
        <v>3003</v>
      </c>
      <c r="J412" s="5" t="s">
        <v>22</v>
      </c>
      <c r="K412" s="5" t="s">
        <v>23</v>
      </c>
      <c r="L412" s="5" t="s">
        <v>31</v>
      </c>
      <c r="M412" s="5" t="s">
        <v>284</v>
      </c>
      <c r="N412" s="5" t="s">
        <v>53</v>
      </c>
      <c r="O412" s="5">
        <v>128</v>
      </c>
      <c r="P412" s="5"/>
      <c r="Q412" s="5"/>
      <c r="R412" s="8">
        <v>8.1018518518518516E-5</v>
      </c>
      <c r="S412" s="5" t="s">
        <v>37</v>
      </c>
      <c r="T412" t="str">
        <f>IF(Tabela1[[#This Row],[STATUS_NEGOCIO]]="Enviar E-mail",1,"")</f>
        <v/>
      </c>
      <c r="U412" t="str">
        <f>TEXT(Tabela1[[#This Row],[DATA]],"dd/mm/aaaa")</f>
        <v>22/04/2026</v>
      </c>
    </row>
    <row r="413" spans="1:21" x14ac:dyDescent="0.25">
      <c r="A413" s="4">
        <v>46134.446608796294</v>
      </c>
      <c r="B413" s="5" t="s">
        <v>19</v>
      </c>
      <c r="C413" s="5" t="s">
        <v>37</v>
      </c>
      <c r="D413" s="5">
        <v>125</v>
      </c>
      <c r="E413" s="6">
        <v>8665134000133</v>
      </c>
      <c r="F413" s="5">
        <v>125</v>
      </c>
      <c r="G413" s="7">
        <v>177686538719211</v>
      </c>
      <c r="H413" s="5" t="s">
        <v>353</v>
      </c>
      <c r="I413" s="5">
        <v>3003</v>
      </c>
      <c r="J413" s="5" t="s">
        <v>22</v>
      </c>
      <c r="K413" s="5" t="s">
        <v>23</v>
      </c>
      <c r="L413" s="5" t="s">
        <v>31</v>
      </c>
      <c r="M413" s="5" t="s">
        <v>284</v>
      </c>
      <c r="N413" s="5" t="s">
        <v>53</v>
      </c>
      <c r="O413" s="5">
        <v>128</v>
      </c>
      <c r="P413" s="5"/>
      <c r="Q413" s="5"/>
      <c r="R413" s="8">
        <v>8.1018518518518516E-5</v>
      </c>
      <c r="S413" s="5" t="s">
        <v>37</v>
      </c>
      <c r="T413" t="str">
        <f>IF(Tabela1[[#This Row],[STATUS_NEGOCIO]]="Enviar E-mail",1,"")</f>
        <v/>
      </c>
      <c r="U413" t="str">
        <f>TEXT(Tabela1[[#This Row],[DATA]],"dd/mm/aaaa")</f>
        <v>22/04/2026</v>
      </c>
    </row>
    <row r="414" spans="1:21" x14ac:dyDescent="0.25">
      <c r="A414" s="4">
        <v>46134.446828703702</v>
      </c>
      <c r="B414" s="5" t="s">
        <v>19</v>
      </c>
      <c r="C414" s="5" t="s">
        <v>37</v>
      </c>
      <c r="D414" s="5">
        <v>126</v>
      </c>
      <c r="E414" s="6">
        <v>8764146000115</v>
      </c>
      <c r="F414" s="5">
        <v>126</v>
      </c>
      <c r="G414" s="7">
        <v>177686540619231</v>
      </c>
      <c r="H414" s="5" t="s">
        <v>354</v>
      </c>
      <c r="I414" s="5">
        <v>3003</v>
      </c>
      <c r="J414" s="5" t="s">
        <v>22</v>
      </c>
      <c r="K414" s="5" t="s">
        <v>23</v>
      </c>
      <c r="L414" s="5" t="s">
        <v>31</v>
      </c>
      <c r="M414" s="5" t="s">
        <v>284</v>
      </c>
      <c r="N414" s="5" t="s">
        <v>53</v>
      </c>
      <c r="O414" s="5">
        <v>128</v>
      </c>
      <c r="P414" s="5"/>
      <c r="Q414" s="5"/>
      <c r="R414" s="8">
        <v>8.1018518518518516E-5</v>
      </c>
      <c r="S414" s="5" t="s">
        <v>37</v>
      </c>
      <c r="T414" t="str">
        <f>IF(Tabela1[[#This Row],[STATUS_NEGOCIO]]="Enviar E-mail",1,"")</f>
        <v/>
      </c>
      <c r="U414" t="str">
        <f>TEXT(Tabela1[[#This Row],[DATA]],"dd/mm/aaaa")</f>
        <v>22/04/2026</v>
      </c>
    </row>
    <row r="415" spans="1:21" x14ac:dyDescent="0.25">
      <c r="A415" s="4">
        <v>46134.44703703704</v>
      </c>
      <c r="B415" s="5" t="s">
        <v>19</v>
      </c>
      <c r="C415" s="5" t="s">
        <v>37</v>
      </c>
      <c r="D415" s="5">
        <v>127</v>
      </c>
      <c r="E415" s="6">
        <v>8879331000155</v>
      </c>
      <c r="F415" s="5">
        <v>127</v>
      </c>
      <c r="G415" s="7">
        <v>177686542419311</v>
      </c>
      <c r="H415" s="5" t="s">
        <v>355</v>
      </c>
      <c r="I415" s="5" t="s">
        <v>52</v>
      </c>
      <c r="J415" s="5" t="s">
        <v>22</v>
      </c>
      <c r="K415" s="5" t="s">
        <v>36</v>
      </c>
      <c r="L415" s="5" t="s">
        <v>36</v>
      </c>
      <c r="M415" s="5" t="s">
        <v>284</v>
      </c>
      <c r="N415" s="5" t="s">
        <v>53</v>
      </c>
      <c r="O415" s="5">
        <v>34</v>
      </c>
      <c r="P415" s="5"/>
      <c r="Q415" s="5"/>
      <c r="R415" s="8">
        <v>0</v>
      </c>
      <c r="S415" s="5" t="s">
        <v>37</v>
      </c>
      <c r="T415" t="str">
        <f>IF(Tabela1[[#This Row],[STATUS_NEGOCIO]]="Enviar E-mail",1,"")</f>
        <v/>
      </c>
      <c r="U415" t="str">
        <f>TEXT(Tabela1[[#This Row],[DATA]],"dd/mm/aaaa")</f>
        <v>22/04/2026</v>
      </c>
    </row>
    <row r="416" spans="1:21" x14ac:dyDescent="0.25">
      <c r="A416" s="4">
        <v>46134.44730324074</v>
      </c>
      <c r="B416" s="5" t="s">
        <v>19</v>
      </c>
      <c r="C416" s="5" t="s">
        <v>37</v>
      </c>
      <c r="D416" s="5">
        <v>128</v>
      </c>
      <c r="E416" s="6">
        <v>8892204000196</v>
      </c>
      <c r="F416" s="5">
        <v>128</v>
      </c>
      <c r="G416" s="7">
        <v>177686544719391</v>
      </c>
      <c r="H416" s="5" t="s">
        <v>356</v>
      </c>
      <c r="I416" s="5">
        <v>3003</v>
      </c>
      <c r="J416" s="5" t="s">
        <v>22</v>
      </c>
      <c r="K416" s="5" t="s">
        <v>23</v>
      </c>
      <c r="L416" s="5" t="s">
        <v>31</v>
      </c>
      <c r="M416" s="5" t="s">
        <v>284</v>
      </c>
      <c r="N416" s="5" t="s">
        <v>53</v>
      </c>
      <c r="O416" s="5">
        <v>128</v>
      </c>
      <c r="P416" s="5"/>
      <c r="Q416" s="5"/>
      <c r="R416" s="8">
        <v>8.1018518518518516E-5</v>
      </c>
      <c r="S416" s="5" t="s">
        <v>37</v>
      </c>
      <c r="T416" t="str">
        <f>IF(Tabela1[[#This Row],[STATUS_NEGOCIO]]="Enviar E-mail",1,"")</f>
        <v/>
      </c>
      <c r="U416" t="str">
        <f>TEXT(Tabela1[[#This Row],[DATA]],"dd/mm/aaaa")</f>
        <v>22/04/2026</v>
      </c>
    </row>
    <row r="417" spans="1:21" x14ac:dyDescent="0.25">
      <c r="A417" s="4">
        <v>46134.447615740741</v>
      </c>
      <c r="B417" s="5" t="s">
        <v>19</v>
      </c>
      <c r="C417" s="5" t="s">
        <v>37</v>
      </c>
      <c r="D417" s="5">
        <v>129</v>
      </c>
      <c r="E417" s="6">
        <v>8912389000153</v>
      </c>
      <c r="F417" s="5">
        <v>129</v>
      </c>
      <c r="G417" s="7">
        <v>177686547419541</v>
      </c>
      <c r="H417" s="5" t="s">
        <v>357</v>
      </c>
      <c r="I417" s="5">
        <v>3003</v>
      </c>
      <c r="J417" s="5" t="s">
        <v>22</v>
      </c>
      <c r="K417" s="5" t="s">
        <v>23</v>
      </c>
      <c r="L417" s="5" t="s">
        <v>31</v>
      </c>
      <c r="M417" s="5" t="s">
        <v>284</v>
      </c>
      <c r="N417" s="5" t="s">
        <v>53</v>
      </c>
      <c r="O417" s="5">
        <v>128</v>
      </c>
      <c r="P417" s="5"/>
      <c r="Q417" s="5"/>
      <c r="R417" s="8">
        <v>6.9444444444444444E-5</v>
      </c>
      <c r="S417" s="5" t="s">
        <v>37</v>
      </c>
      <c r="T417" t="str">
        <f>IF(Tabela1[[#This Row],[STATUS_NEGOCIO]]="Enviar E-mail",1,"")</f>
        <v/>
      </c>
      <c r="U417" t="str">
        <f>TEXT(Tabela1[[#This Row],[DATA]],"dd/mm/aaaa")</f>
        <v>22/04/2026</v>
      </c>
    </row>
    <row r="418" spans="1:21" x14ac:dyDescent="0.25">
      <c r="A418" s="4">
        <v>46134.448101851849</v>
      </c>
      <c r="B418" s="5" t="s">
        <v>19</v>
      </c>
      <c r="C418" s="5" t="s">
        <v>20</v>
      </c>
      <c r="D418" s="5">
        <v>130</v>
      </c>
      <c r="E418" s="6">
        <v>8951936000100</v>
      </c>
      <c r="F418" s="5">
        <v>130</v>
      </c>
      <c r="G418" s="7">
        <v>177686551619611</v>
      </c>
      <c r="H418" s="5" t="s">
        <v>358</v>
      </c>
      <c r="I418" s="5">
        <v>3003</v>
      </c>
      <c r="J418" s="5" t="s">
        <v>22</v>
      </c>
      <c r="K418" s="5" t="s">
        <v>23</v>
      </c>
      <c r="L418" s="5" t="s">
        <v>44</v>
      </c>
      <c r="M418" s="5" t="s">
        <v>284</v>
      </c>
      <c r="N418" s="5" t="s">
        <v>26</v>
      </c>
      <c r="O418" s="5">
        <v>16</v>
      </c>
      <c r="P418" s="5"/>
      <c r="Q418" s="5"/>
      <c r="R418" s="8">
        <v>3.4722222222222222E-5</v>
      </c>
      <c r="S418" s="5" t="s">
        <v>37</v>
      </c>
      <c r="T418" t="str">
        <f>IF(Tabela1[[#This Row],[STATUS_NEGOCIO]]="Enviar E-mail",1,"")</f>
        <v/>
      </c>
      <c r="U418" t="str">
        <f>TEXT(Tabela1[[#This Row],[DATA]],"dd/mm/aaaa")</f>
        <v>22/04/2026</v>
      </c>
    </row>
    <row r="419" spans="1:21" x14ac:dyDescent="0.25">
      <c r="A419" s="4">
        <v>46134.448217592595</v>
      </c>
      <c r="B419" s="5" t="s">
        <v>19</v>
      </c>
      <c r="C419" s="5" t="s">
        <v>37</v>
      </c>
      <c r="D419" s="5">
        <v>131</v>
      </c>
      <c r="E419" s="6">
        <v>8973205000165</v>
      </c>
      <c r="F419" s="5">
        <v>131</v>
      </c>
      <c r="G419" s="7">
        <v>177686552619641</v>
      </c>
      <c r="H419" s="5" t="s">
        <v>359</v>
      </c>
      <c r="I419" s="5">
        <v>3003</v>
      </c>
      <c r="J419" s="5" t="s">
        <v>22</v>
      </c>
      <c r="K419" s="5" t="s">
        <v>23</v>
      </c>
      <c r="L419" s="5" t="s">
        <v>31</v>
      </c>
      <c r="M419" s="5" t="s">
        <v>284</v>
      </c>
      <c r="N419" s="5" t="s">
        <v>53</v>
      </c>
      <c r="O419" s="5">
        <v>128</v>
      </c>
      <c r="P419" s="5"/>
      <c r="Q419" s="5"/>
      <c r="R419" s="8">
        <v>8.1018518518518516E-5</v>
      </c>
      <c r="S419" s="5" t="s">
        <v>37</v>
      </c>
      <c r="T419" t="str">
        <f>IF(Tabela1[[#This Row],[STATUS_NEGOCIO]]="Enviar E-mail",1,"")</f>
        <v/>
      </c>
      <c r="U419" t="str">
        <f>TEXT(Tabela1[[#This Row],[DATA]],"dd/mm/aaaa")</f>
        <v>22/04/2026</v>
      </c>
    </row>
    <row r="420" spans="1:21" x14ac:dyDescent="0.25">
      <c r="A420" s="4">
        <v>46134.448564814818</v>
      </c>
      <c r="B420" s="5" t="s">
        <v>19</v>
      </c>
      <c r="C420" s="5" t="s">
        <v>37</v>
      </c>
      <c r="D420" s="5">
        <v>132</v>
      </c>
      <c r="E420" s="6">
        <v>8996355000194</v>
      </c>
      <c r="F420" s="5">
        <v>132</v>
      </c>
      <c r="G420" s="7">
        <v>177686555619661</v>
      </c>
      <c r="H420" s="5" t="s">
        <v>360</v>
      </c>
      <c r="I420" s="5">
        <v>3003</v>
      </c>
      <c r="J420" s="5" t="s">
        <v>22</v>
      </c>
      <c r="K420" s="5" t="s">
        <v>23</v>
      </c>
      <c r="L420" s="5" t="s">
        <v>31</v>
      </c>
      <c r="M420" s="5" t="s">
        <v>284</v>
      </c>
      <c r="N420" s="5" t="s">
        <v>53</v>
      </c>
      <c r="O420" s="5">
        <v>128</v>
      </c>
      <c r="P420" s="5"/>
      <c r="Q420" s="5"/>
      <c r="R420" s="8">
        <v>3.4722222222222222E-5</v>
      </c>
      <c r="S420" s="5" t="s">
        <v>37</v>
      </c>
      <c r="T420" t="str">
        <f>IF(Tabela1[[#This Row],[STATUS_NEGOCIO]]="Enviar E-mail",1,"")</f>
        <v/>
      </c>
      <c r="U420" t="str">
        <f>TEXT(Tabela1[[#This Row],[DATA]],"dd/mm/aaaa")</f>
        <v>22/04/2026</v>
      </c>
    </row>
    <row r="421" spans="1:21" x14ac:dyDescent="0.25">
      <c r="A421" s="4">
        <v>46134.448807870373</v>
      </c>
      <c r="B421" s="5" t="s">
        <v>19</v>
      </c>
      <c r="C421" s="5" t="s">
        <v>37</v>
      </c>
      <c r="D421" s="5">
        <v>133</v>
      </c>
      <c r="E421" s="6">
        <v>9082639000138</v>
      </c>
      <c r="F421" s="5">
        <v>133</v>
      </c>
      <c r="G421" s="7">
        <v>177686557719681</v>
      </c>
      <c r="H421" s="5" t="s">
        <v>41</v>
      </c>
      <c r="I421" s="5">
        <v>3003</v>
      </c>
      <c r="J421" s="5" t="s">
        <v>22</v>
      </c>
      <c r="K421" s="5" t="s">
        <v>23</v>
      </c>
      <c r="L421" s="5" t="s">
        <v>31</v>
      </c>
      <c r="M421" s="5" t="s">
        <v>284</v>
      </c>
      <c r="N421" s="5" t="s">
        <v>53</v>
      </c>
      <c r="O421" s="5">
        <v>128</v>
      </c>
      <c r="P421" s="5"/>
      <c r="Q421" s="5"/>
      <c r="R421" s="8">
        <v>8.1018518518518516E-5</v>
      </c>
      <c r="S421" s="5" t="s">
        <v>37</v>
      </c>
      <c r="T421" t="str">
        <f>IF(Tabela1[[#This Row],[STATUS_NEGOCIO]]="Enviar E-mail",1,"")</f>
        <v/>
      </c>
      <c r="U421" t="str">
        <f>TEXT(Tabela1[[#This Row],[DATA]],"dd/mm/aaaa")</f>
        <v>22/04/2026</v>
      </c>
    </row>
    <row r="422" spans="1:21" x14ac:dyDescent="0.25">
      <c r="A422" s="4">
        <v>46134.449305555558</v>
      </c>
      <c r="B422" s="5" t="s">
        <v>19</v>
      </c>
      <c r="C422" s="5" t="s">
        <v>37</v>
      </c>
      <c r="D422" s="5">
        <v>134</v>
      </c>
      <c r="E422" s="6">
        <v>9158698000142</v>
      </c>
      <c r="F422" s="5">
        <v>134</v>
      </c>
      <c r="G422" s="7">
        <v>177686562019701</v>
      </c>
      <c r="H422" s="5" t="s">
        <v>107</v>
      </c>
      <c r="I422" s="5">
        <v>3003</v>
      </c>
      <c r="J422" s="5" t="s">
        <v>22</v>
      </c>
      <c r="K422" s="5" t="s">
        <v>23</v>
      </c>
      <c r="L422" s="5" t="s">
        <v>31</v>
      </c>
      <c r="M422" s="5" t="s">
        <v>284</v>
      </c>
      <c r="N422" s="5" t="s">
        <v>53</v>
      </c>
      <c r="O422" s="5">
        <v>128</v>
      </c>
      <c r="P422" s="5"/>
      <c r="Q422" s="5"/>
      <c r="R422" s="8">
        <v>8.1018518518518516E-5</v>
      </c>
      <c r="S422" s="5" t="s">
        <v>37</v>
      </c>
      <c r="T422" t="str">
        <f>IF(Tabela1[[#This Row],[STATUS_NEGOCIO]]="Enviar E-mail",1,"")</f>
        <v/>
      </c>
      <c r="U422" t="str">
        <f>TEXT(Tabela1[[#This Row],[DATA]],"dd/mm/aaaa")</f>
        <v>22/04/2026</v>
      </c>
    </row>
    <row r="423" spans="1:21" x14ac:dyDescent="0.25">
      <c r="A423" s="4">
        <v>46134.449618055558</v>
      </c>
      <c r="B423" s="5" t="s">
        <v>19</v>
      </c>
      <c r="C423" s="5" t="s">
        <v>27</v>
      </c>
      <c r="D423" s="5">
        <v>135</v>
      </c>
      <c r="E423" s="6">
        <v>9213671000105</v>
      </c>
      <c r="F423" s="5">
        <v>135</v>
      </c>
      <c r="G423" s="7">
        <v>177686564719841</v>
      </c>
      <c r="H423" s="5" t="s">
        <v>361</v>
      </c>
      <c r="I423" s="5">
        <v>3003</v>
      </c>
      <c r="J423" s="5" t="s">
        <v>22</v>
      </c>
      <c r="K423" s="5" t="s">
        <v>23</v>
      </c>
      <c r="L423" s="5" t="s">
        <v>40</v>
      </c>
      <c r="M423" s="5" t="s">
        <v>284</v>
      </c>
      <c r="N423" s="5" t="s">
        <v>26</v>
      </c>
      <c r="O423" s="5">
        <v>16</v>
      </c>
      <c r="P423" s="5"/>
      <c r="Q423" s="5"/>
      <c r="R423" s="8">
        <v>1.238425925925926E-3</v>
      </c>
      <c r="S423" s="8">
        <v>1.1805555555555556E-3</v>
      </c>
      <c r="T423">
        <f>IF(Tabela1[[#This Row],[STATUS_NEGOCIO]]="Enviar E-mail",1,"")</f>
        <v>1</v>
      </c>
      <c r="U423" t="str">
        <f>TEXT(Tabela1[[#This Row],[DATA]],"dd/mm/aaaa")</f>
        <v>22/04/2026</v>
      </c>
    </row>
    <row r="424" spans="1:21" x14ac:dyDescent="0.25">
      <c r="A424" s="4">
        <v>46134.450914351852</v>
      </c>
      <c r="B424" s="5" t="s">
        <v>19</v>
      </c>
      <c r="C424" s="5" t="s">
        <v>37</v>
      </c>
      <c r="D424" s="5">
        <v>136</v>
      </c>
      <c r="E424" s="6">
        <v>9232340000112</v>
      </c>
      <c r="F424" s="5">
        <v>136</v>
      </c>
      <c r="G424" s="7">
        <v>177686575920021</v>
      </c>
      <c r="H424" s="5" t="s">
        <v>362</v>
      </c>
      <c r="I424" s="5">
        <v>3003</v>
      </c>
      <c r="J424" s="5" t="s">
        <v>22</v>
      </c>
      <c r="K424" s="5" t="s">
        <v>23</v>
      </c>
      <c r="L424" s="5" t="s">
        <v>31</v>
      </c>
      <c r="M424" s="5" t="s">
        <v>284</v>
      </c>
      <c r="N424" s="5" t="s">
        <v>53</v>
      </c>
      <c r="O424" s="5">
        <v>128</v>
      </c>
      <c r="P424" s="5"/>
      <c r="Q424" s="5"/>
      <c r="R424" s="8">
        <v>8.1018518518518516E-5</v>
      </c>
      <c r="S424" s="5" t="s">
        <v>37</v>
      </c>
      <c r="T424" t="str">
        <f>IF(Tabela1[[#This Row],[STATUS_NEGOCIO]]="Enviar E-mail",1,"")</f>
        <v/>
      </c>
      <c r="U424" t="str">
        <f>TEXT(Tabela1[[#This Row],[DATA]],"dd/mm/aaaa")</f>
        <v>22/04/2026</v>
      </c>
    </row>
    <row r="425" spans="1:21" x14ac:dyDescent="0.25">
      <c r="A425" s="4">
        <v>46134.451412037037</v>
      </c>
      <c r="B425" s="5" t="s">
        <v>19</v>
      </c>
      <c r="C425" s="5" t="s">
        <v>37</v>
      </c>
      <c r="D425" s="5">
        <v>137</v>
      </c>
      <c r="E425" s="6">
        <v>9243828000145</v>
      </c>
      <c r="F425" s="5">
        <v>137</v>
      </c>
      <c r="G425" s="7">
        <v>177686580220041</v>
      </c>
      <c r="H425" s="5" t="s">
        <v>80</v>
      </c>
      <c r="I425" s="5">
        <v>3003</v>
      </c>
      <c r="J425" s="5" t="s">
        <v>22</v>
      </c>
      <c r="K425" s="5" t="s">
        <v>23</v>
      </c>
      <c r="L425" s="5" t="s">
        <v>31</v>
      </c>
      <c r="M425" s="5" t="s">
        <v>284</v>
      </c>
      <c r="N425" s="5" t="s">
        <v>53</v>
      </c>
      <c r="O425" s="5">
        <v>128</v>
      </c>
      <c r="P425" s="5"/>
      <c r="Q425" s="5"/>
      <c r="R425" s="8">
        <v>8.1018518518518516E-5</v>
      </c>
      <c r="S425" s="5" t="s">
        <v>37</v>
      </c>
      <c r="T425" t="str">
        <f>IF(Tabela1[[#This Row],[STATUS_NEGOCIO]]="Enviar E-mail",1,"")</f>
        <v/>
      </c>
      <c r="U425" t="str">
        <f>TEXT(Tabela1[[#This Row],[DATA]],"dd/mm/aaaa")</f>
        <v>22/04/2026</v>
      </c>
    </row>
    <row r="426" spans="1:21" x14ac:dyDescent="0.25">
      <c r="A426" s="4">
        <v>46134.451724537037</v>
      </c>
      <c r="B426" s="5" t="s">
        <v>19</v>
      </c>
      <c r="C426" s="5" t="s">
        <v>20</v>
      </c>
      <c r="D426" s="5">
        <v>138</v>
      </c>
      <c r="E426" s="6">
        <v>9292503000152</v>
      </c>
      <c r="F426" s="5">
        <v>138</v>
      </c>
      <c r="G426" s="7">
        <v>177686582920121</v>
      </c>
      <c r="H426" s="5" t="s">
        <v>363</v>
      </c>
      <c r="I426" s="5">
        <v>3003</v>
      </c>
      <c r="J426" s="5" t="s">
        <v>22</v>
      </c>
      <c r="K426" s="5" t="s">
        <v>23</v>
      </c>
      <c r="L426" s="5" t="s">
        <v>40</v>
      </c>
      <c r="M426" s="5" t="s">
        <v>284</v>
      </c>
      <c r="N426" s="5" t="s">
        <v>26</v>
      </c>
      <c r="O426" s="5">
        <v>16</v>
      </c>
      <c r="P426" s="5"/>
      <c r="Q426" s="5"/>
      <c r="R426" s="8">
        <v>2.4652777777777776E-3</v>
      </c>
      <c r="S426" s="8">
        <v>2.4189814814814816E-3</v>
      </c>
      <c r="T426">
        <f>IF(Tabela1[[#This Row],[STATUS_NEGOCIO]]="Enviar E-mail",1,"")</f>
        <v>1</v>
      </c>
      <c r="U426" t="str">
        <f>TEXT(Tabela1[[#This Row],[DATA]],"dd/mm/aaaa")</f>
        <v>22/04/2026</v>
      </c>
    </row>
    <row r="427" spans="1:21" x14ac:dyDescent="0.25">
      <c r="A427" s="4">
        <v>46134.454502314817</v>
      </c>
      <c r="B427" s="5" t="s">
        <v>19</v>
      </c>
      <c r="C427" s="5" t="s">
        <v>20</v>
      </c>
      <c r="D427" s="5">
        <v>140</v>
      </c>
      <c r="E427" s="6">
        <v>9450692000144</v>
      </c>
      <c r="F427" s="5">
        <v>140</v>
      </c>
      <c r="G427" s="7">
        <v>177686606920751</v>
      </c>
      <c r="H427" s="5" t="s">
        <v>282</v>
      </c>
      <c r="I427" s="5">
        <v>3003</v>
      </c>
      <c r="J427" s="5" t="s">
        <v>22</v>
      </c>
      <c r="K427" s="5" t="s">
        <v>23</v>
      </c>
      <c r="L427" s="5" t="s">
        <v>95</v>
      </c>
      <c r="M427" s="5" t="s">
        <v>284</v>
      </c>
      <c r="N427" s="5" t="s">
        <v>32</v>
      </c>
      <c r="O427" s="5">
        <v>16</v>
      </c>
      <c r="P427" s="5"/>
      <c r="Q427" s="5"/>
      <c r="R427" s="8">
        <v>3.9351851851851852E-4</v>
      </c>
      <c r="S427" s="8">
        <v>3.3564814814814812E-4</v>
      </c>
      <c r="T427" t="str">
        <f>IF(Tabela1[[#This Row],[STATUS_NEGOCIO]]="Enviar E-mail",1,"")</f>
        <v/>
      </c>
      <c r="U427" t="str">
        <f>TEXT(Tabela1[[#This Row],[DATA]],"dd/mm/aaaa")</f>
        <v>22/04/2026</v>
      </c>
    </row>
    <row r="428" spans="1:21" x14ac:dyDescent="0.25">
      <c r="A428" s="4">
        <v>46134.455034722225</v>
      </c>
      <c r="B428" s="5" t="s">
        <v>19</v>
      </c>
      <c r="C428" s="5" t="s">
        <v>37</v>
      </c>
      <c r="D428" s="5">
        <v>141</v>
      </c>
      <c r="E428" s="6">
        <v>9477090000180</v>
      </c>
      <c r="F428" s="5">
        <v>141</v>
      </c>
      <c r="G428" s="7">
        <v>177686611520861</v>
      </c>
      <c r="H428" s="5" t="s">
        <v>364</v>
      </c>
      <c r="I428" s="5">
        <v>3003</v>
      </c>
      <c r="J428" s="5" t="s">
        <v>22</v>
      </c>
      <c r="K428" s="5" t="s">
        <v>23</v>
      </c>
      <c r="L428" s="5" t="s">
        <v>31</v>
      </c>
      <c r="M428" s="5" t="s">
        <v>284</v>
      </c>
      <c r="N428" s="5" t="s">
        <v>53</v>
      </c>
      <c r="O428" s="5">
        <v>128</v>
      </c>
      <c r="P428" s="5"/>
      <c r="Q428" s="5"/>
      <c r="R428" s="8">
        <v>8.1018518518518516E-5</v>
      </c>
      <c r="S428" s="5" t="s">
        <v>37</v>
      </c>
      <c r="T428" t="str">
        <f>IF(Tabela1[[#This Row],[STATUS_NEGOCIO]]="Enviar E-mail",1,"")</f>
        <v/>
      </c>
      <c r="U428" t="str">
        <f>TEXT(Tabela1[[#This Row],[DATA]],"dd/mm/aaaa")</f>
        <v>22/04/2026</v>
      </c>
    </row>
    <row r="429" spans="1:21" x14ac:dyDescent="0.25">
      <c r="A429" s="4">
        <v>46134.45521990741</v>
      </c>
      <c r="B429" s="5" t="s">
        <v>19</v>
      </c>
      <c r="C429" s="5" t="s">
        <v>37</v>
      </c>
      <c r="D429" s="5">
        <v>142</v>
      </c>
      <c r="E429" s="6">
        <v>9524235000157</v>
      </c>
      <c r="F429" s="5">
        <v>142</v>
      </c>
      <c r="G429" s="7">
        <v>177686613120881</v>
      </c>
      <c r="H429" s="5" t="s">
        <v>365</v>
      </c>
      <c r="I429" s="5">
        <v>3003</v>
      </c>
      <c r="J429" s="5" t="s">
        <v>22</v>
      </c>
      <c r="K429" s="5" t="s">
        <v>23</v>
      </c>
      <c r="L429" s="5" t="s">
        <v>31</v>
      </c>
      <c r="M429" s="5" t="s">
        <v>284</v>
      </c>
      <c r="N429" s="5" t="s">
        <v>53</v>
      </c>
      <c r="O429" s="5">
        <v>147</v>
      </c>
      <c r="P429" s="5"/>
      <c r="Q429" s="5"/>
      <c r="R429" s="8">
        <v>8.1018518518518516E-5</v>
      </c>
      <c r="S429" s="5" t="s">
        <v>37</v>
      </c>
      <c r="T429" t="str">
        <f>IF(Tabela1[[#This Row],[STATUS_NEGOCIO]]="Enviar E-mail",1,"")</f>
        <v/>
      </c>
      <c r="U429" t="str">
        <f>TEXT(Tabela1[[#This Row],[DATA]],"dd/mm/aaaa")</f>
        <v>22/04/2026</v>
      </c>
    </row>
    <row r="430" spans="1:21" x14ac:dyDescent="0.25">
      <c r="A430" s="4">
        <v>46134.455706018518</v>
      </c>
      <c r="B430" s="5" t="s">
        <v>19</v>
      </c>
      <c r="C430" s="5" t="s">
        <v>37</v>
      </c>
      <c r="D430" s="5">
        <v>143</v>
      </c>
      <c r="E430" s="6">
        <v>10199619000120</v>
      </c>
      <c r="F430" s="5">
        <v>143</v>
      </c>
      <c r="G430" s="7">
        <v>177686617320901</v>
      </c>
      <c r="H430" s="5" t="s">
        <v>366</v>
      </c>
      <c r="I430" s="5">
        <v>3003</v>
      </c>
      <c r="J430" s="5" t="s">
        <v>22</v>
      </c>
      <c r="K430" s="5" t="s">
        <v>23</v>
      </c>
      <c r="L430" s="5" t="s">
        <v>31</v>
      </c>
      <c r="M430" s="5" t="s">
        <v>284</v>
      </c>
      <c r="N430" s="5" t="s">
        <v>53</v>
      </c>
      <c r="O430" s="5">
        <v>128</v>
      </c>
      <c r="P430" s="5"/>
      <c r="Q430" s="5"/>
      <c r="R430" s="8">
        <v>8.1018518518518516E-5</v>
      </c>
      <c r="S430" s="5" t="s">
        <v>37</v>
      </c>
      <c r="T430" t="str">
        <f>IF(Tabela1[[#This Row],[STATUS_NEGOCIO]]="Enviar E-mail",1,"")</f>
        <v/>
      </c>
      <c r="U430" t="str">
        <f>TEXT(Tabela1[[#This Row],[DATA]],"dd/mm/aaaa")</f>
        <v>22/04/2026</v>
      </c>
    </row>
    <row r="431" spans="1:21" x14ac:dyDescent="0.25">
      <c r="A431" s="4">
        <v>46134.456064814818</v>
      </c>
      <c r="B431" s="5" t="s">
        <v>19</v>
      </c>
      <c r="C431" s="5" t="s">
        <v>37</v>
      </c>
      <c r="D431" s="5">
        <v>144</v>
      </c>
      <c r="E431" s="6">
        <v>10312430000100</v>
      </c>
      <c r="F431" s="5">
        <v>144</v>
      </c>
      <c r="G431" s="7">
        <v>177686620420931</v>
      </c>
      <c r="H431" s="5" t="s">
        <v>367</v>
      </c>
      <c r="I431" s="5">
        <v>3003</v>
      </c>
      <c r="J431" s="5" t="s">
        <v>22</v>
      </c>
      <c r="K431" s="5" t="s">
        <v>23</v>
      </c>
      <c r="L431" s="5" t="s">
        <v>31</v>
      </c>
      <c r="M431" s="5" t="s">
        <v>284</v>
      </c>
      <c r="N431" s="5" t="s">
        <v>53</v>
      </c>
      <c r="O431" s="5">
        <v>128</v>
      </c>
      <c r="P431" s="5"/>
      <c r="Q431" s="5"/>
      <c r="R431" s="8">
        <v>8.1018518518518516E-5</v>
      </c>
      <c r="S431" s="5" t="s">
        <v>37</v>
      </c>
      <c r="T431" t="str">
        <f>IF(Tabela1[[#This Row],[STATUS_NEGOCIO]]="Enviar E-mail",1,"")</f>
        <v/>
      </c>
      <c r="U431" t="str">
        <f>TEXT(Tabela1[[#This Row],[DATA]],"dd/mm/aaaa")</f>
        <v>22/04/2026</v>
      </c>
    </row>
    <row r="432" spans="1:21" x14ac:dyDescent="0.25">
      <c r="A432" s="4">
        <v>46134.45648148148</v>
      </c>
      <c r="B432" s="5" t="s">
        <v>19</v>
      </c>
      <c r="C432" s="5" t="s">
        <v>37</v>
      </c>
      <c r="D432" s="5">
        <v>145</v>
      </c>
      <c r="E432" s="6">
        <v>10320742000158</v>
      </c>
      <c r="F432" s="5">
        <v>145</v>
      </c>
      <c r="G432" s="7">
        <v>177686624020951</v>
      </c>
      <c r="H432" s="5" t="s">
        <v>368</v>
      </c>
      <c r="I432" s="5">
        <v>3003</v>
      </c>
      <c r="J432" s="5" t="s">
        <v>22</v>
      </c>
      <c r="K432" s="5" t="s">
        <v>23</v>
      </c>
      <c r="L432" s="5" t="s">
        <v>31</v>
      </c>
      <c r="M432" s="5" t="s">
        <v>284</v>
      </c>
      <c r="N432" s="5" t="s">
        <v>53</v>
      </c>
      <c r="O432" s="5">
        <v>128</v>
      </c>
      <c r="P432" s="5"/>
      <c r="Q432" s="5"/>
      <c r="R432" s="8">
        <v>8.1018518518518516E-5</v>
      </c>
      <c r="S432" s="5" t="s">
        <v>37</v>
      </c>
      <c r="T432" t="str">
        <f>IF(Tabela1[[#This Row],[STATUS_NEGOCIO]]="Enviar E-mail",1,"")</f>
        <v/>
      </c>
      <c r="U432" t="str">
        <f>TEXT(Tabela1[[#This Row],[DATA]],"dd/mm/aaaa")</f>
        <v>22/04/2026</v>
      </c>
    </row>
    <row r="433" spans="1:21" x14ac:dyDescent="0.25">
      <c r="A433" s="4">
        <v>46134.45752314815</v>
      </c>
      <c r="B433" s="5" t="s">
        <v>19</v>
      </c>
      <c r="C433" s="5" t="s">
        <v>37</v>
      </c>
      <c r="D433" s="5">
        <v>146</v>
      </c>
      <c r="E433" s="6">
        <v>10335794000106</v>
      </c>
      <c r="F433" s="5">
        <v>146</v>
      </c>
      <c r="G433" s="7">
        <v>177686627221091</v>
      </c>
      <c r="H433" s="5" t="s">
        <v>163</v>
      </c>
      <c r="I433" s="5">
        <v>3003</v>
      </c>
      <c r="J433" s="5" t="s">
        <v>22</v>
      </c>
      <c r="K433" s="5" t="s">
        <v>23</v>
      </c>
      <c r="L433" s="5" t="s">
        <v>31</v>
      </c>
      <c r="M433" s="5" t="s">
        <v>284</v>
      </c>
      <c r="N433" s="5" t="s">
        <v>26</v>
      </c>
      <c r="O433" s="5">
        <v>131</v>
      </c>
      <c r="P433" s="5"/>
      <c r="Q433" s="5"/>
      <c r="R433" s="8">
        <v>5.6712962962962967E-4</v>
      </c>
      <c r="S433" s="5" t="s">
        <v>37</v>
      </c>
      <c r="T433" t="str">
        <f>IF(Tabela1[[#This Row],[STATUS_NEGOCIO]]="Enviar E-mail",1,"")</f>
        <v/>
      </c>
      <c r="U433" t="str">
        <f>TEXT(Tabela1[[#This Row],[DATA]],"dd/mm/aaaa")</f>
        <v>22/04/2026</v>
      </c>
    </row>
    <row r="434" spans="1:21" x14ac:dyDescent="0.25">
      <c r="A434" s="4">
        <v>46134.457719907405</v>
      </c>
      <c r="B434" s="5" t="s">
        <v>19</v>
      </c>
      <c r="C434" s="5" t="s">
        <v>37</v>
      </c>
      <c r="D434" s="5">
        <v>147</v>
      </c>
      <c r="E434" s="6">
        <v>10364002000113</v>
      </c>
      <c r="F434" s="5">
        <v>147</v>
      </c>
      <c r="G434" s="7">
        <v>177686634721481</v>
      </c>
      <c r="H434" s="5" t="s">
        <v>369</v>
      </c>
      <c r="I434" s="5">
        <v>3003</v>
      </c>
      <c r="J434" s="5" t="s">
        <v>22</v>
      </c>
      <c r="K434" s="5" t="s">
        <v>23</v>
      </c>
      <c r="L434" s="5" t="s">
        <v>31</v>
      </c>
      <c r="M434" s="5" t="s">
        <v>284</v>
      </c>
      <c r="N434" s="5" t="s">
        <v>53</v>
      </c>
      <c r="O434" s="5">
        <v>128</v>
      </c>
      <c r="P434" s="5"/>
      <c r="Q434" s="5"/>
      <c r="R434" s="8">
        <v>8.1018518518518516E-5</v>
      </c>
      <c r="S434" s="5" t="s">
        <v>37</v>
      </c>
      <c r="T434" t="str">
        <f>IF(Tabela1[[#This Row],[STATUS_NEGOCIO]]="Enviar E-mail",1,"")</f>
        <v/>
      </c>
      <c r="U434" t="str">
        <f>TEXT(Tabela1[[#This Row],[DATA]],"dd/mm/aaaa")</f>
        <v>22/04/2026</v>
      </c>
    </row>
    <row r="435" spans="1:21" x14ac:dyDescent="0.25">
      <c r="A435" s="4">
        <v>46134.45820601852</v>
      </c>
      <c r="B435" s="5" t="s">
        <v>19</v>
      </c>
      <c r="C435" s="5" t="s">
        <v>37</v>
      </c>
      <c r="D435" s="5">
        <v>148</v>
      </c>
      <c r="E435" s="6">
        <v>10379649000119</v>
      </c>
      <c r="F435" s="5">
        <v>148</v>
      </c>
      <c r="G435" s="7">
        <v>177686638921581</v>
      </c>
      <c r="H435" s="5" t="s">
        <v>96</v>
      </c>
      <c r="I435" s="5">
        <v>3003</v>
      </c>
      <c r="J435" s="5" t="s">
        <v>22</v>
      </c>
      <c r="K435" s="5" t="s">
        <v>23</v>
      </c>
      <c r="L435" s="5" t="s">
        <v>31</v>
      </c>
      <c r="M435" s="5" t="s">
        <v>284</v>
      </c>
      <c r="N435" s="5" t="s">
        <v>53</v>
      </c>
      <c r="O435" s="5">
        <v>128</v>
      </c>
      <c r="P435" s="5"/>
      <c r="Q435" s="5"/>
      <c r="R435" s="8">
        <v>8.1018518518518516E-5</v>
      </c>
      <c r="S435" s="5" t="s">
        <v>37</v>
      </c>
      <c r="T435" t="str">
        <f>IF(Tabela1[[#This Row],[STATUS_NEGOCIO]]="Enviar E-mail",1,"")</f>
        <v/>
      </c>
      <c r="U435" t="str">
        <f>TEXT(Tabela1[[#This Row],[DATA]],"dd/mm/aaaa")</f>
        <v>22/04/2026</v>
      </c>
    </row>
    <row r="436" spans="1:21" x14ac:dyDescent="0.25">
      <c r="A436" s="4">
        <v>46134.458611111113</v>
      </c>
      <c r="B436" s="5" t="s">
        <v>19</v>
      </c>
      <c r="C436" s="5" t="s">
        <v>37</v>
      </c>
      <c r="D436" s="5">
        <v>149</v>
      </c>
      <c r="E436" s="6">
        <v>10433504000159</v>
      </c>
      <c r="F436" s="5">
        <v>149</v>
      </c>
      <c r="G436" s="7">
        <v>177686642421691</v>
      </c>
      <c r="H436" s="5" t="s">
        <v>370</v>
      </c>
      <c r="I436" s="5">
        <v>3003</v>
      </c>
      <c r="J436" s="5" t="s">
        <v>22</v>
      </c>
      <c r="K436" s="5" t="s">
        <v>23</v>
      </c>
      <c r="L436" s="5" t="s">
        <v>31</v>
      </c>
      <c r="M436" s="5" t="s">
        <v>284</v>
      </c>
      <c r="N436" s="5" t="s">
        <v>53</v>
      </c>
      <c r="O436" s="5">
        <v>128</v>
      </c>
      <c r="P436" s="5"/>
      <c r="Q436" s="5"/>
      <c r="R436" s="8">
        <v>8.1018518518518516E-5</v>
      </c>
      <c r="S436" s="5" t="s">
        <v>37</v>
      </c>
      <c r="T436" t="str">
        <f>IF(Tabela1[[#This Row],[STATUS_NEGOCIO]]="Enviar E-mail",1,"")</f>
        <v/>
      </c>
      <c r="U436" t="str">
        <f>TEXT(Tabela1[[#This Row],[DATA]],"dd/mm/aaaa")</f>
        <v>22/04/2026</v>
      </c>
    </row>
    <row r="437" spans="1:21" x14ac:dyDescent="0.25">
      <c r="A437" s="4">
        <v>46134.458738425928</v>
      </c>
      <c r="B437" s="5" t="s">
        <v>19</v>
      </c>
      <c r="C437" s="5" t="s">
        <v>37</v>
      </c>
      <c r="D437" s="5">
        <v>150</v>
      </c>
      <c r="E437" s="6">
        <v>10443491000107</v>
      </c>
      <c r="F437" s="5">
        <v>150</v>
      </c>
      <c r="G437" s="7">
        <v>177686643521721</v>
      </c>
      <c r="H437" s="5" t="s">
        <v>371</v>
      </c>
      <c r="I437" s="5" t="s">
        <v>52</v>
      </c>
      <c r="J437" s="5" t="s">
        <v>22</v>
      </c>
      <c r="K437" s="5" t="s">
        <v>36</v>
      </c>
      <c r="L437" s="5" t="s">
        <v>36</v>
      </c>
      <c r="M437" s="5" t="s">
        <v>284</v>
      </c>
      <c r="N437" s="5" t="s">
        <v>53</v>
      </c>
      <c r="O437" s="5">
        <v>19</v>
      </c>
      <c r="P437" s="5"/>
      <c r="Q437" s="5"/>
      <c r="R437" s="8">
        <v>0</v>
      </c>
      <c r="S437" s="5" t="s">
        <v>37</v>
      </c>
      <c r="T437" t="str">
        <f>IF(Tabela1[[#This Row],[STATUS_NEGOCIO]]="Enviar E-mail",1,"")</f>
        <v/>
      </c>
      <c r="U437" t="str">
        <f>TEXT(Tabela1[[#This Row],[DATA]],"dd/mm/aaaa")</f>
        <v>22/04/2026</v>
      </c>
    </row>
    <row r="438" spans="1:21" x14ac:dyDescent="0.25">
      <c r="A438" s="4">
        <v>46134.459351851852</v>
      </c>
      <c r="B438" s="5" t="s">
        <v>19</v>
      </c>
      <c r="C438" s="5" t="s">
        <v>37</v>
      </c>
      <c r="D438" s="5">
        <v>151</v>
      </c>
      <c r="E438" s="6">
        <v>10479198000191</v>
      </c>
      <c r="F438" s="5">
        <v>151</v>
      </c>
      <c r="G438" s="7">
        <v>177686648821941</v>
      </c>
      <c r="H438" s="5" t="s">
        <v>69</v>
      </c>
      <c r="I438" s="5">
        <v>3003</v>
      </c>
      <c r="J438" s="5" t="s">
        <v>22</v>
      </c>
      <c r="K438" s="5" t="s">
        <v>23</v>
      </c>
      <c r="L438" s="5" t="s">
        <v>31</v>
      </c>
      <c r="M438" s="5" t="s">
        <v>284</v>
      </c>
      <c r="N438" s="5" t="s">
        <v>53</v>
      </c>
      <c r="O438" s="5">
        <v>128</v>
      </c>
      <c r="P438" s="5"/>
      <c r="Q438" s="5"/>
      <c r="R438" s="8">
        <v>8.1018518518518516E-5</v>
      </c>
      <c r="S438" s="5" t="s">
        <v>37</v>
      </c>
      <c r="T438" t="str">
        <f>IF(Tabela1[[#This Row],[STATUS_NEGOCIO]]="Enviar E-mail",1,"")</f>
        <v/>
      </c>
      <c r="U438" t="str">
        <f>TEXT(Tabela1[[#This Row],[DATA]],"dd/mm/aaaa")</f>
        <v>22/04/2026</v>
      </c>
    </row>
    <row r="439" spans="1:21" x14ac:dyDescent="0.25">
      <c r="A439" s="4">
        <v>46134.459490740737</v>
      </c>
      <c r="B439" s="5" t="s">
        <v>19</v>
      </c>
      <c r="C439" s="5" t="s">
        <v>37</v>
      </c>
      <c r="D439" s="5">
        <v>152</v>
      </c>
      <c r="E439" s="6">
        <v>10480153000137</v>
      </c>
      <c r="F439" s="5">
        <v>152</v>
      </c>
      <c r="G439" s="7">
        <v>177686650022021</v>
      </c>
      <c r="H439" s="5" t="s">
        <v>372</v>
      </c>
      <c r="I439" s="5">
        <v>3003</v>
      </c>
      <c r="J439" s="5" t="s">
        <v>22</v>
      </c>
      <c r="K439" s="5" t="s">
        <v>23</v>
      </c>
      <c r="L439" s="5" t="s">
        <v>31</v>
      </c>
      <c r="M439" s="5" t="s">
        <v>284</v>
      </c>
      <c r="N439" s="5" t="s">
        <v>53</v>
      </c>
      <c r="O439" s="5">
        <v>128</v>
      </c>
      <c r="P439" s="5"/>
      <c r="Q439" s="5"/>
      <c r="R439" s="8">
        <v>8.1018518518518516E-5</v>
      </c>
      <c r="S439" s="5" t="s">
        <v>37</v>
      </c>
      <c r="T439" t="str">
        <f>IF(Tabela1[[#This Row],[STATUS_NEGOCIO]]="Enviar E-mail",1,"")</f>
        <v/>
      </c>
      <c r="U439" t="str">
        <f>TEXT(Tabela1[[#This Row],[DATA]],"dd/mm/aaaa")</f>
        <v>22/04/2026</v>
      </c>
    </row>
    <row r="440" spans="1:21" x14ac:dyDescent="0.25">
      <c r="A440" s="4">
        <v>46134.459745370368</v>
      </c>
      <c r="B440" s="5" t="s">
        <v>19</v>
      </c>
      <c r="C440" s="5" t="s">
        <v>37</v>
      </c>
      <c r="D440" s="5">
        <v>153</v>
      </c>
      <c r="E440" s="6">
        <v>10594727000106</v>
      </c>
      <c r="F440" s="5">
        <v>153</v>
      </c>
      <c r="G440" s="7">
        <v>177686652222111</v>
      </c>
      <c r="H440" s="5" t="s">
        <v>373</v>
      </c>
      <c r="I440" s="5">
        <v>3003</v>
      </c>
      <c r="J440" s="5" t="s">
        <v>22</v>
      </c>
      <c r="K440" s="5" t="s">
        <v>23</v>
      </c>
      <c r="L440" s="5" t="s">
        <v>31</v>
      </c>
      <c r="M440" s="5" t="s">
        <v>284</v>
      </c>
      <c r="N440" s="5" t="s">
        <v>53</v>
      </c>
      <c r="O440" s="5">
        <v>128</v>
      </c>
      <c r="P440" s="5"/>
      <c r="Q440" s="5"/>
      <c r="R440" s="8">
        <v>4.6296296296296294E-5</v>
      </c>
      <c r="S440" s="5" t="s">
        <v>37</v>
      </c>
      <c r="T440" t="str">
        <f>IF(Tabela1[[#This Row],[STATUS_NEGOCIO]]="Enviar E-mail",1,"")</f>
        <v/>
      </c>
      <c r="U440" t="str">
        <f>TEXT(Tabela1[[#This Row],[DATA]],"dd/mm/aaaa")</f>
        <v>22/04/2026</v>
      </c>
    </row>
    <row r="441" spans="1:21" x14ac:dyDescent="0.25">
      <c r="A441" s="4">
        <v>46134.459918981483</v>
      </c>
      <c r="B441" s="5" t="s">
        <v>19</v>
      </c>
      <c r="C441" s="5" t="s">
        <v>37</v>
      </c>
      <c r="D441" s="5">
        <v>154</v>
      </c>
      <c r="E441" s="6">
        <v>10737265000120</v>
      </c>
      <c r="F441" s="5">
        <v>154</v>
      </c>
      <c r="G441" s="7">
        <v>177686653722231</v>
      </c>
      <c r="H441" s="5" t="s">
        <v>374</v>
      </c>
      <c r="I441" s="5">
        <v>3003</v>
      </c>
      <c r="J441" s="5" t="s">
        <v>22</v>
      </c>
      <c r="K441" s="5" t="s">
        <v>23</v>
      </c>
      <c r="L441" s="5" t="s">
        <v>31</v>
      </c>
      <c r="M441" s="5" t="s">
        <v>284</v>
      </c>
      <c r="N441" s="5" t="s">
        <v>53</v>
      </c>
      <c r="O441" s="5">
        <v>128</v>
      </c>
      <c r="P441" s="5"/>
      <c r="Q441" s="5"/>
      <c r="R441" s="8">
        <v>8.1018518518518516E-5</v>
      </c>
      <c r="S441" s="5" t="s">
        <v>37</v>
      </c>
      <c r="T441" t="str">
        <f>IF(Tabela1[[#This Row],[STATUS_NEGOCIO]]="Enviar E-mail",1,"")</f>
        <v/>
      </c>
      <c r="U441" t="str">
        <f>TEXT(Tabela1[[#This Row],[DATA]],"dd/mm/aaaa")</f>
        <v>22/04/2026</v>
      </c>
    </row>
    <row r="442" spans="1:21" x14ac:dyDescent="0.25">
      <c r="A442" s="4">
        <v>46134.460069444445</v>
      </c>
      <c r="B442" s="5" t="s">
        <v>19</v>
      </c>
      <c r="C442" s="5" t="s">
        <v>37</v>
      </c>
      <c r="D442" s="5">
        <v>155</v>
      </c>
      <c r="E442" s="6">
        <v>10745721000184</v>
      </c>
      <c r="F442" s="5">
        <v>155</v>
      </c>
      <c r="G442" s="7">
        <v>177686655022251</v>
      </c>
      <c r="H442" s="5" t="s">
        <v>375</v>
      </c>
      <c r="I442" s="5">
        <v>3003</v>
      </c>
      <c r="J442" s="5" t="s">
        <v>22</v>
      </c>
      <c r="K442" s="5" t="s">
        <v>23</v>
      </c>
      <c r="L442" s="5" t="s">
        <v>31</v>
      </c>
      <c r="M442" s="5" t="s">
        <v>284</v>
      </c>
      <c r="N442" s="5" t="s">
        <v>53</v>
      </c>
      <c r="O442" s="5">
        <v>128</v>
      </c>
      <c r="P442" s="5"/>
      <c r="Q442" s="5"/>
      <c r="R442" s="8">
        <v>8.1018518518518516E-5</v>
      </c>
      <c r="S442" s="5" t="s">
        <v>37</v>
      </c>
      <c r="T442" t="str">
        <f>IF(Tabela1[[#This Row],[STATUS_NEGOCIO]]="Enviar E-mail",1,"")</f>
        <v/>
      </c>
      <c r="U442" t="str">
        <f>TEXT(Tabela1[[#This Row],[DATA]],"dd/mm/aaaa")</f>
        <v>22/04/2026</v>
      </c>
    </row>
    <row r="443" spans="1:21" x14ac:dyDescent="0.25">
      <c r="A443" s="4">
        <v>46134.460347222222</v>
      </c>
      <c r="B443" s="5" t="s">
        <v>19</v>
      </c>
      <c r="C443" s="5" t="s">
        <v>37</v>
      </c>
      <c r="D443" s="5">
        <v>156</v>
      </c>
      <c r="E443" s="6">
        <v>10746169000149</v>
      </c>
      <c r="F443" s="5">
        <v>156</v>
      </c>
      <c r="G443" s="7">
        <v>177686657422331</v>
      </c>
      <c r="H443" s="5" t="s">
        <v>376</v>
      </c>
      <c r="I443" s="5">
        <v>3003</v>
      </c>
      <c r="J443" s="5" t="s">
        <v>22</v>
      </c>
      <c r="K443" s="5" t="s">
        <v>23</v>
      </c>
      <c r="L443" s="5" t="s">
        <v>31</v>
      </c>
      <c r="M443" s="5" t="s">
        <v>284</v>
      </c>
      <c r="N443" s="5" t="s">
        <v>53</v>
      </c>
      <c r="O443" s="5">
        <v>128</v>
      </c>
      <c r="P443" s="5"/>
      <c r="Q443" s="5"/>
      <c r="R443" s="8">
        <v>8.1018518518518516E-5</v>
      </c>
      <c r="S443" s="5" t="s">
        <v>37</v>
      </c>
      <c r="T443" t="str">
        <f>IF(Tabela1[[#This Row],[STATUS_NEGOCIO]]="Enviar E-mail",1,"")</f>
        <v/>
      </c>
      <c r="U443" t="str">
        <f>TEXT(Tabela1[[#This Row],[DATA]],"dd/mm/aaaa")</f>
        <v>22/04/2026</v>
      </c>
    </row>
    <row r="444" spans="1:21" x14ac:dyDescent="0.25">
      <c r="A444" s="4">
        <v>46134.460682870369</v>
      </c>
      <c r="B444" s="5" t="s">
        <v>19</v>
      </c>
      <c r="C444" s="5" t="s">
        <v>37</v>
      </c>
      <c r="D444" s="5">
        <v>157</v>
      </c>
      <c r="E444" s="6">
        <v>10790942000174</v>
      </c>
      <c r="F444" s="5">
        <v>157</v>
      </c>
      <c r="G444" s="7">
        <v>177686660322551</v>
      </c>
      <c r="H444" s="5" t="s">
        <v>377</v>
      </c>
      <c r="I444" s="5">
        <v>3003</v>
      </c>
      <c r="J444" s="5" t="s">
        <v>22</v>
      </c>
      <c r="K444" s="5" t="s">
        <v>23</v>
      </c>
      <c r="L444" s="5" t="s">
        <v>31</v>
      </c>
      <c r="M444" s="5" t="s">
        <v>284</v>
      </c>
      <c r="N444" s="5" t="s">
        <v>53</v>
      </c>
      <c r="O444" s="5">
        <v>128</v>
      </c>
      <c r="P444" s="5"/>
      <c r="Q444" s="5"/>
      <c r="R444" s="8">
        <v>8.1018518518518516E-5</v>
      </c>
      <c r="S444" s="5" t="s">
        <v>37</v>
      </c>
      <c r="T444" t="str">
        <f>IF(Tabela1[[#This Row],[STATUS_NEGOCIO]]="Enviar E-mail",1,"")</f>
        <v/>
      </c>
      <c r="U444" t="str">
        <f>TEXT(Tabela1[[#This Row],[DATA]],"dd/mm/aaaa")</f>
        <v>22/04/2026</v>
      </c>
    </row>
    <row r="445" spans="1:21" x14ac:dyDescent="0.25">
      <c r="A445" s="4">
        <v>46134.460879629631</v>
      </c>
      <c r="B445" s="5" t="s">
        <v>19</v>
      </c>
      <c r="C445" s="5" t="s">
        <v>37</v>
      </c>
      <c r="D445" s="5">
        <v>158</v>
      </c>
      <c r="E445" s="6">
        <v>10888515000123</v>
      </c>
      <c r="F445" s="5">
        <v>158</v>
      </c>
      <c r="G445" s="7">
        <v>177686662022591</v>
      </c>
      <c r="H445" s="5" t="s">
        <v>378</v>
      </c>
      <c r="I445" s="5">
        <v>3003</v>
      </c>
      <c r="J445" s="5" t="s">
        <v>22</v>
      </c>
      <c r="K445" s="5" t="s">
        <v>23</v>
      </c>
      <c r="L445" s="5" t="s">
        <v>31</v>
      </c>
      <c r="M445" s="5" t="s">
        <v>284</v>
      </c>
      <c r="N445" s="5" t="s">
        <v>53</v>
      </c>
      <c r="O445" s="5">
        <v>128</v>
      </c>
      <c r="P445" s="5"/>
      <c r="Q445" s="5"/>
      <c r="R445" s="8">
        <v>8.1018518518518516E-5</v>
      </c>
      <c r="S445" s="5" t="s">
        <v>37</v>
      </c>
      <c r="T445" t="str">
        <f>IF(Tabela1[[#This Row],[STATUS_NEGOCIO]]="Enviar E-mail",1,"")</f>
        <v/>
      </c>
      <c r="U445" t="str">
        <f>TEXT(Tabela1[[#This Row],[DATA]],"dd/mm/aaaa")</f>
        <v>22/04/2026</v>
      </c>
    </row>
    <row r="446" spans="1:21" x14ac:dyDescent="0.25">
      <c r="A446" s="4">
        <v>46134.461215277777</v>
      </c>
      <c r="B446" s="5" t="s">
        <v>19</v>
      </c>
      <c r="C446" s="5" t="s">
        <v>37</v>
      </c>
      <c r="D446" s="5">
        <v>159</v>
      </c>
      <c r="E446" s="6">
        <v>10984785000138</v>
      </c>
      <c r="F446" s="5">
        <v>159</v>
      </c>
      <c r="G446" s="7">
        <v>177686664922731</v>
      </c>
      <c r="H446" s="5" t="s">
        <v>29</v>
      </c>
      <c r="I446" s="5">
        <v>3003</v>
      </c>
      <c r="J446" s="5" t="s">
        <v>22</v>
      </c>
      <c r="K446" s="5" t="s">
        <v>23</v>
      </c>
      <c r="L446" s="5" t="s">
        <v>31</v>
      </c>
      <c r="M446" s="5" t="s">
        <v>284</v>
      </c>
      <c r="N446" s="5" t="s">
        <v>53</v>
      </c>
      <c r="O446" s="5">
        <v>128</v>
      </c>
      <c r="P446" s="5"/>
      <c r="Q446" s="5"/>
      <c r="R446" s="8">
        <v>8.1018518518518516E-5</v>
      </c>
      <c r="S446" s="5" t="s">
        <v>37</v>
      </c>
      <c r="T446" t="str">
        <f>IF(Tabela1[[#This Row],[STATUS_NEGOCIO]]="Enviar E-mail",1,"")</f>
        <v/>
      </c>
      <c r="U446" t="str">
        <f>TEXT(Tabela1[[#This Row],[DATA]],"dd/mm/aaaa")</f>
        <v>22/04/2026</v>
      </c>
    </row>
    <row r="447" spans="1:21" x14ac:dyDescent="0.25">
      <c r="A447" s="4">
        <v>46134.461365740739</v>
      </c>
      <c r="B447" s="5" t="s">
        <v>19</v>
      </c>
      <c r="C447" s="5" t="s">
        <v>37</v>
      </c>
      <c r="D447" s="5">
        <v>160</v>
      </c>
      <c r="E447" s="6">
        <v>11013156000123</v>
      </c>
      <c r="F447" s="5">
        <v>160</v>
      </c>
      <c r="G447" s="7">
        <v>177686666222801</v>
      </c>
      <c r="H447" s="5" t="s">
        <v>379</v>
      </c>
      <c r="I447" s="5">
        <v>3003</v>
      </c>
      <c r="J447" s="5" t="s">
        <v>22</v>
      </c>
      <c r="K447" s="5" t="s">
        <v>23</v>
      </c>
      <c r="L447" s="5" t="s">
        <v>31</v>
      </c>
      <c r="M447" s="5" t="s">
        <v>284</v>
      </c>
      <c r="N447" s="5" t="s">
        <v>53</v>
      </c>
      <c r="O447" s="5">
        <v>128</v>
      </c>
      <c r="P447" s="5"/>
      <c r="Q447" s="5"/>
      <c r="R447" s="8">
        <v>8.1018518518518516E-5</v>
      </c>
      <c r="S447" s="5" t="s">
        <v>37</v>
      </c>
      <c r="T447" t="str">
        <f>IF(Tabela1[[#This Row],[STATUS_NEGOCIO]]="Enviar E-mail",1,"")</f>
        <v/>
      </c>
      <c r="U447" t="str">
        <f>TEXT(Tabela1[[#This Row],[DATA]],"dd/mm/aaaa")</f>
        <v>22/04/2026</v>
      </c>
    </row>
    <row r="448" spans="1:21" x14ac:dyDescent="0.25">
      <c r="A448" s="4">
        <v>46134.46166666667</v>
      </c>
      <c r="B448" s="5" t="s">
        <v>19</v>
      </c>
      <c r="C448" s="5" t="s">
        <v>37</v>
      </c>
      <c r="D448" s="5">
        <v>161</v>
      </c>
      <c r="E448" s="6">
        <v>11117005000115</v>
      </c>
      <c r="F448" s="5">
        <v>161</v>
      </c>
      <c r="G448" s="7">
        <v>177686668822821</v>
      </c>
      <c r="H448" s="5" t="s">
        <v>380</v>
      </c>
      <c r="I448" s="5">
        <v>3003</v>
      </c>
      <c r="J448" s="5" t="s">
        <v>22</v>
      </c>
      <c r="K448" s="5" t="s">
        <v>23</v>
      </c>
      <c r="L448" s="5" t="s">
        <v>31</v>
      </c>
      <c r="M448" s="5" t="s">
        <v>284</v>
      </c>
      <c r="N448" s="5" t="s">
        <v>53</v>
      </c>
      <c r="O448" s="5">
        <v>128</v>
      </c>
      <c r="P448" s="5"/>
      <c r="Q448" s="5"/>
      <c r="R448" s="8">
        <v>8.1018518518518516E-5</v>
      </c>
      <c r="S448" s="5" t="s">
        <v>37</v>
      </c>
      <c r="T448" t="str">
        <f>IF(Tabela1[[#This Row],[STATUS_NEGOCIO]]="Enviar E-mail",1,"")</f>
        <v/>
      </c>
      <c r="U448" t="str">
        <f>TEXT(Tabela1[[#This Row],[DATA]],"dd/mm/aaaa")</f>
        <v>22/04/2026</v>
      </c>
    </row>
    <row r="449" spans="1:21" x14ac:dyDescent="0.25">
      <c r="A449" s="4">
        <v>46134.461875000001</v>
      </c>
      <c r="B449" s="5" t="s">
        <v>19</v>
      </c>
      <c r="C449" s="5" t="s">
        <v>27</v>
      </c>
      <c r="D449" s="5">
        <v>162</v>
      </c>
      <c r="E449" s="6">
        <v>11294825000182</v>
      </c>
      <c r="F449" s="5">
        <v>162</v>
      </c>
      <c r="G449" s="7">
        <v>177686670622901</v>
      </c>
      <c r="H449" s="5" t="s">
        <v>381</v>
      </c>
      <c r="I449" s="5">
        <v>3003</v>
      </c>
      <c r="J449" s="5" t="s">
        <v>22</v>
      </c>
      <c r="K449" s="5" t="s">
        <v>23</v>
      </c>
      <c r="L449" s="5" t="s">
        <v>40</v>
      </c>
      <c r="M449" s="5" t="s">
        <v>284</v>
      </c>
      <c r="N449" s="5" t="s">
        <v>26</v>
      </c>
      <c r="O449" s="5">
        <v>16</v>
      </c>
      <c r="P449" s="5"/>
      <c r="Q449" s="5"/>
      <c r="R449" s="8">
        <v>2.1875000000000002E-3</v>
      </c>
      <c r="S449" s="8">
        <v>2.1296296296296298E-3</v>
      </c>
      <c r="T449">
        <f>IF(Tabela1[[#This Row],[STATUS_NEGOCIO]]="Enviar E-mail",1,"")</f>
        <v>1</v>
      </c>
      <c r="U449" t="str">
        <f>TEXT(Tabela1[[#This Row],[DATA]],"dd/mm/aaaa")</f>
        <v>22/04/2026</v>
      </c>
    </row>
    <row r="450" spans="1:21" x14ac:dyDescent="0.25">
      <c r="A450" s="4">
        <v>46134.464143518519</v>
      </c>
      <c r="B450" s="5" t="s">
        <v>19</v>
      </c>
      <c r="C450" s="5" t="s">
        <v>37</v>
      </c>
      <c r="D450" s="5">
        <v>163</v>
      </c>
      <c r="E450" s="6">
        <v>11360283000107</v>
      </c>
      <c r="F450" s="5">
        <v>163</v>
      </c>
      <c r="G450" s="7">
        <v>177686690223251</v>
      </c>
      <c r="H450" s="5" t="s">
        <v>382</v>
      </c>
      <c r="I450" s="5">
        <v>3003</v>
      </c>
      <c r="J450" s="5" t="s">
        <v>22</v>
      </c>
      <c r="K450" s="5" t="s">
        <v>23</v>
      </c>
      <c r="L450" s="5" t="s">
        <v>31</v>
      </c>
      <c r="M450" s="5" t="s">
        <v>284</v>
      </c>
      <c r="N450" s="5" t="s">
        <v>53</v>
      </c>
      <c r="O450" s="5">
        <v>128</v>
      </c>
      <c r="P450" s="5"/>
      <c r="Q450" s="5"/>
      <c r="R450" s="8">
        <v>6.9444444444444444E-5</v>
      </c>
      <c r="S450" s="5" t="s">
        <v>37</v>
      </c>
      <c r="T450" t="str">
        <f>IF(Tabela1[[#This Row],[STATUS_NEGOCIO]]="Enviar E-mail",1,"")</f>
        <v/>
      </c>
      <c r="U450" t="str">
        <f>TEXT(Tabela1[[#This Row],[DATA]],"dd/mm/aaaa")</f>
        <v>22/04/2026</v>
      </c>
    </row>
    <row r="451" spans="1:21" x14ac:dyDescent="0.25">
      <c r="A451" s="4">
        <v>46134.46429398148</v>
      </c>
      <c r="B451" s="5" t="s">
        <v>19</v>
      </c>
      <c r="C451" s="5" t="s">
        <v>37</v>
      </c>
      <c r="D451" s="5">
        <v>164</v>
      </c>
      <c r="E451" s="6">
        <v>11642542000184</v>
      </c>
      <c r="F451" s="5">
        <v>164</v>
      </c>
      <c r="G451" s="7">
        <v>177686691523271</v>
      </c>
      <c r="H451" s="5" t="s">
        <v>383</v>
      </c>
      <c r="I451" s="5">
        <v>3003</v>
      </c>
      <c r="J451" s="5" t="s">
        <v>22</v>
      </c>
      <c r="K451" s="5" t="s">
        <v>23</v>
      </c>
      <c r="L451" s="5" t="s">
        <v>31</v>
      </c>
      <c r="M451" s="5" t="s">
        <v>284</v>
      </c>
      <c r="N451" s="5" t="s">
        <v>53</v>
      </c>
      <c r="O451" s="5">
        <v>131</v>
      </c>
      <c r="P451" s="5"/>
      <c r="Q451" s="5"/>
      <c r="R451" s="8">
        <v>4.6296296296296294E-5</v>
      </c>
      <c r="S451" s="5" t="s">
        <v>37</v>
      </c>
      <c r="T451" t="str">
        <f>IF(Tabela1[[#This Row],[STATUS_NEGOCIO]]="Enviar E-mail",1,"")</f>
        <v/>
      </c>
      <c r="U451" t="str">
        <f>TEXT(Tabela1[[#This Row],[DATA]],"dd/mm/aaaa")</f>
        <v>22/04/2026</v>
      </c>
    </row>
    <row r="452" spans="1:21" x14ac:dyDescent="0.25">
      <c r="A452" s="4">
        <v>46134.464456018519</v>
      </c>
      <c r="B452" s="5" t="s">
        <v>19</v>
      </c>
      <c r="C452" s="5" t="s">
        <v>37</v>
      </c>
      <c r="D452" s="5">
        <v>165</v>
      </c>
      <c r="E452" s="6">
        <v>11649203000120</v>
      </c>
      <c r="F452" s="5">
        <v>165</v>
      </c>
      <c r="G452" s="7">
        <v>177686692923291</v>
      </c>
      <c r="H452" s="5" t="s">
        <v>384</v>
      </c>
      <c r="I452" s="5">
        <v>3003</v>
      </c>
      <c r="J452" s="5" t="s">
        <v>22</v>
      </c>
      <c r="K452" s="5" t="s">
        <v>23</v>
      </c>
      <c r="L452" s="5" t="s">
        <v>31</v>
      </c>
      <c r="M452" s="5" t="s">
        <v>284</v>
      </c>
      <c r="N452" s="5" t="s">
        <v>53</v>
      </c>
      <c r="O452" s="5">
        <v>128</v>
      </c>
      <c r="P452" s="5"/>
      <c r="Q452" s="5"/>
      <c r="R452" s="8">
        <v>8.1018518518518516E-5</v>
      </c>
      <c r="S452" s="5" t="s">
        <v>37</v>
      </c>
      <c r="T452" t="str">
        <f>IF(Tabela1[[#This Row],[STATUS_NEGOCIO]]="Enviar E-mail",1,"")</f>
        <v/>
      </c>
      <c r="U452" t="str">
        <f>TEXT(Tabela1[[#This Row],[DATA]],"dd/mm/aaaa")</f>
        <v>22/04/2026</v>
      </c>
    </row>
    <row r="453" spans="1:21" x14ac:dyDescent="0.25">
      <c r="A453" s="4">
        <v>46134.464594907404</v>
      </c>
      <c r="B453" s="5" t="s">
        <v>19</v>
      </c>
      <c r="C453" s="5" t="s">
        <v>37</v>
      </c>
      <c r="D453" s="5">
        <v>166</v>
      </c>
      <c r="E453" s="6">
        <v>11661920000177</v>
      </c>
      <c r="F453" s="5">
        <v>166</v>
      </c>
      <c r="G453" s="7">
        <v>177686694123311</v>
      </c>
      <c r="H453" s="5" t="s">
        <v>385</v>
      </c>
      <c r="I453" s="5">
        <v>3003</v>
      </c>
      <c r="J453" s="5" t="s">
        <v>22</v>
      </c>
      <c r="K453" s="5" t="s">
        <v>23</v>
      </c>
      <c r="L453" s="5" t="s">
        <v>31</v>
      </c>
      <c r="M453" s="5" t="s">
        <v>284</v>
      </c>
      <c r="N453" s="5" t="s">
        <v>53</v>
      </c>
      <c r="O453" s="5">
        <v>128</v>
      </c>
      <c r="P453" s="5"/>
      <c r="Q453" s="5"/>
      <c r="R453" s="8">
        <v>8.1018518518518516E-5</v>
      </c>
      <c r="S453" s="5" t="s">
        <v>37</v>
      </c>
      <c r="T453" t="str">
        <f>IF(Tabela1[[#This Row],[STATUS_NEGOCIO]]="Enviar E-mail",1,"")</f>
        <v/>
      </c>
      <c r="U453" t="str">
        <f>TEXT(Tabela1[[#This Row],[DATA]],"dd/mm/aaaa")</f>
        <v>22/04/2026</v>
      </c>
    </row>
    <row r="454" spans="1:21" x14ac:dyDescent="0.25">
      <c r="A454" s="4">
        <v>46134.464837962965</v>
      </c>
      <c r="B454" s="5" t="s">
        <v>19</v>
      </c>
      <c r="C454" s="5" t="s">
        <v>37</v>
      </c>
      <c r="D454" s="5">
        <v>167</v>
      </c>
      <c r="E454" s="6">
        <v>11701732000125</v>
      </c>
      <c r="F454" s="5">
        <v>167</v>
      </c>
      <c r="G454" s="7">
        <v>177686696223331</v>
      </c>
      <c r="H454" s="5" t="s">
        <v>98</v>
      </c>
      <c r="I454" s="5">
        <v>3003</v>
      </c>
      <c r="J454" s="5" t="s">
        <v>22</v>
      </c>
      <c r="K454" s="5" t="s">
        <v>23</v>
      </c>
      <c r="L454" s="5" t="s">
        <v>31</v>
      </c>
      <c r="M454" s="5" t="s">
        <v>284</v>
      </c>
      <c r="N454" s="5" t="s">
        <v>53</v>
      </c>
      <c r="O454" s="5">
        <v>128</v>
      </c>
      <c r="P454" s="5"/>
      <c r="Q454" s="5"/>
      <c r="R454" s="8">
        <v>8.1018518518518516E-5</v>
      </c>
      <c r="S454" s="5" t="s">
        <v>37</v>
      </c>
      <c r="T454" t="str">
        <f>IF(Tabela1[[#This Row],[STATUS_NEGOCIO]]="Enviar E-mail",1,"")</f>
        <v/>
      </c>
      <c r="U454" t="str">
        <f>TEXT(Tabela1[[#This Row],[DATA]],"dd/mm/aaaa")</f>
        <v>22/04/2026</v>
      </c>
    </row>
    <row r="455" spans="1:21" x14ac:dyDescent="0.25">
      <c r="A455" s="4">
        <v>46134.465370370373</v>
      </c>
      <c r="B455" s="5" t="s">
        <v>19</v>
      </c>
      <c r="C455" s="5" t="s">
        <v>27</v>
      </c>
      <c r="D455" s="5">
        <v>168</v>
      </c>
      <c r="E455" s="6">
        <v>11720659000139</v>
      </c>
      <c r="F455" s="5">
        <v>168</v>
      </c>
      <c r="G455" s="7">
        <v>177686700823351</v>
      </c>
      <c r="H455" s="5" t="s">
        <v>127</v>
      </c>
      <c r="I455" s="5">
        <v>3003</v>
      </c>
      <c r="J455" s="5" t="s">
        <v>22</v>
      </c>
      <c r="K455" s="5" t="s">
        <v>23</v>
      </c>
      <c r="L455" s="5" t="s">
        <v>219</v>
      </c>
      <c r="M455" s="5" t="s">
        <v>284</v>
      </c>
      <c r="N455" s="5" t="s">
        <v>26</v>
      </c>
      <c r="O455" s="5">
        <v>16</v>
      </c>
      <c r="P455" s="5"/>
      <c r="Q455" s="5"/>
      <c r="R455" s="8">
        <v>1.7361111111111112E-4</v>
      </c>
      <c r="S455" s="8">
        <v>1.3888888888888889E-4</v>
      </c>
      <c r="T455" t="str">
        <f>IF(Tabela1[[#This Row],[STATUS_NEGOCIO]]="Enviar E-mail",1,"")</f>
        <v/>
      </c>
      <c r="U455" t="str">
        <f>TEXT(Tabela1[[#This Row],[DATA]],"dd/mm/aaaa")</f>
        <v>22/04/2026</v>
      </c>
    </row>
    <row r="456" spans="1:21" x14ac:dyDescent="0.25">
      <c r="A456" s="4">
        <v>46134.465636574074</v>
      </c>
      <c r="B456" s="5" t="s">
        <v>19</v>
      </c>
      <c r="C456" s="5" t="s">
        <v>37</v>
      </c>
      <c r="D456" s="5">
        <v>169</v>
      </c>
      <c r="E456" s="6">
        <v>11750615000151</v>
      </c>
      <c r="F456" s="5">
        <v>169</v>
      </c>
      <c r="G456" s="7">
        <v>177686703123381</v>
      </c>
      <c r="H456" s="5" t="s">
        <v>176</v>
      </c>
      <c r="I456" s="5">
        <v>3003</v>
      </c>
      <c r="J456" s="5" t="s">
        <v>22</v>
      </c>
      <c r="K456" s="5" t="s">
        <v>23</v>
      </c>
      <c r="L456" s="5" t="s">
        <v>31</v>
      </c>
      <c r="M456" s="5" t="s">
        <v>284</v>
      </c>
      <c r="N456" s="5" t="s">
        <v>26</v>
      </c>
      <c r="O456" s="5">
        <v>131</v>
      </c>
      <c r="P456" s="5"/>
      <c r="Q456" s="5"/>
      <c r="R456" s="8">
        <v>6.9444444444444444E-5</v>
      </c>
      <c r="S456" s="5" t="s">
        <v>37</v>
      </c>
      <c r="T456" t="str">
        <f>IF(Tabela1[[#This Row],[STATUS_NEGOCIO]]="Enviar E-mail",1,"")</f>
        <v/>
      </c>
      <c r="U456" t="str">
        <f>TEXT(Tabela1[[#This Row],[DATA]],"dd/mm/aaaa")</f>
        <v>22/04/2026</v>
      </c>
    </row>
    <row r="457" spans="1:21" x14ac:dyDescent="0.25">
      <c r="A457" s="4">
        <v>46134.465891203705</v>
      </c>
      <c r="B457" s="5" t="s">
        <v>19</v>
      </c>
      <c r="C457" s="5" t="s">
        <v>37</v>
      </c>
      <c r="D457" s="5">
        <v>170</v>
      </c>
      <c r="E457" s="6">
        <v>12022419000123</v>
      </c>
      <c r="F457" s="5">
        <v>170</v>
      </c>
      <c r="G457" s="7">
        <v>177686705323421</v>
      </c>
      <c r="H457" s="5" t="s">
        <v>386</v>
      </c>
      <c r="I457" s="5">
        <v>3003</v>
      </c>
      <c r="J457" s="5" t="s">
        <v>22</v>
      </c>
      <c r="K457" s="5" t="s">
        <v>23</v>
      </c>
      <c r="L457" s="5" t="s">
        <v>31</v>
      </c>
      <c r="M457" s="5" t="s">
        <v>284</v>
      </c>
      <c r="N457" s="5" t="s">
        <v>53</v>
      </c>
      <c r="O457" s="5">
        <v>128</v>
      </c>
      <c r="P457" s="5"/>
      <c r="Q457" s="5"/>
      <c r="R457" s="8">
        <v>6.9444444444444444E-5</v>
      </c>
      <c r="S457" s="5" t="s">
        <v>37</v>
      </c>
      <c r="T457" t="str">
        <f>IF(Tabela1[[#This Row],[STATUS_NEGOCIO]]="Enviar E-mail",1,"")</f>
        <v/>
      </c>
      <c r="U457" t="str">
        <f>TEXT(Tabela1[[#This Row],[DATA]],"dd/mm/aaaa")</f>
        <v>22/04/2026</v>
      </c>
    </row>
    <row r="458" spans="1:21" x14ac:dyDescent="0.25">
      <c r="A458" s="4">
        <v>46134.466400462959</v>
      </c>
      <c r="B458" s="5" t="s">
        <v>19</v>
      </c>
      <c r="C458" s="5" t="s">
        <v>37</v>
      </c>
      <c r="D458" s="5">
        <v>171</v>
      </c>
      <c r="E458" s="6">
        <v>12072761000138</v>
      </c>
      <c r="F458" s="5">
        <v>171</v>
      </c>
      <c r="G458" s="7">
        <v>177686709723431</v>
      </c>
      <c r="H458" s="5" t="s">
        <v>131</v>
      </c>
      <c r="I458" s="5" t="s">
        <v>52</v>
      </c>
      <c r="J458" s="5" t="s">
        <v>22</v>
      </c>
      <c r="K458" s="5" t="s">
        <v>36</v>
      </c>
      <c r="L458" s="5" t="s">
        <v>36</v>
      </c>
      <c r="M458" s="5" t="s">
        <v>284</v>
      </c>
      <c r="N458" s="5" t="s">
        <v>53</v>
      </c>
      <c r="O458" s="5">
        <v>1</v>
      </c>
      <c r="P458" s="5"/>
      <c r="Q458" s="5"/>
      <c r="R458" s="8">
        <v>0</v>
      </c>
      <c r="S458" s="5" t="s">
        <v>37</v>
      </c>
      <c r="T458" t="str">
        <f>IF(Tabela1[[#This Row],[STATUS_NEGOCIO]]="Enviar E-mail",1,"")</f>
        <v/>
      </c>
      <c r="U458" t="str">
        <f>TEXT(Tabela1[[#This Row],[DATA]],"dd/mm/aaaa")</f>
        <v>22/04/2026</v>
      </c>
    </row>
    <row r="459" spans="1:21" x14ac:dyDescent="0.25">
      <c r="A459" s="4">
        <v>46134.466412037036</v>
      </c>
      <c r="B459" s="5" t="s">
        <v>19</v>
      </c>
      <c r="C459" s="5" t="s">
        <v>37</v>
      </c>
      <c r="D459" s="5">
        <v>172</v>
      </c>
      <c r="E459" s="6">
        <v>12098243000193</v>
      </c>
      <c r="F459" s="5">
        <v>172</v>
      </c>
      <c r="G459" s="7">
        <v>177686709823451</v>
      </c>
      <c r="H459" s="5" t="s">
        <v>387</v>
      </c>
      <c r="I459" s="5">
        <v>3003</v>
      </c>
      <c r="J459" s="5" t="s">
        <v>22</v>
      </c>
      <c r="K459" s="5" t="s">
        <v>23</v>
      </c>
      <c r="L459" s="5" t="s">
        <v>31</v>
      </c>
      <c r="M459" s="5" t="s">
        <v>284</v>
      </c>
      <c r="N459" s="5" t="s">
        <v>53</v>
      </c>
      <c r="O459" s="5">
        <v>128</v>
      </c>
      <c r="P459" s="5"/>
      <c r="Q459" s="5"/>
      <c r="R459" s="8">
        <v>8.1018518518518516E-5</v>
      </c>
      <c r="S459" s="5" t="s">
        <v>37</v>
      </c>
      <c r="T459" t="str">
        <f>IF(Tabela1[[#This Row],[STATUS_NEGOCIO]]="Enviar E-mail",1,"")</f>
        <v/>
      </c>
      <c r="U459" t="str">
        <f>TEXT(Tabela1[[#This Row],[DATA]],"dd/mm/aaaa")</f>
        <v>22/04/2026</v>
      </c>
    </row>
    <row r="460" spans="1:21" x14ac:dyDescent="0.25">
      <c r="A460" s="4">
        <v>46134.466782407406</v>
      </c>
      <c r="B460" s="5" t="s">
        <v>19</v>
      </c>
      <c r="C460" s="5" t="s">
        <v>37</v>
      </c>
      <c r="D460" s="5">
        <v>173</v>
      </c>
      <c r="E460" s="6">
        <v>12266091000190</v>
      </c>
      <c r="F460" s="5">
        <v>173</v>
      </c>
      <c r="G460" s="7">
        <v>177686713023461</v>
      </c>
      <c r="H460" s="5" t="s">
        <v>144</v>
      </c>
      <c r="I460" s="5">
        <v>3003</v>
      </c>
      <c r="J460" s="5" t="s">
        <v>22</v>
      </c>
      <c r="K460" s="5" t="s">
        <v>23</v>
      </c>
      <c r="L460" s="5" t="s">
        <v>31</v>
      </c>
      <c r="M460" s="5" t="s">
        <v>284</v>
      </c>
      <c r="N460" s="5" t="s">
        <v>53</v>
      </c>
      <c r="O460" s="5">
        <v>147</v>
      </c>
      <c r="P460" s="5"/>
      <c r="Q460" s="5"/>
      <c r="R460" s="8">
        <v>8.1018518518518516E-5</v>
      </c>
      <c r="S460" s="5" t="s">
        <v>37</v>
      </c>
      <c r="T460" t="str">
        <f>IF(Tabela1[[#This Row],[STATUS_NEGOCIO]]="Enviar E-mail",1,"")</f>
        <v/>
      </c>
      <c r="U460" t="str">
        <f>TEXT(Tabela1[[#This Row],[DATA]],"dd/mm/aaaa")</f>
        <v>22/04/2026</v>
      </c>
    </row>
    <row r="461" spans="1:21" x14ac:dyDescent="0.25">
      <c r="A461" s="4">
        <v>46134.467129629629</v>
      </c>
      <c r="B461" s="5" t="s">
        <v>19</v>
      </c>
      <c r="C461" s="5" t="s">
        <v>37</v>
      </c>
      <c r="D461" s="5">
        <v>174</v>
      </c>
      <c r="E461" s="6">
        <v>12284895000112</v>
      </c>
      <c r="F461" s="5">
        <v>174</v>
      </c>
      <c r="G461" s="7">
        <v>177686716023511</v>
      </c>
      <c r="H461" s="5" t="s">
        <v>388</v>
      </c>
      <c r="I461" s="5">
        <v>3003</v>
      </c>
      <c r="J461" s="5" t="s">
        <v>22</v>
      </c>
      <c r="K461" s="5" t="s">
        <v>23</v>
      </c>
      <c r="L461" s="5" t="s">
        <v>31</v>
      </c>
      <c r="M461" s="5" t="s">
        <v>284</v>
      </c>
      <c r="N461" s="5" t="s">
        <v>53</v>
      </c>
      <c r="O461" s="5">
        <v>147</v>
      </c>
      <c r="P461" s="5"/>
      <c r="Q461" s="5"/>
      <c r="R461" s="8">
        <v>8.1018518518518516E-5</v>
      </c>
      <c r="S461" s="5" t="s">
        <v>37</v>
      </c>
      <c r="T461" t="str">
        <f>IF(Tabela1[[#This Row],[STATUS_NEGOCIO]]="Enviar E-mail",1,"")</f>
        <v/>
      </c>
      <c r="U461" t="str">
        <f>TEXT(Tabela1[[#This Row],[DATA]],"dd/mm/aaaa")</f>
        <v>22/04/2026</v>
      </c>
    </row>
    <row r="462" spans="1:21" x14ac:dyDescent="0.25">
      <c r="A462" s="4">
        <v>46134.467662037037</v>
      </c>
      <c r="B462" s="5" t="s">
        <v>19</v>
      </c>
      <c r="C462" s="5" t="s">
        <v>37</v>
      </c>
      <c r="D462" s="5">
        <v>175</v>
      </c>
      <c r="E462" s="6">
        <v>12573708000110</v>
      </c>
      <c r="F462" s="5">
        <v>175</v>
      </c>
      <c r="G462" s="7">
        <v>177686720623561</v>
      </c>
      <c r="H462" s="5" t="s">
        <v>389</v>
      </c>
      <c r="I462" s="5">
        <v>3003</v>
      </c>
      <c r="J462" s="5" t="s">
        <v>22</v>
      </c>
      <c r="K462" s="5" t="s">
        <v>23</v>
      </c>
      <c r="L462" s="5" t="s">
        <v>31</v>
      </c>
      <c r="M462" s="5" t="s">
        <v>284</v>
      </c>
      <c r="N462" s="5" t="s">
        <v>53</v>
      </c>
      <c r="O462" s="5">
        <v>128</v>
      </c>
      <c r="P462" s="5"/>
      <c r="Q462" s="5"/>
      <c r="R462" s="8">
        <v>8.1018518518518516E-5</v>
      </c>
      <c r="S462" s="5" t="s">
        <v>37</v>
      </c>
      <c r="T462" t="str">
        <f>IF(Tabela1[[#This Row],[STATUS_NEGOCIO]]="Enviar E-mail",1,"")</f>
        <v/>
      </c>
      <c r="U462" t="str">
        <f>TEXT(Tabela1[[#This Row],[DATA]],"dd/mm/aaaa")</f>
        <v>22/04/2026</v>
      </c>
    </row>
    <row r="463" spans="1:21" x14ac:dyDescent="0.25">
      <c r="A463" s="4">
        <v>46134.468935185185</v>
      </c>
      <c r="B463" s="5" t="s">
        <v>19</v>
      </c>
      <c r="C463" s="5" t="s">
        <v>37</v>
      </c>
      <c r="D463" s="5">
        <v>176</v>
      </c>
      <c r="E463" s="6">
        <v>12584713000129</v>
      </c>
      <c r="F463" s="5">
        <v>176</v>
      </c>
      <c r="G463" s="7">
        <v>177686731623791</v>
      </c>
      <c r="H463" s="5" t="s">
        <v>390</v>
      </c>
      <c r="I463" s="5">
        <v>3003</v>
      </c>
      <c r="J463" s="5" t="s">
        <v>22</v>
      </c>
      <c r="K463" s="5" t="s">
        <v>23</v>
      </c>
      <c r="L463" s="5" t="s">
        <v>31</v>
      </c>
      <c r="M463" s="5" t="s">
        <v>284</v>
      </c>
      <c r="N463" s="5" t="s">
        <v>53</v>
      </c>
      <c r="O463" s="5">
        <v>128</v>
      </c>
      <c r="P463" s="5"/>
      <c r="Q463" s="5"/>
      <c r="R463" s="8">
        <v>8.1018518518518516E-5</v>
      </c>
      <c r="S463" s="5" t="s">
        <v>37</v>
      </c>
      <c r="T463" t="str">
        <f>IF(Tabela1[[#This Row],[STATUS_NEGOCIO]]="Enviar E-mail",1,"")</f>
        <v/>
      </c>
      <c r="U463" t="str">
        <f>TEXT(Tabela1[[#This Row],[DATA]],"dd/mm/aaaa")</f>
        <v>22/04/2026</v>
      </c>
    </row>
    <row r="464" spans="1:21" x14ac:dyDescent="0.25">
      <c r="A464" s="4">
        <v>46134.469293981485</v>
      </c>
      <c r="B464" s="5" t="s">
        <v>19</v>
      </c>
      <c r="C464" s="5" t="s">
        <v>37</v>
      </c>
      <c r="D464" s="5">
        <v>177</v>
      </c>
      <c r="E464" s="6">
        <v>12710766000149</v>
      </c>
      <c r="F464" s="5">
        <v>177</v>
      </c>
      <c r="G464" s="7">
        <v>177686734723901</v>
      </c>
      <c r="H464" s="5" t="s">
        <v>181</v>
      </c>
      <c r="I464" s="5">
        <v>3003</v>
      </c>
      <c r="J464" s="5" t="s">
        <v>22</v>
      </c>
      <c r="K464" s="5" t="s">
        <v>23</v>
      </c>
      <c r="L464" s="5" t="s">
        <v>31</v>
      </c>
      <c r="M464" s="5" t="s">
        <v>284</v>
      </c>
      <c r="N464" s="5" t="s">
        <v>53</v>
      </c>
      <c r="O464" s="5">
        <v>128</v>
      </c>
      <c r="P464" s="5"/>
      <c r="Q464" s="5"/>
      <c r="R464" s="8">
        <v>8.1018518518518516E-5</v>
      </c>
      <c r="S464" s="5" t="s">
        <v>37</v>
      </c>
      <c r="T464" t="str">
        <f>IF(Tabela1[[#This Row],[STATUS_NEGOCIO]]="Enviar E-mail",1,"")</f>
        <v/>
      </c>
      <c r="U464" t="str">
        <f>TEXT(Tabela1[[#This Row],[DATA]],"dd/mm/aaaa")</f>
        <v>22/04/2026</v>
      </c>
    </row>
    <row r="465" spans="1:21" x14ac:dyDescent="0.25">
      <c r="A465" s="4">
        <v>46134.470069444447</v>
      </c>
      <c r="B465" s="5" t="s">
        <v>19</v>
      </c>
      <c r="C465" s="5" t="s">
        <v>37</v>
      </c>
      <c r="D465" s="5">
        <v>178</v>
      </c>
      <c r="E465" s="6">
        <v>12959066000192</v>
      </c>
      <c r="F465" s="5">
        <v>178</v>
      </c>
      <c r="G465" s="7">
        <v>177686741424081</v>
      </c>
      <c r="H465" s="5" t="s">
        <v>391</v>
      </c>
      <c r="I465" s="5">
        <v>3003</v>
      </c>
      <c r="J465" s="5" t="s">
        <v>22</v>
      </c>
      <c r="K465" s="5" t="s">
        <v>23</v>
      </c>
      <c r="L465" s="5" t="s">
        <v>31</v>
      </c>
      <c r="M465" s="5" t="s">
        <v>284</v>
      </c>
      <c r="N465" s="5" t="s">
        <v>53</v>
      </c>
      <c r="O465" s="5">
        <v>128</v>
      </c>
      <c r="P465" s="5"/>
      <c r="Q465" s="5"/>
      <c r="R465" s="8">
        <v>6.9444444444444444E-5</v>
      </c>
      <c r="S465" s="5" t="s">
        <v>37</v>
      </c>
      <c r="T465" t="str">
        <f>IF(Tabela1[[#This Row],[STATUS_NEGOCIO]]="Enviar E-mail",1,"")</f>
        <v/>
      </c>
      <c r="U465" t="str">
        <f>TEXT(Tabela1[[#This Row],[DATA]],"dd/mm/aaaa")</f>
        <v>22/04/2026</v>
      </c>
    </row>
    <row r="466" spans="1:21" x14ac:dyDescent="0.25">
      <c r="A466" s="4">
        <v>46134.470590277779</v>
      </c>
      <c r="B466" s="5" t="s">
        <v>19</v>
      </c>
      <c r="C466" s="5" t="s">
        <v>37</v>
      </c>
      <c r="D466" s="5">
        <v>179</v>
      </c>
      <c r="E466" s="6">
        <v>12995318000139</v>
      </c>
      <c r="F466" s="5">
        <v>179</v>
      </c>
      <c r="G466" s="7">
        <v>177686745924161</v>
      </c>
      <c r="H466" s="5" t="s">
        <v>392</v>
      </c>
      <c r="I466" s="5" t="s">
        <v>52</v>
      </c>
      <c r="J466" s="5" t="s">
        <v>22</v>
      </c>
      <c r="K466" s="5" t="s">
        <v>36</v>
      </c>
      <c r="L466" s="5" t="s">
        <v>36</v>
      </c>
      <c r="M466" s="5" t="s">
        <v>284</v>
      </c>
      <c r="N466" s="5" t="s">
        <v>53</v>
      </c>
      <c r="O466" s="5">
        <v>21</v>
      </c>
      <c r="P466" s="5"/>
      <c r="Q466" s="5"/>
      <c r="R466" s="8">
        <v>0</v>
      </c>
      <c r="S466" s="5" t="s">
        <v>37</v>
      </c>
      <c r="T466" t="str">
        <f>IF(Tabela1[[#This Row],[STATUS_NEGOCIO]]="Enviar E-mail",1,"")</f>
        <v/>
      </c>
      <c r="U466" t="str">
        <f>TEXT(Tabela1[[#This Row],[DATA]],"dd/mm/aaaa")</f>
        <v>22/04/2026</v>
      </c>
    </row>
    <row r="467" spans="1:21" x14ac:dyDescent="0.25">
      <c r="A467" s="4">
        <v>46134.470972222225</v>
      </c>
      <c r="B467" s="5" t="s">
        <v>19</v>
      </c>
      <c r="C467" s="5" t="s">
        <v>37</v>
      </c>
      <c r="D467" s="5">
        <v>180</v>
      </c>
      <c r="E467" s="6">
        <v>13065020000192</v>
      </c>
      <c r="F467" s="5">
        <v>180</v>
      </c>
      <c r="G467" s="7">
        <v>177686749224221</v>
      </c>
      <c r="H467" s="5" t="s">
        <v>393</v>
      </c>
      <c r="I467" s="5">
        <v>3003</v>
      </c>
      <c r="J467" s="5" t="s">
        <v>22</v>
      </c>
      <c r="K467" s="5" t="s">
        <v>23</v>
      </c>
      <c r="L467" s="5" t="s">
        <v>31</v>
      </c>
      <c r="M467" s="5" t="s">
        <v>284</v>
      </c>
      <c r="N467" s="5" t="s">
        <v>26</v>
      </c>
      <c r="O467" s="5">
        <v>131</v>
      </c>
      <c r="P467" s="5"/>
      <c r="Q467" s="5"/>
      <c r="R467" s="8">
        <v>6.9444444444444444E-5</v>
      </c>
      <c r="S467" s="5" t="s">
        <v>37</v>
      </c>
      <c r="T467" t="str">
        <f>IF(Tabela1[[#This Row],[STATUS_NEGOCIO]]="Enviar E-mail",1,"")</f>
        <v/>
      </c>
      <c r="U467" t="str">
        <f>TEXT(Tabela1[[#This Row],[DATA]],"dd/mm/aaaa")</f>
        <v>22/04/2026</v>
      </c>
    </row>
    <row r="468" spans="1:21" x14ac:dyDescent="0.25">
      <c r="A468" s="4">
        <v>46134.47115740741</v>
      </c>
      <c r="B468" s="5" t="s">
        <v>19</v>
      </c>
      <c r="C468" s="5" t="s">
        <v>37</v>
      </c>
      <c r="D468" s="5">
        <v>181</v>
      </c>
      <c r="E468" s="6">
        <v>13262186000107</v>
      </c>
      <c r="F468" s="5">
        <v>181</v>
      </c>
      <c r="G468" s="7">
        <v>177686750824301</v>
      </c>
      <c r="H468" s="5" t="s">
        <v>394</v>
      </c>
      <c r="I468" s="5">
        <v>3003</v>
      </c>
      <c r="J468" s="5" t="s">
        <v>22</v>
      </c>
      <c r="K468" s="5" t="s">
        <v>23</v>
      </c>
      <c r="L468" s="5" t="s">
        <v>31</v>
      </c>
      <c r="M468" s="5" t="s">
        <v>284</v>
      </c>
      <c r="N468" s="5" t="s">
        <v>53</v>
      </c>
      <c r="O468" s="5">
        <v>128</v>
      </c>
      <c r="P468" s="5"/>
      <c r="Q468" s="5"/>
      <c r="R468" s="8">
        <v>6.9444444444444444E-5</v>
      </c>
      <c r="S468" s="5" t="s">
        <v>37</v>
      </c>
      <c r="T468" t="str">
        <f>IF(Tabela1[[#This Row],[STATUS_NEGOCIO]]="Enviar E-mail",1,"")</f>
        <v/>
      </c>
      <c r="U468" t="str">
        <f>TEXT(Tabela1[[#This Row],[DATA]],"dd/mm/aaaa")</f>
        <v>22/04/2026</v>
      </c>
    </row>
    <row r="469" spans="1:21" x14ac:dyDescent="0.25">
      <c r="A469" s="4">
        <v>46134.471307870372</v>
      </c>
      <c r="B469" s="5" t="s">
        <v>19</v>
      </c>
      <c r="C469" s="5" t="s">
        <v>37</v>
      </c>
      <c r="D469" s="5">
        <v>182</v>
      </c>
      <c r="E469" s="6">
        <v>13265421000196</v>
      </c>
      <c r="F469" s="5">
        <v>182</v>
      </c>
      <c r="G469" s="7">
        <v>177686752124381</v>
      </c>
      <c r="H469" s="5" t="s">
        <v>395</v>
      </c>
      <c r="I469" s="5">
        <v>3003</v>
      </c>
      <c r="J469" s="5" t="s">
        <v>22</v>
      </c>
      <c r="K469" s="5" t="s">
        <v>23</v>
      </c>
      <c r="L469" s="5" t="s">
        <v>31</v>
      </c>
      <c r="M469" s="5" t="s">
        <v>284</v>
      </c>
      <c r="N469" s="5" t="s">
        <v>53</v>
      </c>
      <c r="O469" s="5">
        <v>128</v>
      </c>
      <c r="P469" s="5"/>
      <c r="Q469" s="5"/>
      <c r="R469" s="8">
        <v>8.1018518518518516E-5</v>
      </c>
      <c r="S469" s="5" t="s">
        <v>37</v>
      </c>
      <c r="T469" t="str">
        <f>IF(Tabela1[[#This Row],[STATUS_NEGOCIO]]="Enviar E-mail",1,"")</f>
        <v/>
      </c>
      <c r="U469" t="str">
        <f>TEXT(Tabela1[[#This Row],[DATA]],"dd/mm/aaaa")</f>
        <v>22/04/2026</v>
      </c>
    </row>
    <row r="470" spans="1:21" x14ac:dyDescent="0.25">
      <c r="A470" s="4">
        <v>46134.471504629626</v>
      </c>
      <c r="B470" s="5" t="s">
        <v>19</v>
      </c>
      <c r="C470" s="5" t="s">
        <v>37</v>
      </c>
      <c r="D470" s="5">
        <v>183</v>
      </c>
      <c r="E470" s="6">
        <v>13385694000174</v>
      </c>
      <c r="F470" s="5">
        <v>183</v>
      </c>
      <c r="G470" s="7">
        <v>177686753824411</v>
      </c>
      <c r="H470" s="5" t="s">
        <v>396</v>
      </c>
      <c r="I470" s="5">
        <v>3003</v>
      </c>
      <c r="J470" s="5" t="s">
        <v>22</v>
      </c>
      <c r="K470" s="5" t="s">
        <v>23</v>
      </c>
      <c r="L470" s="5" t="s">
        <v>31</v>
      </c>
      <c r="M470" s="5" t="s">
        <v>284</v>
      </c>
      <c r="N470" s="5" t="s">
        <v>53</v>
      </c>
      <c r="O470" s="5">
        <v>128</v>
      </c>
      <c r="P470" s="5"/>
      <c r="Q470" s="5"/>
      <c r="R470" s="8">
        <v>6.9444444444444444E-5</v>
      </c>
      <c r="S470" s="5" t="s">
        <v>37</v>
      </c>
      <c r="T470" t="str">
        <f>IF(Tabela1[[#This Row],[STATUS_NEGOCIO]]="Enviar E-mail",1,"")</f>
        <v/>
      </c>
      <c r="U470" t="str">
        <f>TEXT(Tabela1[[#This Row],[DATA]],"dd/mm/aaaa")</f>
        <v>22/04/2026</v>
      </c>
    </row>
    <row r="471" spans="1:21" x14ac:dyDescent="0.25">
      <c r="A471" s="4">
        <v>46134.472002314818</v>
      </c>
      <c r="B471" s="5" t="s">
        <v>19</v>
      </c>
      <c r="C471" s="5" t="s">
        <v>37</v>
      </c>
      <c r="D471" s="5">
        <v>184</v>
      </c>
      <c r="E471" s="6">
        <v>13410313000160</v>
      </c>
      <c r="F471" s="5">
        <v>184</v>
      </c>
      <c r="G471" s="7">
        <v>177686758124561</v>
      </c>
      <c r="H471" s="5" t="s">
        <v>397</v>
      </c>
      <c r="I471" s="5" t="s">
        <v>52</v>
      </c>
      <c r="J471" s="5" t="s">
        <v>22</v>
      </c>
      <c r="K471" s="5" t="s">
        <v>36</v>
      </c>
      <c r="L471" s="5" t="s">
        <v>36</v>
      </c>
      <c r="M471" s="5" t="s">
        <v>284</v>
      </c>
      <c r="N471" s="5" t="s">
        <v>53</v>
      </c>
      <c r="O471" s="5">
        <v>19</v>
      </c>
      <c r="P471" s="5"/>
      <c r="Q471" s="5"/>
      <c r="R471" s="8">
        <v>0</v>
      </c>
      <c r="S471" s="5" t="s">
        <v>37</v>
      </c>
      <c r="T471" t="str">
        <f>IF(Tabela1[[#This Row],[STATUS_NEGOCIO]]="Enviar E-mail",1,"")</f>
        <v/>
      </c>
      <c r="U471" t="str">
        <f>TEXT(Tabela1[[#This Row],[DATA]],"dd/mm/aaaa")</f>
        <v>22/04/2026</v>
      </c>
    </row>
    <row r="472" spans="1:21" x14ac:dyDescent="0.25">
      <c r="A472" s="4">
        <v>46134.472546296296</v>
      </c>
      <c r="B472" s="5" t="s">
        <v>19</v>
      </c>
      <c r="C472" s="5" t="s">
        <v>27</v>
      </c>
      <c r="D472" s="5">
        <v>185</v>
      </c>
      <c r="E472" s="6">
        <v>13445409000163</v>
      </c>
      <c r="F472" s="5">
        <v>185</v>
      </c>
      <c r="G472" s="7">
        <v>177686762824641</v>
      </c>
      <c r="H472" s="5" t="s">
        <v>398</v>
      </c>
      <c r="I472" s="5">
        <v>3003</v>
      </c>
      <c r="J472" s="5" t="s">
        <v>22</v>
      </c>
      <c r="K472" s="5" t="s">
        <v>23</v>
      </c>
      <c r="L472" s="5" t="s">
        <v>40</v>
      </c>
      <c r="M472" s="5" t="s">
        <v>284</v>
      </c>
      <c r="N472" s="5" t="s">
        <v>26</v>
      </c>
      <c r="O472" s="5">
        <v>16</v>
      </c>
      <c r="P472" s="5"/>
      <c r="Q472" s="5"/>
      <c r="R472" s="8">
        <v>2.1759259259259258E-3</v>
      </c>
      <c r="S472" s="8">
        <v>2.1064814814814813E-3</v>
      </c>
      <c r="T472">
        <f>IF(Tabela1[[#This Row],[STATUS_NEGOCIO]]="Enviar E-mail",1,"")</f>
        <v>1</v>
      </c>
      <c r="U472" t="str">
        <f>TEXT(Tabela1[[#This Row],[DATA]],"dd/mm/aaaa")</f>
        <v>22/04/2026</v>
      </c>
    </row>
    <row r="473" spans="1:21" x14ac:dyDescent="0.25">
      <c r="A473" s="4">
        <v>46134.474930555552</v>
      </c>
      <c r="B473" s="5" t="s">
        <v>19</v>
      </c>
      <c r="C473" s="5" t="s">
        <v>20</v>
      </c>
      <c r="D473" s="5">
        <v>186</v>
      </c>
      <c r="E473" s="6">
        <v>13449967000105</v>
      </c>
      <c r="F473" s="5">
        <v>186</v>
      </c>
      <c r="G473" s="7">
        <v>177686783425001</v>
      </c>
      <c r="H473" s="5" t="s">
        <v>157</v>
      </c>
      <c r="I473" s="5">
        <v>3003</v>
      </c>
      <c r="J473" s="5" t="s">
        <v>22</v>
      </c>
      <c r="K473" s="5" t="s">
        <v>23</v>
      </c>
      <c r="L473" s="5" t="s">
        <v>152</v>
      </c>
      <c r="M473" s="5" t="s">
        <v>284</v>
      </c>
      <c r="N473" s="5" t="s">
        <v>26</v>
      </c>
      <c r="O473" s="5">
        <v>16</v>
      </c>
      <c r="P473" s="5"/>
      <c r="Q473" s="5"/>
      <c r="R473" s="8">
        <v>8.564814814814815E-4</v>
      </c>
      <c r="S473" s="8">
        <v>8.2175925925925927E-4</v>
      </c>
      <c r="T473" t="str">
        <f>IF(Tabela1[[#This Row],[STATUS_NEGOCIO]]="Enviar E-mail",1,"")</f>
        <v/>
      </c>
      <c r="U473" t="str">
        <f>TEXT(Tabela1[[#This Row],[DATA]],"dd/mm/aaaa")</f>
        <v>22/04/2026</v>
      </c>
    </row>
    <row r="474" spans="1:21" x14ac:dyDescent="0.25">
      <c r="A474" s="4">
        <v>46134.475914351853</v>
      </c>
      <c r="B474" s="5" t="s">
        <v>19</v>
      </c>
      <c r="C474" s="5" t="s">
        <v>37</v>
      </c>
      <c r="D474" s="5">
        <v>187</v>
      </c>
      <c r="E474" s="6">
        <v>13464960000154</v>
      </c>
      <c r="F474" s="5">
        <v>187</v>
      </c>
      <c r="G474" s="7">
        <v>177686791925171</v>
      </c>
      <c r="H474" s="5" t="s">
        <v>399</v>
      </c>
      <c r="I474" s="5">
        <v>3003</v>
      </c>
      <c r="J474" s="5" t="s">
        <v>22</v>
      </c>
      <c r="K474" s="5" t="s">
        <v>23</v>
      </c>
      <c r="L474" s="5" t="s">
        <v>31</v>
      </c>
      <c r="M474" s="5" t="s">
        <v>284</v>
      </c>
      <c r="N474" s="5" t="s">
        <v>53</v>
      </c>
      <c r="O474" s="5">
        <v>128</v>
      </c>
      <c r="P474" s="5"/>
      <c r="Q474" s="5"/>
      <c r="R474" s="8">
        <v>8.1018518518518516E-5</v>
      </c>
      <c r="S474" s="5" t="s">
        <v>37</v>
      </c>
      <c r="T474" t="str">
        <f>IF(Tabela1[[#This Row],[STATUS_NEGOCIO]]="Enviar E-mail",1,"")</f>
        <v/>
      </c>
      <c r="U474" t="str">
        <f>TEXT(Tabela1[[#This Row],[DATA]],"dd/mm/aaaa")</f>
        <v>22/04/2026</v>
      </c>
    </row>
    <row r="475" spans="1:21" x14ac:dyDescent="0.25">
      <c r="A475" s="4">
        <v>46134.476122685184</v>
      </c>
      <c r="B475" s="5" t="s">
        <v>19</v>
      </c>
      <c r="C475" s="5" t="s">
        <v>37</v>
      </c>
      <c r="D475" s="5">
        <v>188</v>
      </c>
      <c r="E475" s="6">
        <v>13495794000153</v>
      </c>
      <c r="F475" s="5">
        <v>188</v>
      </c>
      <c r="G475" s="7">
        <v>177686793725251</v>
      </c>
      <c r="H475" s="5" t="s">
        <v>154</v>
      </c>
      <c r="I475" s="5" t="s">
        <v>52</v>
      </c>
      <c r="J475" s="5" t="s">
        <v>22</v>
      </c>
      <c r="K475" s="5" t="s">
        <v>36</v>
      </c>
      <c r="L475" s="5" t="s">
        <v>36</v>
      </c>
      <c r="M475" s="5" t="s">
        <v>284</v>
      </c>
      <c r="N475" s="5" t="s">
        <v>53</v>
      </c>
      <c r="O475" s="5">
        <v>19</v>
      </c>
      <c r="P475" s="5"/>
      <c r="Q475" s="5"/>
      <c r="R475" s="8">
        <v>0</v>
      </c>
      <c r="S475" s="5" t="s">
        <v>37</v>
      </c>
      <c r="T475" t="str">
        <f>IF(Tabela1[[#This Row],[STATUS_NEGOCIO]]="Enviar E-mail",1,"")</f>
        <v/>
      </c>
      <c r="U475" t="str">
        <f>TEXT(Tabela1[[#This Row],[DATA]],"dd/mm/aaaa")</f>
        <v>22/04/2026</v>
      </c>
    </row>
    <row r="476" spans="1:21" x14ac:dyDescent="0.25">
      <c r="A476" s="4">
        <v>46134.476678240739</v>
      </c>
      <c r="B476" s="5" t="s">
        <v>19</v>
      </c>
      <c r="C476" s="5" t="s">
        <v>27</v>
      </c>
      <c r="D476" s="5">
        <v>189</v>
      </c>
      <c r="E476" s="6">
        <v>13721695000142</v>
      </c>
      <c r="F476" s="5">
        <v>189</v>
      </c>
      <c r="G476" s="7">
        <v>177686798525341</v>
      </c>
      <c r="H476" s="5" t="s">
        <v>400</v>
      </c>
      <c r="I476" s="5">
        <v>3003</v>
      </c>
      <c r="J476" s="5" t="s">
        <v>22</v>
      </c>
      <c r="K476" s="5" t="s">
        <v>23</v>
      </c>
      <c r="L476" s="5" t="s">
        <v>265</v>
      </c>
      <c r="M476" s="5" t="s">
        <v>284</v>
      </c>
      <c r="N476" s="5" t="s">
        <v>26</v>
      </c>
      <c r="O476" s="5">
        <v>16</v>
      </c>
      <c r="P476" s="5"/>
      <c r="Q476" s="5"/>
      <c r="R476" s="8">
        <v>4.6296296296296294E-5</v>
      </c>
      <c r="S476" s="5" t="s">
        <v>37</v>
      </c>
      <c r="T476" t="str">
        <f>IF(Tabela1[[#This Row],[STATUS_NEGOCIO]]="Enviar E-mail",1,"")</f>
        <v/>
      </c>
      <c r="U476" t="str">
        <f>TEXT(Tabela1[[#This Row],[DATA]],"dd/mm/aaaa")</f>
        <v>22/04/2026</v>
      </c>
    </row>
    <row r="477" spans="1:21" x14ac:dyDescent="0.25">
      <c r="A477" s="4">
        <v>46134.476967592593</v>
      </c>
      <c r="B477" s="5" t="s">
        <v>19</v>
      </c>
      <c r="C477" s="5" t="s">
        <v>37</v>
      </c>
      <c r="D477" s="5">
        <v>190</v>
      </c>
      <c r="E477" s="6">
        <v>13744177000144</v>
      </c>
      <c r="F477" s="5">
        <v>190</v>
      </c>
      <c r="G477" s="7">
        <v>177686801025401</v>
      </c>
      <c r="H477" s="5" t="s">
        <v>401</v>
      </c>
      <c r="I477" s="5">
        <v>3003</v>
      </c>
      <c r="J477" s="5" t="s">
        <v>22</v>
      </c>
      <c r="K477" s="5" t="s">
        <v>23</v>
      </c>
      <c r="L477" s="5" t="s">
        <v>31</v>
      </c>
      <c r="M477" s="5" t="s">
        <v>284</v>
      </c>
      <c r="N477" s="5" t="s">
        <v>53</v>
      </c>
      <c r="O477" s="5">
        <v>128</v>
      </c>
      <c r="P477" s="5"/>
      <c r="Q477" s="5"/>
      <c r="R477" s="8">
        <v>8.1018518518518516E-5</v>
      </c>
      <c r="S477" s="5" t="s">
        <v>37</v>
      </c>
      <c r="T477" t="str">
        <f>IF(Tabela1[[#This Row],[STATUS_NEGOCIO]]="Enviar E-mail",1,"")</f>
        <v/>
      </c>
      <c r="U477" t="str">
        <f>TEXT(Tabela1[[#This Row],[DATA]],"dd/mm/aaaa")</f>
        <v>22/04/2026</v>
      </c>
    </row>
    <row r="478" spans="1:21" x14ac:dyDescent="0.25">
      <c r="A478" s="4">
        <v>46134.477141203701</v>
      </c>
      <c r="B478" s="5" t="s">
        <v>19</v>
      </c>
      <c r="C478" s="5" t="s">
        <v>20</v>
      </c>
      <c r="D478" s="5">
        <v>191</v>
      </c>
      <c r="E478" s="6">
        <v>14002941000179</v>
      </c>
      <c r="F478" s="5">
        <v>191</v>
      </c>
      <c r="G478" s="7">
        <v>177686802525561</v>
      </c>
      <c r="H478" s="5" t="s">
        <v>46</v>
      </c>
      <c r="I478" s="5">
        <v>3003</v>
      </c>
      <c r="J478" s="5" t="s">
        <v>22</v>
      </c>
      <c r="K478" s="5" t="s">
        <v>23</v>
      </c>
      <c r="L478" s="5" t="s">
        <v>40</v>
      </c>
      <c r="M478" s="5" t="s">
        <v>284</v>
      </c>
      <c r="N478" s="5" t="s">
        <v>32</v>
      </c>
      <c r="O478" s="5">
        <v>16</v>
      </c>
      <c r="P478" s="5"/>
      <c r="Q478" s="5"/>
      <c r="R478" s="8">
        <v>2.5000000000000001E-3</v>
      </c>
      <c r="S478" s="8">
        <v>2.4305555555555556E-3</v>
      </c>
      <c r="T478">
        <f>IF(Tabela1[[#This Row],[STATUS_NEGOCIO]]="Enviar E-mail",1,"")</f>
        <v>1</v>
      </c>
      <c r="U478" t="str">
        <f>TEXT(Tabela1[[#This Row],[DATA]],"dd/mm/aaaa")</f>
        <v>22/04/2026</v>
      </c>
    </row>
    <row r="479" spans="1:21" x14ac:dyDescent="0.25">
      <c r="A479" s="4">
        <v>46134.482442129629</v>
      </c>
      <c r="B479" s="5" t="s">
        <v>19</v>
      </c>
      <c r="C479" s="5" t="s">
        <v>37</v>
      </c>
      <c r="D479" s="5">
        <v>192</v>
      </c>
      <c r="E479" s="6">
        <v>14059527000104</v>
      </c>
      <c r="F479" s="5">
        <v>192</v>
      </c>
      <c r="G479" s="7">
        <v>177686848326291</v>
      </c>
      <c r="H479" s="5" t="s">
        <v>402</v>
      </c>
      <c r="I479" s="5">
        <v>3003</v>
      </c>
      <c r="J479" s="5" t="s">
        <v>22</v>
      </c>
      <c r="K479" s="5" t="s">
        <v>23</v>
      </c>
      <c r="L479" s="5" t="s">
        <v>31</v>
      </c>
      <c r="M479" s="5" t="s">
        <v>284</v>
      </c>
      <c r="N479" s="5" t="s">
        <v>53</v>
      </c>
      <c r="O479" s="5">
        <v>128</v>
      </c>
      <c r="P479" s="5"/>
      <c r="Q479" s="5"/>
      <c r="R479" s="8">
        <v>8.1018518518518516E-5</v>
      </c>
      <c r="S479" s="5" t="s">
        <v>37</v>
      </c>
      <c r="T479" t="str">
        <f>IF(Tabela1[[#This Row],[STATUS_NEGOCIO]]="Enviar E-mail",1,"")</f>
        <v/>
      </c>
      <c r="U479" t="str">
        <f>TEXT(Tabela1[[#This Row],[DATA]],"dd/mm/aaaa")</f>
        <v>22/04/2026</v>
      </c>
    </row>
    <row r="480" spans="1:21" x14ac:dyDescent="0.25">
      <c r="A480" s="4">
        <v>46134.482766203706</v>
      </c>
      <c r="B480" s="5" t="s">
        <v>19</v>
      </c>
      <c r="C480" s="5" t="s">
        <v>37</v>
      </c>
      <c r="D480" s="5">
        <v>193</v>
      </c>
      <c r="E480" s="6">
        <v>14370573000111</v>
      </c>
      <c r="F480" s="5">
        <v>193</v>
      </c>
      <c r="G480" s="7">
        <v>177686851126321</v>
      </c>
      <c r="H480" s="5" t="s">
        <v>86</v>
      </c>
      <c r="I480" s="5" t="s">
        <v>52</v>
      </c>
      <c r="J480" s="5" t="s">
        <v>22</v>
      </c>
      <c r="K480" s="5" t="s">
        <v>36</v>
      </c>
      <c r="L480" s="5" t="s">
        <v>36</v>
      </c>
      <c r="M480" s="5" t="s">
        <v>284</v>
      </c>
      <c r="N480" s="5" t="s">
        <v>53</v>
      </c>
      <c r="O480" s="5">
        <v>1</v>
      </c>
      <c r="P480" s="5"/>
      <c r="Q480" s="5"/>
      <c r="R480" s="8">
        <v>0</v>
      </c>
      <c r="S480" s="5" t="s">
        <v>37</v>
      </c>
      <c r="T480" t="str">
        <f>IF(Tabela1[[#This Row],[STATUS_NEGOCIO]]="Enviar E-mail",1,"")</f>
        <v/>
      </c>
      <c r="U480" t="str">
        <f>TEXT(Tabela1[[#This Row],[DATA]],"dd/mm/aaaa")</f>
        <v>22/04/2026</v>
      </c>
    </row>
    <row r="481" spans="1:21" x14ac:dyDescent="0.25">
      <c r="A481" s="4">
        <v>46134.482777777775</v>
      </c>
      <c r="B481" s="5" t="s">
        <v>19</v>
      </c>
      <c r="C481" s="5" t="s">
        <v>37</v>
      </c>
      <c r="D481" s="5">
        <v>194</v>
      </c>
      <c r="E481" s="6">
        <v>14440968000143</v>
      </c>
      <c r="F481" s="5">
        <v>194</v>
      </c>
      <c r="G481" s="7">
        <v>177686851226341</v>
      </c>
      <c r="H481" s="5" t="s">
        <v>403</v>
      </c>
      <c r="I481" s="5">
        <v>3003</v>
      </c>
      <c r="J481" s="5" t="s">
        <v>22</v>
      </c>
      <c r="K481" s="5" t="s">
        <v>23</v>
      </c>
      <c r="L481" s="5" t="s">
        <v>31</v>
      </c>
      <c r="M481" s="5" t="s">
        <v>284</v>
      </c>
      <c r="N481" s="5" t="s">
        <v>53</v>
      </c>
      <c r="O481" s="5">
        <v>128</v>
      </c>
      <c r="P481" s="5"/>
      <c r="Q481" s="5"/>
      <c r="R481" s="8">
        <v>8.1018518518518516E-5</v>
      </c>
      <c r="S481" s="5" t="s">
        <v>37</v>
      </c>
      <c r="T481" t="str">
        <f>IF(Tabela1[[#This Row],[STATUS_NEGOCIO]]="Enviar E-mail",1,"")</f>
        <v/>
      </c>
      <c r="U481" t="str">
        <f>TEXT(Tabela1[[#This Row],[DATA]],"dd/mm/aaaa")</f>
        <v>22/04/2026</v>
      </c>
    </row>
    <row r="482" spans="1:21" x14ac:dyDescent="0.25">
      <c r="A482" s="4">
        <v>46134.482951388891</v>
      </c>
      <c r="B482" s="5" t="s">
        <v>19</v>
      </c>
      <c r="C482" s="5" t="s">
        <v>37</v>
      </c>
      <c r="D482" s="5">
        <v>195</v>
      </c>
      <c r="E482" s="6">
        <v>14450781000120</v>
      </c>
      <c r="F482" s="5">
        <v>195</v>
      </c>
      <c r="G482" s="7">
        <v>177686852726351</v>
      </c>
      <c r="H482" s="5" t="s">
        <v>145</v>
      </c>
      <c r="I482" s="5">
        <v>3003</v>
      </c>
      <c r="J482" s="5" t="s">
        <v>22</v>
      </c>
      <c r="K482" s="5" t="s">
        <v>23</v>
      </c>
      <c r="L482" s="5" t="s">
        <v>31</v>
      </c>
      <c r="M482" s="5" t="s">
        <v>284</v>
      </c>
      <c r="N482" s="5" t="s">
        <v>53</v>
      </c>
      <c r="O482" s="5">
        <v>147</v>
      </c>
      <c r="P482" s="5"/>
      <c r="Q482" s="5"/>
      <c r="R482" s="8">
        <v>8.1018518518518516E-5</v>
      </c>
      <c r="S482" s="5" t="s">
        <v>37</v>
      </c>
      <c r="T482" t="str">
        <f>IF(Tabela1[[#This Row],[STATUS_NEGOCIO]]="Enviar E-mail",1,"")</f>
        <v/>
      </c>
      <c r="U482" t="str">
        <f>TEXT(Tabela1[[#This Row],[DATA]],"dd/mm/aaaa")</f>
        <v>22/04/2026</v>
      </c>
    </row>
    <row r="483" spans="1:21" x14ac:dyDescent="0.25">
      <c r="A483" s="4">
        <v>46134.483506944445</v>
      </c>
      <c r="B483" s="5" t="s">
        <v>19</v>
      </c>
      <c r="C483" s="5" t="s">
        <v>37</v>
      </c>
      <c r="D483" s="5">
        <v>196</v>
      </c>
      <c r="E483" s="6">
        <v>14565807000186</v>
      </c>
      <c r="F483" s="5">
        <v>196</v>
      </c>
      <c r="G483" s="7">
        <v>177686857526441</v>
      </c>
      <c r="H483" s="5" t="s">
        <v>226</v>
      </c>
      <c r="I483" s="5">
        <v>3003</v>
      </c>
      <c r="J483" s="5" t="s">
        <v>22</v>
      </c>
      <c r="K483" s="5" t="s">
        <v>23</v>
      </c>
      <c r="L483" s="5" t="s">
        <v>31</v>
      </c>
      <c r="M483" s="5" t="s">
        <v>284</v>
      </c>
      <c r="N483" s="5" t="s">
        <v>53</v>
      </c>
      <c r="O483" s="5">
        <v>128</v>
      </c>
      <c r="P483" s="5"/>
      <c r="Q483" s="5"/>
      <c r="R483" s="8">
        <v>8.1018518518518516E-5</v>
      </c>
      <c r="S483" s="5" t="s">
        <v>37</v>
      </c>
      <c r="T483" t="str">
        <f>IF(Tabela1[[#This Row],[STATUS_NEGOCIO]]="Enviar E-mail",1,"")</f>
        <v/>
      </c>
      <c r="U483" t="str">
        <f>TEXT(Tabela1[[#This Row],[DATA]],"dd/mm/aaaa")</f>
        <v>22/04/2026</v>
      </c>
    </row>
    <row r="484" spans="1:21" x14ac:dyDescent="0.25">
      <c r="A484" s="4">
        <v>46134.483611111114</v>
      </c>
      <c r="B484" s="5" t="s">
        <v>19</v>
      </c>
      <c r="C484" s="5" t="s">
        <v>37</v>
      </c>
      <c r="D484" s="5">
        <v>197</v>
      </c>
      <c r="E484" s="6">
        <v>14766966000149</v>
      </c>
      <c r="F484" s="5">
        <v>197</v>
      </c>
      <c r="G484" s="7">
        <v>177686858426521</v>
      </c>
      <c r="H484" s="5" t="s">
        <v>142</v>
      </c>
      <c r="I484" s="5">
        <v>3003</v>
      </c>
      <c r="J484" s="5" t="s">
        <v>22</v>
      </c>
      <c r="K484" s="5" t="s">
        <v>23</v>
      </c>
      <c r="L484" s="5" t="s">
        <v>31</v>
      </c>
      <c r="M484" s="5" t="s">
        <v>284</v>
      </c>
      <c r="N484" s="5" t="s">
        <v>53</v>
      </c>
      <c r="O484" s="5">
        <v>128</v>
      </c>
      <c r="P484" s="5"/>
      <c r="Q484" s="5"/>
      <c r="R484" s="8">
        <v>8.1018518518518516E-5</v>
      </c>
      <c r="S484" s="5" t="s">
        <v>37</v>
      </c>
      <c r="T484" t="str">
        <f>IF(Tabela1[[#This Row],[STATUS_NEGOCIO]]="Enviar E-mail",1,"")</f>
        <v/>
      </c>
      <c r="U484" t="str">
        <f>TEXT(Tabela1[[#This Row],[DATA]],"dd/mm/aaaa")</f>
        <v>22/04/2026</v>
      </c>
    </row>
    <row r="485" spans="1:21" x14ac:dyDescent="0.25">
      <c r="A485" s="4">
        <v>46134.484085648146</v>
      </c>
      <c r="B485" s="5" t="s">
        <v>19</v>
      </c>
      <c r="C485" s="5" t="s">
        <v>37</v>
      </c>
      <c r="D485" s="5">
        <v>198</v>
      </c>
      <c r="E485" s="6">
        <v>14811950000100</v>
      </c>
      <c r="F485" s="5">
        <v>198</v>
      </c>
      <c r="G485" s="7">
        <v>177686862526611</v>
      </c>
      <c r="H485" s="5" t="s">
        <v>404</v>
      </c>
      <c r="I485" s="5">
        <v>3003</v>
      </c>
      <c r="J485" s="5" t="s">
        <v>22</v>
      </c>
      <c r="K485" s="5" t="s">
        <v>23</v>
      </c>
      <c r="L485" s="5" t="s">
        <v>31</v>
      </c>
      <c r="M485" s="5" t="s">
        <v>284</v>
      </c>
      <c r="N485" s="5" t="s">
        <v>53</v>
      </c>
      <c r="O485" s="5">
        <v>128</v>
      </c>
      <c r="P485" s="5"/>
      <c r="Q485" s="5"/>
      <c r="R485" s="8">
        <v>8.1018518518518516E-5</v>
      </c>
      <c r="S485" s="5" t="s">
        <v>37</v>
      </c>
      <c r="T485" t="str">
        <f>IF(Tabela1[[#This Row],[STATUS_NEGOCIO]]="Enviar E-mail",1,"")</f>
        <v/>
      </c>
      <c r="U485" t="str">
        <f>TEXT(Tabela1[[#This Row],[DATA]],"dd/mm/aaaa")</f>
        <v>22/04/2026</v>
      </c>
    </row>
    <row r="486" spans="1:21" x14ac:dyDescent="0.25">
      <c r="A486" s="4">
        <v>46134.484594907408</v>
      </c>
      <c r="B486" s="5" t="s">
        <v>19</v>
      </c>
      <c r="C486" s="5" t="s">
        <v>37</v>
      </c>
      <c r="D486" s="5">
        <v>199</v>
      </c>
      <c r="E486" s="6">
        <v>14965593000135</v>
      </c>
      <c r="F486" s="5">
        <v>199</v>
      </c>
      <c r="G486" s="7">
        <v>177686866926731</v>
      </c>
      <c r="H486" s="5" t="s">
        <v>405</v>
      </c>
      <c r="I486" s="5">
        <v>3003</v>
      </c>
      <c r="J486" s="5" t="s">
        <v>22</v>
      </c>
      <c r="K486" s="5" t="s">
        <v>23</v>
      </c>
      <c r="L486" s="5" t="s">
        <v>31</v>
      </c>
      <c r="M486" s="5" t="s">
        <v>284</v>
      </c>
      <c r="N486" s="5" t="s">
        <v>53</v>
      </c>
      <c r="O486" s="5">
        <v>147</v>
      </c>
      <c r="P486" s="5"/>
      <c r="Q486" s="5"/>
      <c r="R486" s="8">
        <v>8.1018518518518516E-5</v>
      </c>
      <c r="S486" s="5" t="s">
        <v>37</v>
      </c>
      <c r="T486" t="str">
        <f>IF(Tabela1[[#This Row],[STATUS_NEGOCIO]]="Enviar E-mail",1,"")</f>
        <v/>
      </c>
      <c r="U486" t="str">
        <f>TEXT(Tabela1[[#This Row],[DATA]],"dd/mm/aaaa")</f>
        <v>22/04/2026</v>
      </c>
    </row>
    <row r="487" spans="1:21" x14ac:dyDescent="0.25">
      <c r="A487" s="4">
        <v>46134.48474537037</v>
      </c>
      <c r="B487" s="5" t="s">
        <v>19</v>
      </c>
      <c r="C487" s="5" t="s">
        <v>37</v>
      </c>
      <c r="D487" s="5">
        <v>200</v>
      </c>
      <c r="E487" s="6">
        <v>15255973000149</v>
      </c>
      <c r="F487" s="5">
        <v>200</v>
      </c>
      <c r="G487" s="7">
        <v>177686868226761</v>
      </c>
      <c r="H487" s="5" t="s">
        <v>406</v>
      </c>
      <c r="I487" s="5">
        <v>3003</v>
      </c>
      <c r="J487" s="5" t="s">
        <v>22</v>
      </c>
      <c r="K487" s="5" t="s">
        <v>23</v>
      </c>
      <c r="L487" s="5" t="s">
        <v>31</v>
      </c>
      <c r="M487" s="5" t="s">
        <v>284</v>
      </c>
      <c r="N487" s="5" t="s">
        <v>53</v>
      </c>
      <c r="O487" s="5">
        <v>128</v>
      </c>
      <c r="P487" s="5"/>
      <c r="Q487" s="5"/>
      <c r="R487" s="8">
        <v>8.1018518518518516E-5</v>
      </c>
      <c r="S487" s="5" t="s">
        <v>37</v>
      </c>
      <c r="T487" t="str">
        <f>IF(Tabela1[[#This Row],[STATUS_NEGOCIO]]="Enviar E-mail",1,"")</f>
        <v/>
      </c>
      <c r="U487" t="str">
        <f>TEXT(Tabela1[[#This Row],[DATA]],"dd/mm/aaaa")</f>
        <v>22/04/2026</v>
      </c>
    </row>
    <row r="488" spans="1:21" x14ac:dyDescent="0.25">
      <c r="A488" s="4">
        <v>46134.485046296293</v>
      </c>
      <c r="B488" s="5" t="s">
        <v>19</v>
      </c>
      <c r="C488" s="5" t="s">
        <v>27</v>
      </c>
      <c r="D488" s="5">
        <v>201</v>
      </c>
      <c r="E488" s="6">
        <v>15782727000145</v>
      </c>
      <c r="F488" s="5">
        <v>201</v>
      </c>
      <c r="G488" s="7">
        <v>177686870826841</v>
      </c>
      <c r="H488" s="5" t="s">
        <v>407</v>
      </c>
      <c r="I488" s="5">
        <v>3003</v>
      </c>
      <c r="J488" s="5" t="s">
        <v>22</v>
      </c>
      <c r="K488" s="5" t="s">
        <v>23</v>
      </c>
      <c r="L488" s="5" t="s">
        <v>40</v>
      </c>
      <c r="M488" s="5" t="s">
        <v>284</v>
      </c>
      <c r="N488" s="5" t="s">
        <v>26</v>
      </c>
      <c r="O488" s="5">
        <v>16</v>
      </c>
      <c r="P488" s="5"/>
      <c r="Q488" s="5"/>
      <c r="R488" s="8">
        <v>1.6319444444444445E-3</v>
      </c>
      <c r="S488" s="8">
        <v>1.5740740740740741E-3</v>
      </c>
      <c r="T488">
        <f>IF(Tabela1[[#This Row],[STATUS_NEGOCIO]]="Enviar E-mail",1,"")</f>
        <v>1</v>
      </c>
      <c r="U488" t="str">
        <f>TEXT(Tabela1[[#This Row],[DATA]],"dd/mm/aaaa")</f>
        <v>22/04/2026</v>
      </c>
    </row>
    <row r="489" spans="1:21" x14ac:dyDescent="0.25">
      <c r="A489" s="4">
        <v>46134.486793981479</v>
      </c>
      <c r="B489" s="5" t="s">
        <v>19</v>
      </c>
      <c r="C489" s="5" t="s">
        <v>37</v>
      </c>
      <c r="D489" s="5">
        <v>202</v>
      </c>
      <c r="E489" s="6">
        <v>16385008000153</v>
      </c>
      <c r="F489" s="5">
        <v>202</v>
      </c>
      <c r="G489" s="7">
        <v>177686885926881</v>
      </c>
      <c r="H489" s="5" t="s">
        <v>408</v>
      </c>
      <c r="I489" s="5">
        <v>3003</v>
      </c>
      <c r="J489" s="5" t="s">
        <v>22</v>
      </c>
      <c r="K489" s="5" t="s">
        <v>23</v>
      </c>
      <c r="L489" s="5" t="s">
        <v>31</v>
      </c>
      <c r="M489" s="5" t="s">
        <v>284</v>
      </c>
      <c r="N489" s="5" t="s">
        <v>53</v>
      </c>
      <c r="O489" s="5">
        <v>147</v>
      </c>
      <c r="P489" s="5"/>
      <c r="Q489" s="5"/>
      <c r="R489" s="8">
        <v>8.1018518518518516E-5</v>
      </c>
      <c r="S489" s="5" t="s">
        <v>37</v>
      </c>
      <c r="T489" t="str">
        <f>IF(Tabela1[[#This Row],[STATUS_NEGOCIO]]="Enviar E-mail",1,"")</f>
        <v/>
      </c>
      <c r="U489" t="str">
        <f>TEXT(Tabela1[[#This Row],[DATA]],"dd/mm/aaaa")</f>
        <v>22/04/2026</v>
      </c>
    </row>
    <row r="490" spans="1:21" x14ac:dyDescent="0.25">
      <c r="A490" s="4">
        <v>46134.487037037034</v>
      </c>
      <c r="B490" s="5" t="s">
        <v>19</v>
      </c>
      <c r="C490" s="5" t="s">
        <v>37</v>
      </c>
      <c r="D490" s="5">
        <v>203</v>
      </c>
      <c r="E490" s="6">
        <v>16720728000128</v>
      </c>
      <c r="F490" s="5">
        <v>203</v>
      </c>
      <c r="G490" s="7">
        <v>177686888026901</v>
      </c>
      <c r="H490" s="5" t="s">
        <v>409</v>
      </c>
      <c r="I490" s="5">
        <v>3003</v>
      </c>
      <c r="J490" s="5" t="s">
        <v>22</v>
      </c>
      <c r="K490" s="5" t="s">
        <v>23</v>
      </c>
      <c r="L490" s="5" t="s">
        <v>31</v>
      </c>
      <c r="M490" s="5" t="s">
        <v>284</v>
      </c>
      <c r="N490" s="5" t="s">
        <v>53</v>
      </c>
      <c r="O490" s="5">
        <v>128</v>
      </c>
      <c r="P490" s="5"/>
      <c r="Q490" s="5"/>
      <c r="R490" s="8">
        <v>8.1018518518518516E-5</v>
      </c>
      <c r="S490" s="5" t="s">
        <v>37</v>
      </c>
      <c r="T490" t="str">
        <f>IF(Tabela1[[#This Row],[STATUS_NEGOCIO]]="Enviar E-mail",1,"")</f>
        <v/>
      </c>
      <c r="U490" t="str">
        <f>TEXT(Tabela1[[#This Row],[DATA]],"dd/mm/aaaa")</f>
        <v>22/04/2026</v>
      </c>
    </row>
    <row r="491" spans="1:21" x14ac:dyDescent="0.25">
      <c r="A491" s="4">
        <v>46134.48746527778</v>
      </c>
      <c r="B491" s="5" t="s">
        <v>19</v>
      </c>
      <c r="C491" s="5" t="s">
        <v>37</v>
      </c>
      <c r="D491" s="5">
        <v>204</v>
      </c>
      <c r="E491" s="6">
        <v>16918406000198</v>
      </c>
      <c r="F491" s="5">
        <v>204</v>
      </c>
      <c r="G491" s="7">
        <v>177686891726921</v>
      </c>
      <c r="H491" s="5" t="s">
        <v>410</v>
      </c>
      <c r="I491" s="5">
        <v>3003</v>
      </c>
      <c r="J491" s="5" t="s">
        <v>22</v>
      </c>
      <c r="K491" s="5" t="s">
        <v>23</v>
      </c>
      <c r="L491" s="5" t="s">
        <v>31</v>
      </c>
      <c r="M491" s="5" t="s">
        <v>284</v>
      </c>
      <c r="N491" s="5" t="s">
        <v>53</v>
      </c>
      <c r="O491" s="5">
        <v>128</v>
      </c>
      <c r="P491" s="5"/>
      <c r="Q491" s="5"/>
      <c r="R491" s="8">
        <v>8.1018518518518516E-5</v>
      </c>
      <c r="S491" s="5" t="s">
        <v>37</v>
      </c>
      <c r="T491" t="str">
        <f>IF(Tabela1[[#This Row],[STATUS_NEGOCIO]]="Enviar E-mail",1,"")</f>
        <v/>
      </c>
      <c r="U491" t="str">
        <f>TEXT(Tabela1[[#This Row],[DATA]],"dd/mm/aaaa")</f>
        <v>22/04/2026</v>
      </c>
    </row>
    <row r="492" spans="1:21" x14ac:dyDescent="0.25">
      <c r="A492" s="4">
        <v>46134.487719907411</v>
      </c>
      <c r="B492" s="5" t="s">
        <v>19</v>
      </c>
      <c r="C492" s="5" t="s">
        <v>37</v>
      </c>
      <c r="D492" s="5">
        <v>205</v>
      </c>
      <c r="E492" s="6">
        <v>16918406000198</v>
      </c>
      <c r="F492" s="5">
        <v>205</v>
      </c>
      <c r="G492" s="7">
        <v>177686893926941</v>
      </c>
      <c r="H492" s="5" t="s">
        <v>410</v>
      </c>
      <c r="I492" s="5">
        <v>3003</v>
      </c>
      <c r="J492" s="5" t="s">
        <v>22</v>
      </c>
      <c r="K492" s="5" t="s">
        <v>23</v>
      </c>
      <c r="L492" s="5" t="s">
        <v>31</v>
      </c>
      <c r="M492" s="5" t="s">
        <v>284</v>
      </c>
      <c r="N492" s="5" t="s">
        <v>53</v>
      </c>
      <c r="O492" s="5">
        <v>128</v>
      </c>
      <c r="P492" s="5"/>
      <c r="Q492" s="5"/>
      <c r="R492" s="8">
        <v>8.1018518518518516E-5</v>
      </c>
      <c r="S492" s="5" t="s">
        <v>37</v>
      </c>
      <c r="T492" t="str">
        <f>IF(Tabela1[[#This Row],[STATUS_NEGOCIO]]="Enviar E-mail",1,"")</f>
        <v/>
      </c>
      <c r="U492" t="str">
        <f>TEXT(Tabela1[[#This Row],[DATA]],"dd/mm/aaaa")</f>
        <v>22/04/2026</v>
      </c>
    </row>
    <row r="493" spans="1:21" x14ac:dyDescent="0.25">
      <c r="A493" s="4">
        <v>46134.487893518519</v>
      </c>
      <c r="B493" s="5" t="s">
        <v>19</v>
      </c>
      <c r="C493" s="5" t="s">
        <v>37</v>
      </c>
      <c r="D493" s="5">
        <v>206</v>
      </c>
      <c r="E493" s="6">
        <v>16927109000109</v>
      </c>
      <c r="F493" s="5">
        <v>206</v>
      </c>
      <c r="G493" s="7">
        <v>177686895426961</v>
      </c>
      <c r="H493" s="5" t="s">
        <v>411</v>
      </c>
      <c r="I493" s="5">
        <v>3003</v>
      </c>
      <c r="J493" s="5" t="s">
        <v>22</v>
      </c>
      <c r="K493" s="5" t="s">
        <v>23</v>
      </c>
      <c r="L493" s="5" t="s">
        <v>31</v>
      </c>
      <c r="M493" s="5" t="s">
        <v>284</v>
      </c>
      <c r="N493" s="5" t="s">
        <v>53</v>
      </c>
      <c r="O493" s="5">
        <v>128</v>
      </c>
      <c r="P493" s="5"/>
      <c r="Q493" s="5"/>
      <c r="R493" s="8">
        <v>6.9444444444444444E-5</v>
      </c>
      <c r="S493" s="5" t="s">
        <v>37</v>
      </c>
      <c r="T493" t="str">
        <f>IF(Tabela1[[#This Row],[STATUS_NEGOCIO]]="Enviar E-mail",1,"")</f>
        <v/>
      </c>
      <c r="U493" t="str">
        <f>TEXT(Tabela1[[#This Row],[DATA]],"dd/mm/aaaa")</f>
        <v>22/04/2026</v>
      </c>
    </row>
    <row r="494" spans="1:21" x14ac:dyDescent="0.25">
      <c r="A494" s="4">
        <v>46134.48814814815</v>
      </c>
      <c r="B494" s="5" t="s">
        <v>19</v>
      </c>
      <c r="C494" s="5" t="s">
        <v>37</v>
      </c>
      <c r="D494" s="5">
        <v>207</v>
      </c>
      <c r="E494" s="6">
        <v>16959774000184</v>
      </c>
      <c r="F494" s="5">
        <v>207</v>
      </c>
      <c r="G494" s="7">
        <v>177686897626981</v>
      </c>
      <c r="H494" s="5" t="s">
        <v>412</v>
      </c>
      <c r="I494" s="5">
        <v>3003</v>
      </c>
      <c r="J494" s="5" t="s">
        <v>22</v>
      </c>
      <c r="K494" s="5" t="s">
        <v>23</v>
      </c>
      <c r="L494" s="5" t="s">
        <v>31</v>
      </c>
      <c r="M494" s="5" t="s">
        <v>284</v>
      </c>
      <c r="N494" s="5" t="s">
        <v>53</v>
      </c>
      <c r="O494" s="5">
        <v>128</v>
      </c>
      <c r="P494" s="5"/>
      <c r="Q494" s="5"/>
      <c r="R494" s="8">
        <v>8.1018518518518516E-5</v>
      </c>
      <c r="S494" s="5" t="s">
        <v>37</v>
      </c>
      <c r="T494" t="str">
        <f>IF(Tabela1[[#This Row],[STATUS_NEGOCIO]]="Enviar E-mail",1,"")</f>
        <v/>
      </c>
      <c r="U494" t="str">
        <f>TEXT(Tabela1[[#This Row],[DATA]],"dd/mm/aaaa")</f>
        <v>22/04/2026</v>
      </c>
    </row>
    <row r="495" spans="1:21" x14ac:dyDescent="0.25">
      <c r="A495" s="4">
        <v>46134.488518518519</v>
      </c>
      <c r="B495" s="5" t="s">
        <v>19</v>
      </c>
      <c r="C495" s="5" t="s">
        <v>37</v>
      </c>
      <c r="D495" s="5">
        <v>208</v>
      </c>
      <c r="E495" s="6">
        <v>17043182000180</v>
      </c>
      <c r="F495" s="5">
        <v>208</v>
      </c>
      <c r="G495" s="7">
        <v>177686899227121</v>
      </c>
      <c r="H495" s="5" t="s">
        <v>235</v>
      </c>
      <c r="I495" s="5">
        <v>3003</v>
      </c>
      <c r="J495" s="5" t="s">
        <v>22</v>
      </c>
      <c r="K495" s="5" t="s">
        <v>23</v>
      </c>
      <c r="L495" s="5" t="s">
        <v>31</v>
      </c>
      <c r="M495" s="5" t="s">
        <v>284</v>
      </c>
      <c r="N495" s="5" t="s">
        <v>26</v>
      </c>
      <c r="O495" s="5">
        <v>131</v>
      </c>
      <c r="P495" s="5"/>
      <c r="Q495" s="5"/>
      <c r="R495" s="8">
        <v>1.5046296296296297E-4</v>
      </c>
      <c r="S495" s="5" t="s">
        <v>37</v>
      </c>
      <c r="T495" t="str">
        <f>IF(Tabela1[[#This Row],[STATUS_NEGOCIO]]="Enviar E-mail",1,"")</f>
        <v/>
      </c>
      <c r="U495" t="str">
        <f>TEXT(Tabela1[[#This Row],[DATA]],"dd/mm/aaaa")</f>
        <v>22/04/2026</v>
      </c>
    </row>
    <row r="496" spans="1:21" x14ac:dyDescent="0.25">
      <c r="A496" s="4">
        <v>46134.488530092596</v>
      </c>
      <c r="B496" s="5" t="s">
        <v>19</v>
      </c>
      <c r="C496" s="5" t="s">
        <v>37</v>
      </c>
      <c r="D496" s="5">
        <v>209</v>
      </c>
      <c r="E496" s="6">
        <v>17230906000103</v>
      </c>
      <c r="F496" s="5">
        <v>209</v>
      </c>
      <c r="G496" s="7">
        <v>177686900927161</v>
      </c>
      <c r="H496" s="5" t="s">
        <v>246</v>
      </c>
      <c r="I496" s="5">
        <v>3003</v>
      </c>
      <c r="J496" s="5" t="s">
        <v>22</v>
      </c>
      <c r="K496" s="5" t="s">
        <v>23</v>
      </c>
      <c r="L496" s="5" t="s">
        <v>31</v>
      </c>
      <c r="M496" s="5" t="s">
        <v>284</v>
      </c>
      <c r="N496" s="5" t="s">
        <v>53</v>
      </c>
      <c r="O496" s="5">
        <v>128</v>
      </c>
      <c r="P496" s="5"/>
      <c r="Q496" s="5"/>
      <c r="R496" s="8">
        <v>8.1018518518518516E-5</v>
      </c>
      <c r="S496" s="5" t="s">
        <v>37</v>
      </c>
      <c r="T496" t="str">
        <f>IF(Tabela1[[#This Row],[STATUS_NEGOCIO]]="Enviar E-mail",1,"")</f>
        <v/>
      </c>
      <c r="U496" t="str">
        <f>TEXT(Tabela1[[#This Row],[DATA]],"dd/mm/aaaa")</f>
        <v>22/04/2026</v>
      </c>
    </row>
    <row r="497" spans="1:21" x14ac:dyDescent="0.25">
      <c r="A497" s="4">
        <v>46134.489039351851</v>
      </c>
      <c r="B497" s="5" t="s">
        <v>19</v>
      </c>
      <c r="C497" s="5" t="s">
        <v>37</v>
      </c>
      <c r="D497" s="5">
        <v>210</v>
      </c>
      <c r="E497" s="6">
        <v>17232038000192</v>
      </c>
      <c r="F497" s="5">
        <v>210</v>
      </c>
      <c r="G497" s="7">
        <v>177686905327301</v>
      </c>
      <c r="H497" s="5" t="s">
        <v>413</v>
      </c>
      <c r="I497" s="5">
        <v>3003</v>
      </c>
      <c r="J497" s="5" t="s">
        <v>22</v>
      </c>
      <c r="K497" s="5" t="s">
        <v>23</v>
      </c>
      <c r="L497" s="5" t="s">
        <v>31</v>
      </c>
      <c r="M497" s="5" t="s">
        <v>284</v>
      </c>
      <c r="N497" s="5" t="s">
        <v>53</v>
      </c>
      <c r="O497" s="5">
        <v>128</v>
      </c>
      <c r="P497" s="5"/>
      <c r="Q497" s="5"/>
      <c r="R497" s="8">
        <v>8.1018518518518516E-5</v>
      </c>
      <c r="S497" s="5" t="s">
        <v>37</v>
      </c>
      <c r="T497" t="str">
        <f>IF(Tabela1[[#This Row],[STATUS_NEGOCIO]]="Enviar E-mail",1,"")</f>
        <v/>
      </c>
      <c r="U497" t="str">
        <f>TEXT(Tabela1[[#This Row],[DATA]],"dd/mm/aaaa")</f>
        <v>22/04/2026</v>
      </c>
    </row>
    <row r="498" spans="1:21" x14ac:dyDescent="0.25">
      <c r="A498" s="4">
        <v>46134.489224537036</v>
      </c>
      <c r="B498" s="5" t="s">
        <v>19</v>
      </c>
      <c r="C498" s="5" t="s">
        <v>37</v>
      </c>
      <c r="D498" s="5">
        <v>211</v>
      </c>
      <c r="E498" s="6">
        <v>17404008000116</v>
      </c>
      <c r="F498" s="5">
        <v>211</v>
      </c>
      <c r="G498" s="7">
        <v>177686906927331</v>
      </c>
      <c r="H498" s="5" t="s">
        <v>414</v>
      </c>
      <c r="I498" s="5">
        <v>3003</v>
      </c>
      <c r="J498" s="5" t="s">
        <v>22</v>
      </c>
      <c r="K498" s="5" t="s">
        <v>23</v>
      </c>
      <c r="L498" s="5" t="s">
        <v>31</v>
      </c>
      <c r="M498" s="5" t="s">
        <v>284</v>
      </c>
      <c r="N498" s="5" t="s">
        <v>53</v>
      </c>
      <c r="O498" s="5">
        <v>128</v>
      </c>
      <c r="P498" s="5"/>
      <c r="Q498" s="5"/>
      <c r="R498" s="8">
        <v>8.1018518518518516E-5</v>
      </c>
      <c r="S498" s="5" t="s">
        <v>37</v>
      </c>
      <c r="T498" t="str">
        <f>IF(Tabela1[[#This Row],[STATUS_NEGOCIO]]="Enviar E-mail",1,"")</f>
        <v/>
      </c>
      <c r="U498" t="str">
        <f>TEXT(Tabela1[[#This Row],[DATA]],"dd/mm/aaaa")</f>
        <v>22/04/2026</v>
      </c>
    </row>
    <row r="499" spans="1:21" x14ac:dyDescent="0.25">
      <c r="A499" s="4">
        <v>46134.489328703705</v>
      </c>
      <c r="B499" s="5" t="s">
        <v>19</v>
      </c>
      <c r="C499" s="5" t="s">
        <v>37</v>
      </c>
      <c r="D499" s="5">
        <v>212</v>
      </c>
      <c r="E499" s="6">
        <v>17446625000184</v>
      </c>
      <c r="F499" s="5">
        <v>212</v>
      </c>
      <c r="G499" s="7">
        <v>177686907827401</v>
      </c>
      <c r="H499" s="5" t="s">
        <v>415</v>
      </c>
      <c r="I499" s="5">
        <v>3003</v>
      </c>
      <c r="J499" s="5" t="s">
        <v>22</v>
      </c>
      <c r="K499" s="5" t="s">
        <v>23</v>
      </c>
      <c r="L499" s="5" t="s">
        <v>31</v>
      </c>
      <c r="M499" s="5" t="s">
        <v>284</v>
      </c>
      <c r="N499" s="5" t="s">
        <v>53</v>
      </c>
      <c r="O499" s="5">
        <v>128</v>
      </c>
      <c r="P499" s="5"/>
      <c r="Q499" s="5"/>
      <c r="R499" s="8">
        <v>8.1018518518518516E-5</v>
      </c>
      <c r="S499" s="5" t="s">
        <v>37</v>
      </c>
      <c r="T499" t="str">
        <f>IF(Tabela1[[#This Row],[STATUS_NEGOCIO]]="Enviar E-mail",1,"")</f>
        <v/>
      </c>
      <c r="U499" t="str">
        <f>TEXT(Tabela1[[#This Row],[DATA]],"dd/mm/aaaa")</f>
        <v>22/04/2026</v>
      </c>
    </row>
    <row r="500" spans="1:21" x14ac:dyDescent="0.25">
      <c r="A500" s="4">
        <v>46134.489629629628</v>
      </c>
      <c r="B500" s="5" t="s">
        <v>19</v>
      </c>
      <c r="C500" s="5" t="s">
        <v>37</v>
      </c>
      <c r="D500" s="5">
        <v>213</v>
      </c>
      <c r="E500" s="6">
        <v>17845803000140</v>
      </c>
      <c r="F500" s="5">
        <v>213</v>
      </c>
      <c r="G500" s="7">
        <v>177686910427431</v>
      </c>
      <c r="H500" s="5" t="s">
        <v>75</v>
      </c>
      <c r="I500" s="5">
        <v>3003</v>
      </c>
      <c r="J500" s="5" t="s">
        <v>22</v>
      </c>
      <c r="K500" s="5" t="s">
        <v>23</v>
      </c>
      <c r="L500" s="5" t="s">
        <v>31</v>
      </c>
      <c r="M500" s="5" t="s">
        <v>284</v>
      </c>
      <c r="N500" s="5" t="s">
        <v>53</v>
      </c>
      <c r="O500" s="5">
        <v>128</v>
      </c>
      <c r="P500" s="5"/>
      <c r="Q500" s="5"/>
      <c r="R500" s="8">
        <v>8.1018518518518516E-5</v>
      </c>
      <c r="S500" s="5" t="s">
        <v>37</v>
      </c>
      <c r="T500" t="str">
        <f>IF(Tabela1[[#This Row],[STATUS_NEGOCIO]]="Enviar E-mail",1,"")</f>
        <v/>
      </c>
      <c r="U500" t="str">
        <f>TEXT(Tabela1[[#This Row],[DATA]],"dd/mm/aaaa")</f>
        <v>22/04/2026</v>
      </c>
    </row>
    <row r="501" spans="1:21" x14ac:dyDescent="0.25">
      <c r="A501" s="4">
        <v>46134.490069444444</v>
      </c>
      <c r="B501" s="5" t="s">
        <v>19</v>
      </c>
      <c r="C501" s="5" t="s">
        <v>37</v>
      </c>
      <c r="D501" s="5">
        <v>214</v>
      </c>
      <c r="E501" s="6">
        <v>18341732000100</v>
      </c>
      <c r="F501" s="5">
        <v>214</v>
      </c>
      <c r="G501" s="7">
        <v>177686914227491</v>
      </c>
      <c r="H501" s="5" t="s">
        <v>416</v>
      </c>
      <c r="I501" s="5">
        <v>3003</v>
      </c>
      <c r="J501" s="5" t="s">
        <v>22</v>
      </c>
      <c r="K501" s="5" t="s">
        <v>23</v>
      </c>
      <c r="L501" s="5" t="s">
        <v>31</v>
      </c>
      <c r="M501" s="5" t="s">
        <v>284</v>
      </c>
      <c r="N501" s="5" t="s">
        <v>53</v>
      </c>
      <c r="O501" s="5">
        <v>128</v>
      </c>
      <c r="P501" s="5"/>
      <c r="Q501" s="5"/>
      <c r="R501" s="8">
        <v>5.7870370370370373E-5</v>
      </c>
      <c r="S501" s="5" t="s">
        <v>37</v>
      </c>
      <c r="T501" t="str">
        <f>IF(Tabela1[[#This Row],[STATUS_NEGOCIO]]="Enviar E-mail",1,"")</f>
        <v/>
      </c>
      <c r="U501" t="str">
        <f>TEXT(Tabela1[[#This Row],[DATA]],"dd/mm/aaaa")</f>
        <v>22/04/2026</v>
      </c>
    </row>
    <row r="502" spans="1:21" x14ac:dyDescent="0.25">
      <c r="A502" s="4">
        <v>46134.490208333336</v>
      </c>
      <c r="B502" s="5" t="s">
        <v>19</v>
      </c>
      <c r="C502" s="5" t="s">
        <v>37</v>
      </c>
      <c r="D502" s="5">
        <v>215</v>
      </c>
      <c r="E502" s="6">
        <v>18414594000142</v>
      </c>
      <c r="F502" s="5">
        <v>215</v>
      </c>
      <c r="G502" s="7">
        <v>177686915427511</v>
      </c>
      <c r="H502" s="5" t="s">
        <v>417</v>
      </c>
      <c r="I502" s="5">
        <v>3003</v>
      </c>
      <c r="J502" s="5" t="s">
        <v>22</v>
      </c>
      <c r="K502" s="5" t="s">
        <v>23</v>
      </c>
      <c r="L502" s="5" t="s">
        <v>31</v>
      </c>
      <c r="M502" s="5" t="s">
        <v>284</v>
      </c>
      <c r="N502" s="5" t="s">
        <v>53</v>
      </c>
      <c r="O502" s="5">
        <v>128</v>
      </c>
      <c r="P502" s="5"/>
      <c r="Q502" s="5"/>
      <c r="R502" s="8">
        <v>8.1018518518518516E-5</v>
      </c>
      <c r="S502" s="5" t="s">
        <v>37</v>
      </c>
      <c r="T502" t="str">
        <f>IF(Tabela1[[#This Row],[STATUS_NEGOCIO]]="Enviar E-mail",1,"")</f>
        <v/>
      </c>
      <c r="U502" t="str">
        <f>TEXT(Tabela1[[#This Row],[DATA]],"dd/mm/aaaa")</f>
        <v>22/04/2026</v>
      </c>
    </row>
    <row r="503" spans="1:21" x14ac:dyDescent="0.25">
      <c r="A503" s="4">
        <v>46134.490381944444</v>
      </c>
      <c r="B503" s="5" t="s">
        <v>19</v>
      </c>
      <c r="C503" s="5" t="s">
        <v>37</v>
      </c>
      <c r="D503" s="5">
        <v>216</v>
      </c>
      <c r="E503" s="6">
        <v>18705825000177</v>
      </c>
      <c r="F503" s="5">
        <v>216</v>
      </c>
      <c r="G503" s="7">
        <v>177686916927531</v>
      </c>
      <c r="H503" s="5" t="s">
        <v>418</v>
      </c>
      <c r="I503" s="5">
        <v>3003</v>
      </c>
      <c r="J503" s="5" t="s">
        <v>22</v>
      </c>
      <c r="K503" s="5" t="s">
        <v>23</v>
      </c>
      <c r="L503" s="5" t="s">
        <v>31</v>
      </c>
      <c r="M503" s="5" t="s">
        <v>284</v>
      </c>
      <c r="N503" s="5" t="s">
        <v>53</v>
      </c>
      <c r="O503" s="5">
        <v>128</v>
      </c>
      <c r="P503" s="5"/>
      <c r="Q503" s="5"/>
      <c r="R503" s="8">
        <v>6.9444444444444444E-5</v>
      </c>
      <c r="S503" s="5" t="s">
        <v>37</v>
      </c>
      <c r="T503" t="str">
        <f>IF(Tabela1[[#This Row],[STATUS_NEGOCIO]]="Enviar E-mail",1,"")</f>
        <v/>
      </c>
      <c r="U503" t="str">
        <f>TEXT(Tabela1[[#This Row],[DATA]],"dd/mm/aaaa")</f>
        <v>22/04/2026</v>
      </c>
    </row>
    <row r="504" spans="1:21" x14ac:dyDescent="0.25">
      <c r="A504" s="4">
        <v>46134.490925925929</v>
      </c>
      <c r="B504" s="5" t="s">
        <v>19</v>
      </c>
      <c r="C504" s="5" t="s">
        <v>37</v>
      </c>
      <c r="D504" s="5">
        <v>217</v>
      </c>
      <c r="E504" s="6">
        <v>18863657000148</v>
      </c>
      <c r="F504" s="5">
        <v>217</v>
      </c>
      <c r="G504" s="7">
        <v>177686921627611</v>
      </c>
      <c r="H504" s="5" t="s">
        <v>158</v>
      </c>
      <c r="I504" s="5">
        <v>3003</v>
      </c>
      <c r="J504" s="5" t="s">
        <v>22</v>
      </c>
      <c r="K504" s="5" t="s">
        <v>23</v>
      </c>
      <c r="L504" s="5" t="s">
        <v>31</v>
      </c>
      <c r="M504" s="5" t="s">
        <v>284</v>
      </c>
      <c r="N504" s="5" t="s">
        <v>53</v>
      </c>
      <c r="O504" s="5">
        <v>128</v>
      </c>
      <c r="P504" s="5"/>
      <c r="Q504" s="5"/>
      <c r="R504" s="8">
        <v>8.1018518518518516E-5</v>
      </c>
      <c r="S504" s="5" t="s">
        <v>37</v>
      </c>
      <c r="T504" t="str">
        <f>IF(Tabela1[[#This Row],[STATUS_NEGOCIO]]="Enviar E-mail",1,"")</f>
        <v/>
      </c>
      <c r="U504" t="str">
        <f>TEXT(Tabela1[[#This Row],[DATA]],"dd/mm/aaaa")</f>
        <v>22/04/2026</v>
      </c>
    </row>
    <row r="505" spans="1:21" x14ac:dyDescent="0.25">
      <c r="A505" s="4">
        <v>46134.491041666668</v>
      </c>
      <c r="B505" s="5" t="s">
        <v>19</v>
      </c>
      <c r="C505" s="5" t="s">
        <v>37</v>
      </c>
      <c r="D505" s="5">
        <v>218</v>
      </c>
      <c r="E505" s="6">
        <v>18889258000156</v>
      </c>
      <c r="F505" s="5">
        <v>218</v>
      </c>
      <c r="G505" s="7">
        <v>177686922627631</v>
      </c>
      <c r="H505" s="5" t="s">
        <v>419</v>
      </c>
      <c r="I505" s="5">
        <v>3003</v>
      </c>
      <c r="J505" s="5" t="s">
        <v>22</v>
      </c>
      <c r="K505" s="5" t="s">
        <v>23</v>
      </c>
      <c r="L505" s="5" t="s">
        <v>31</v>
      </c>
      <c r="M505" s="5" t="s">
        <v>284</v>
      </c>
      <c r="N505" s="5" t="s">
        <v>53</v>
      </c>
      <c r="O505" s="5">
        <v>131</v>
      </c>
      <c r="P505" s="5"/>
      <c r="Q505" s="5"/>
      <c r="R505" s="8">
        <v>0</v>
      </c>
      <c r="S505" s="5" t="s">
        <v>37</v>
      </c>
      <c r="T505" t="str">
        <f>IF(Tabela1[[#This Row],[STATUS_NEGOCIO]]="Enviar E-mail",1,"")</f>
        <v/>
      </c>
      <c r="U505" t="str">
        <f>TEXT(Tabela1[[#This Row],[DATA]],"dd/mm/aaaa")</f>
        <v>22/04/2026</v>
      </c>
    </row>
    <row r="506" spans="1:21" x14ac:dyDescent="0.25">
      <c r="A506" s="4">
        <v>46134.491157407407</v>
      </c>
      <c r="B506" s="5" t="s">
        <v>19</v>
      </c>
      <c r="C506" s="5" t="s">
        <v>37</v>
      </c>
      <c r="D506" s="5">
        <v>219</v>
      </c>
      <c r="E506" s="6">
        <v>18977285000180</v>
      </c>
      <c r="F506" s="5">
        <v>219</v>
      </c>
      <c r="G506" s="7">
        <v>177686923627711</v>
      </c>
      <c r="H506" s="5" t="s">
        <v>420</v>
      </c>
      <c r="I506" s="5">
        <v>3003</v>
      </c>
      <c r="J506" s="5" t="s">
        <v>22</v>
      </c>
      <c r="K506" s="5" t="s">
        <v>23</v>
      </c>
      <c r="L506" s="5" t="s">
        <v>31</v>
      </c>
      <c r="M506" s="5" t="s">
        <v>284</v>
      </c>
      <c r="N506" s="5" t="s">
        <v>53</v>
      </c>
      <c r="O506" s="5">
        <v>128</v>
      </c>
      <c r="P506" s="5"/>
      <c r="Q506" s="5"/>
      <c r="R506" s="8">
        <v>8.1018518518518516E-5</v>
      </c>
      <c r="S506" s="5" t="s">
        <v>37</v>
      </c>
      <c r="T506" t="str">
        <f>IF(Tabela1[[#This Row],[STATUS_NEGOCIO]]="Enviar E-mail",1,"")</f>
        <v/>
      </c>
      <c r="U506" t="str">
        <f>TEXT(Tabela1[[#This Row],[DATA]],"dd/mm/aaaa")</f>
        <v>22/04/2026</v>
      </c>
    </row>
    <row r="507" spans="1:21" x14ac:dyDescent="0.25">
      <c r="A507" s="4">
        <v>46134.491273148145</v>
      </c>
      <c r="B507" s="5" t="s">
        <v>19</v>
      </c>
      <c r="C507" s="5" t="s">
        <v>20</v>
      </c>
      <c r="D507" s="5">
        <v>220</v>
      </c>
      <c r="E507" s="6">
        <v>19028175000135</v>
      </c>
      <c r="F507" s="5">
        <v>220</v>
      </c>
      <c r="G507" s="7">
        <v>177686924627731</v>
      </c>
      <c r="H507" s="5" t="s">
        <v>421</v>
      </c>
      <c r="I507" s="5">
        <v>3003</v>
      </c>
      <c r="J507" s="5" t="s">
        <v>22</v>
      </c>
      <c r="K507" s="5" t="s">
        <v>23</v>
      </c>
      <c r="L507" s="5" t="s">
        <v>219</v>
      </c>
      <c r="M507" s="5" t="s">
        <v>284</v>
      </c>
      <c r="N507" s="5" t="s">
        <v>26</v>
      </c>
      <c r="O507" s="5">
        <v>16</v>
      </c>
      <c r="P507" s="5"/>
      <c r="Q507" s="5"/>
      <c r="R507" s="8">
        <v>1.3888888888888889E-4</v>
      </c>
      <c r="S507" s="8">
        <v>9.2592592592592588E-5</v>
      </c>
      <c r="T507" t="str">
        <f>IF(Tabela1[[#This Row],[STATUS_NEGOCIO]]="Enviar E-mail",1,"")</f>
        <v/>
      </c>
      <c r="U507" t="str">
        <f>TEXT(Tabela1[[#This Row],[DATA]],"dd/mm/aaaa")</f>
        <v>22/04/2026</v>
      </c>
    </row>
    <row r="508" spans="1:21" x14ac:dyDescent="0.25">
      <c r="A508" s="4">
        <v>46134.491527777776</v>
      </c>
      <c r="B508" s="5" t="s">
        <v>19</v>
      </c>
      <c r="C508" s="5" t="s">
        <v>37</v>
      </c>
      <c r="D508" s="5">
        <v>221</v>
      </c>
      <c r="E508" s="6">
        <v>19047535000146</v>
      </c>
      <c r="F508" s="5">
        <v>221</v>
      </c>
      <c r="G508" s="7">
        <v>177686926827761</v>
      </c>
      <c r="H508" s="5" t="s">
        <v>48</v>
      </c>
      <c r="I508" s="5">
        <v>3003</v>
      </c>
      <c r="J508" s="5" t="s">
        <v>22</v>
      </c>
      <c r="K508" s="5" t="s">
        <v>23</v>
      </c>
      <c r="L508" s="5" t="s">
        <v>31</v>
      </c>
      <c r="M508" s="5" t="s">
        <v>284</v>
      </c>
      <c r="N508" s="5" t="s">
        <v>53</v>
      </c>
      <c r="O508" s="5">
        <v>128</v>
      </c>
      <c r="P508" s="5"/>
      <c r="Q508" s="5"/>
      <c r="R508" s="8">
        <v>6.9444444444444444E-5</v>
      </c>
      <c r="S508" s="5" t="s">
        <v>37</v>
      </c>
      <c r="T508" t="str">
        <f>IF(Tabela1[[#This Row],[STATUS_NEGOCIO]]="Enviar E-mail",1,"")</f>
        <v/>
      </c>
      <c r="U508" t="str">
        <f>TEXT(Tabela1[[#This Row],[DATA]],"dd/mm/aaaa")</f>
        <v>22/04/2026</v>
      </c>
    </row>
    <row r="509" spans="1:21" x14ac:dyDescent="0.25">
      <c r="A509" s="4">
        <v>46134.492025462961</v>
      </c>
      <c r="B509" s="5" t="s">
        <v>19</v>
      </c>
      <c r="C509" s="5" t="s">
        <v>27</v>
      </c>
      <c r="D509" s="5">
        <v>222</v>
      </c>
      <c r="E509" s="6">
        <v>19290323000195</v>
      </c>
      <c r="F509" s="5">
        <v>222</v>
      </c>
      <c r="G509" s="7">
        <v>177686931127981</v>
      </c>
      <c r="H509" s="5" t="s">
        <v>140</v>
      </c>
      <c r="I509" s="5">
        <v>3003</v>
      </c>
      <c r="J509" s="5" t="s">
        <v>22</v>
      </c>
      <c r="K509" s="5" t="s">
        <v>23</v>
      </c>
      <c r="L509" s="5" t="s">
        <v>265</v>
      </c>
      <c r="M509" s="5" t="s">
        <v>284</v>
      </c>
      <c r="N509" s="5" t="s">
        <v>26</v>
      </c>
      <c r="O509" s="5">
        <v>16</v>
      </c>
      <c r="P509" s="5"/>
      <c r="Q509" s="5"/>
      <c r="R509" s="8">
        <v>1.8518518518518518E-4</v>
      </c>
      <c r="S509" s="8">
        <v>1.5046296296296297E-4</v>
      </c>
      <c r="T509" t="str">
        <f>IF(Tabela1[[#This Row],[STATUS_NEGOCIO]]="Enviar E-mail",1,"")</f>
        <v/>
      </c>
      <c r="U509" t="str">
        <f>TEXT(Tabela1[[#This Row],[DATA]],"dd/mm/aaaa")</f>
        <v>22/04/2026</v>
      </c>
    </row>
    <row r="510" spans="1:21" x14ac:dyDescent="0.25">
      <c r="A510" s="4">
        <v>46134.492303240739</v>
      </c>
      <c r="B510" s="5" t="s">
        <v>19</v>
      </c>
      <c r="C510" s="5" t="s">
        <v>37</v>
      </c>
      <c r="D510" s="5">
        <v>223</v>
      </c>
      <c r="E510" s="6">
        <v>19410510000165</v>
      </c>
      <c r="F510" s="5">
        <v>223</v>
      </c>
      <c r="G510" s="7">
        <v>177686933528121</v>
      </c>
      <c r="H510" s="5" t="s">
        <v>422</v>
      </c>
      <c r="I510" s="5">
        <v>3003</v>
      </c>
      <c r="J510" s="5" t="s">
        <v>22</v>
      </c>
      <c r="K510" s="5" t="s">
        <v>23</v>
      </c>
      <c r="L510" s="5" t="s">
        <v>31</v>
      </c>
      <c r="M510" s="5" t="s">
        <v>284</v>
      </c>
      <c r="N510" s="5" t="s">
        <v>53</v>
      </c>
      <c r="O510" s="5">
        <v>128</v>
      </c>
      <c r="P510" s="5"/>
      <c r="Q510" s="5"/>
      <c r="R510" s="8">
        <v>8.1018518518518516E-5</v>
      </c>
      <c r="S510" s="5" t="s">
        <v>37</v>
      </c>
      <c r="T510" t="str">
        <f>IF(Tabela1[[#This Row],[STATUS_NEGOCIO]]="Enviar E-mail",1,"")</f>
        <v/>
      </c>
      <c r="U510" t="str">
        <f>TEXT(Tabela1[[#This Row],[DATA]],"dd/mm/aaaa")</f>
        <v>22/04/2026</v>
      </c>
    </row>
    <row r="511" spans="1:21" x14ac:dyDescent="0.25">
      <c r="A511" s="4">
        <v>46134.492418981485</v>
      </c>
      <c r="B511" s="5" t="s">
        <v>19</v>
      </c>
      <c r="C511" s="5" t="s">
        <v>37</v>
      </c>
      <c r="D511" s="5">
        <v>224</v>
      </c>
      <c r="E511" s="6">
        <v>19420382000211</v>
      </c>
      <c r="F511" s="5">
        <v>224</v>
      </c>
      <c r="G511" s="7">
        <v>177686934528141</v>
      </c>
      <c r="H511" s="5" t="s">
        <v>423</v>
      </c>
      <c r="I511" s="5">
        <v>3003</v>
      </c>
      <c r="J511" s="5" t="s">
        <v>22</v>
      </c>
      <c r="K511" s="5" t="s">
        <v>23</v>
      </c>
      <c r="L511" s="5" t="s">
        <v>31</v>
      </c>
      <c r="M511" s="5" t="s">
        <v>284</v>
      </c>
      <c r="N511" s="5" t="s">
        <v>53</v>
      </c>
      <c r="O511" s="5">
        <v>128</v>
      </c>
      <c r="P511" s="5"/>
      <c r="Q511" s="5"/>
      <c r="R511" s="8">
        <v>8.1018518518518516E-5</v>
      </c>
      <c r="S511" s="5" t="s">
        <v>37</v>
      </c>
      <c r="T511" t="str">
        <f>IF(Tabela1[[#This Row],[STATUS_NEGOCIO]]="Enviar E-mail",1,"")</f>
        <v/>
      </c>
      <c r="U511" t="str">
        <f>TEXT(Tabela1[[#This Row],[DATA]],"dd/mm/aaaa")</f>
        <v>22/04/2026</v>
      </c>
    </row>
    <row r="512" spans="1:21" x14ac:dyDescent="0.25">
      <c r="A512" s="4">
        <v>46134.492928240739</v>
      </c>
      <c r="B512" s="5" t="s">
        <v>19</v>
      </c>
      <c r="C512" s="5" t="s">
        <v>20</v>
      </c>
      <c r="D512" s="5">
        <v>225</v>
      </c>
      <c r="E512" s="6">
        <v>19454803000144</v>
      </c>
      <c r="F512" s="5">
        <v>225</v>
      </c>
      <c r="G512" s="7">
        <v>177686938928281</v>
      </c>
      <c r="H512" s="5" t="s">
        <v>215</v>
      </c>
      <c r="I512" s="5">
        <v>3003</v>
      </c>
      <c r="J512" s="5" t="s">
        <v>22</v>
      </c>
      <c r="K512" s="5" t="s">
        <v>23</v>
      </c>
      <c r="L512" s="5" t="s">
        <v>24</v>
      </c>
      <c r="M512" s="5" t="s">
        <v>284</v>
      </c>
      <c r="N512" s="5" t="s">
        <v>32</v>
      </c>
      <c r="O512" s="5">
        <v>16</v>
      </c>
      <c r="P512" s="5"/>
      <c r="Q512" s="5"/>
      <c r="R512" s="8">
        <v>4.1666666666666669E-4</v>
      </c>
      <c r="S512" s="8">
        <v>3.4722222222222224E-4</v>
      </c>
      <c r="T512" t="str">
        <f>IF(Tabela1[[#This Row],[STATUS_NEGOCIO]]="Enviar E-mail",1,"")</f>
        <v/>
      </c>
      <c r="U512" t="str">
        <f>TEXT(Tabela1[[#This Row],[DATA]],"dd/mm/aaaa")</f>
        <v>22/04/2026</v>
      </c>
    </row>
    <row r="513" spans="1:21" x14ac:dyDescent="0.25">
      <c r="A513" s="4">
        <v>46134.493425925924</v>
      </c>
      <c r="B513" s="5" t="s">
        <v>19</v>
      </c>
      <c r="C513" s="5" t="s">
        <v>37</v>
      </c>
      <c r="D513" s="5">
        <v>226</v>
      </c>
      <c r="E513" s="6">
        <v>19753199000157</v>
      </c>
      <c r="F513" s="5">
        <v>226</v>
      </c>
      <c r="G513" s="7">
        <v>177686943228381</v>
      </c>
      <c r="H513" s="5" t="s">
        <v>424</v>
      </c>
      <c r="I513" s="5">
        <v>3003</v>
      </c>
      <c r="J513" s="5" t="s">
        <v>22</v>
      </c>
      <c r="K513" s="5" t="s">
        <v>23</v>
      </c>
      <c r="L513" s="5" t="s">
        <v>31</v>
      </c>
      <c r="M513" s="5" t="s">
        <v>284</v>
      </c>
      <c r="N513" s="5" t="s">
        <v>53</v>
      </c>
      <c r="O513" s="5">
        <v>128</v>
      </c>
      <c r="P513" s="5"/>
      <c r="Q513" s="5"/>
      <c r="R513" s="8">
        <v>8.1018518518518516E-5</v>
      </c>
      <c r="S513" s="5" t="s">
        <v>37</v>
      </c>
      <c r="T513" t="str">
        <f>IF(Tabela1[[#This Row],[STATUS_NEGOCIO]]="Enviar E-mail",1,"")</f>
        <v/>
      </c>
      <c r="U513" t="str">
        <f>TEXT(Tabela1[[#This Row],[DATA]],"dd/mm/aaaa")</f>
        <v>22/04/2026</v>
      </c>
    </row>
    <row r="514" spans="1:21" x14ac:dyDescent="0.25">
      <c r="A514" s="4">
        <v>46134.493576388886</v>
      </c>
      <c r="B514" s="5" t="s">
        <v>19</v>
      </c>
      <c r="C514" s="5" t="s">
        <v>27</v>
      </c>
      <c r="D514" s="5">
        <v>227</v>
      </c>
      <c r="E514" s="6">
        <v>19823654000143</v>
      </c>
      <c r="F514" s="5">
        <v>227</v>
      </c>
      <c r="G514" s="7">
        <v>177686944528441</v>
      </c>
      <c r="H514" s="5" t="s">
        <v>425</v>
      </c>
      <c r="I514" s="5">
        <v>3003</v>
      </c>
      <c r="J514" s="5" t="s">
        <v>22</v>
      </c>
      <c r="K514" s="5" t="s">
        <v>23</v>
      </c>
      <c r="L514" s="5" t="s">
        <v>95</v>
      </c>
      <c r="M514" s="5" t="s">
        <v>284</v>
      </c>
      <c r="N514" s="5" t="s">
        <v>26</v>
      </c>
      <c r="O514" s="5">
        <v>16</v>
      </c>
      <c r="P514" s="5"/>
      <c r="Q514" s="5"/>
      <c r="R514" s="8">
        <v>3.4722222222222224E-4</v>
      </c>
      <c r="S514" s="8">
        <v>3.1250000000000001E-4</v>
      </c>
      <c r="T514" t="str">
        <f>IF(Tabela1[[#This Row],[STATUS_NEGOCIO]]="Enviar E-mail",1,"")</f>
        <v/>
      </c>
      <c r="U514" t="str">
        <f>TEXT(Tabela1[[#This Row],[DATA]],"dd/mm/aaaa")</f>
        <v>22/04/2026</v>
      </c>
    </row>
    <row r="515" spans="1:21" x14ac:dyDescent="0.25">
      <c r="A515" s="4">
        <v>46134.494074074071</v>
      </c>
      <c r="B515" s="5" t="s">
        <v>19</v>
      </c>
      <c r="C515" s="5" t="s">
        <v>20</v>
      </c>
      <c r="D515" s="5">
        <v>228</v>
      </c>
      <c r="E515" s="6">
        <v>20025886000135</v>
      </c>
      <c r="F515" s="5">
        <v>228</v>
      </c>
      <c r="G515" s="7">
        <v>177686948828701</v>
      </c>
      <c r="H515" s="5" t="s">
        <v>426</v>
      </c>
      <c r="I515" s="5">
        <v>3003</v>
      </c>
      <c r="J515" s="5" t="s">
        <v>22</v>
      </c>
      <c r="K515" s="5" t="s">
        <v>23</v>
      </c>
      <c r="L515" s="5" t="s">
        <v>40</v>
      </c>
      <c r="M515" s="5" t="s">
        <v>284</v>
      </c>
      <c r="N515" s="5" t="s">
        <v>32</v>
      </c>
      <c r="O515" s="5">
        <v>16</v>
      </c>
      <c r="P515" s="5"/>
      <c r="Q515" s="5"/>
      <c r="R515" s="8">
        <v>1.8981481481481482E-3</v>
      </c>
      <c r="S515" s="8">
        <v>1.8402777777777777E-3</v>
      </c>
      <c r="T515">
        <f>IF(Tabela1[[#This Row],[STATUS_NEGOCIO]]="Enviar E-mail",1,"")</f>
        <v>1</v>
      </c>
      <c r="U515" t="str">
        <f>TEXT(Tabela1[[#This Row],[DATA]],"dd/mm/aaaa")</f>
        <v>22/04/2026</v>
      </c>
    </row>
    <row r="516" spans="1:21" x14ac:dyDescent="0.25">
      <c r="A516" s="4">
        <v>46134.496076388888</v>
      </c>
      <c r="B516" s="5" t="s">
        <v>19</v>
      </c>
      <c r="C516" s="5" t="s">
        <v>37</v>
      </c>
      <c r="D516" s="5">
        <v>229</v>
      </c>
      <c r="E516" s="6">
        <v>20045556000101</v>
      </c>
      <c r="F516" s="5">
        <v>229</v>
      </c>
      <c r="G516" s="7">
        <v>177686966129121</v>
      </c>
      <c r="H516" s="5" t="s">
        <v>43</v>
      </c>
      <c r="I516" s="5">
        <v>3003</v>
      </c>
      <c r="J516" s="5" t="s">
        <v>22</v>
      </c>
      <c r="K516" s="5" t="s">
        <v>23</v>
      </c>
      <c r="L516" s="5" t="s">
        <v>31</v>
      </c>
      <c r="M516" s="5" t="s">
        <v>284</v>
      </c>
      <c r="N516" s="5" t="s">
        <v>53</v>
      </c>
      <c r="O516" s="5">
        <v>128</v>
      </c>
      <c r="P516" s="5"/>
      <c r="Q516" s="5"/>
      <c r="R516" s="8">
        <v>8.1018518518518516E-5</v>
      </c>
      <c r="S516" s="5" t="s">
        <v>37</v>
      </c>
      <c r="T516" t="str">
        <f>IF(Tabela1[[#This Row],[STATUS_NEGOCIO]]="Enviar E-mail",1,"")</f>
        <v/>
      </c>
      <c r="U516" t="str">
        <f>TEXT(Tabela1[[#This Row],[DATA]],"dd/mm/aaaa")</f>
        <v>22/04/2026</v>
      </c>
    </row>
    <row r="517" spans="1:21" x14ac:dyDescent="0.25">
      <c r="A517" s="4">
        <v>46134.496562499997</v>
      </c>
      <c r="B517" s="5" t="s">
        <v>19</v>
      </c>
      <c r="C517" s="5" t="s">
        <v>37</v>
      </c>
      <c r="D517" s="5">
        <v>230</v>
      </c>
      <c r="E517" s="6">
        <v>20331303000102</v>
      </c>
      <c r="F517" s="5">
        <v>230</v>
      </c>
      <c r="G517" s="7">
        <v>177686970329341</v>
      </c>
      <c r="H517" s="5" t="s">
        <v>237</v>
      </c>
      <c r="I517" s="5">
        <v>3003</v>
      </c>
      <c r="J517" s="5" t="s">
        <v>22</v>
      </c>
      <c r="K517" s="5" t="s">
        <v>23</v>
      </c>
      <c r="L517" s="5" t="s">
        <v>31</v>
      </c>
      <c r="M517" s="5" t="s">
        <v>284</v>
      </c>
      <c r="N517" s="5" t="s">
        <v>53</v>
      </c>
      <c r="O517" s="5">
        <v>128</v>
      </c>
      <c r="P517" s="5"/>
      <c r="Q517" s="5"/>
      <c r="R517" s="8">
        <v>8.1018518518518516E-5</v>
      </c>
      <c r="S517" s="5" t="s">
        <v>37</v>
      </c>
      <c r="T517" t="str">
        <f>IF(Tabela1[[#This Row],[STATUS_NEGOCIO]]="Enviar E-mail",1,"")</f>
        <v/>
      </c>
      <c r="U517" t="str">
        <f>TEXT(Tabela1[[#This Row],[DATA]],"dd/mm/aaaa")</f>
        <v>22/04/2026</v>
      </c>
    </row>
    <row r="518" spans="1:21" x14ac:dyDescent="0.25">
      <c r="A518" s="4">
        <v>46134.496805555558</v>
      </c>
      <c r="B518" s="5" t="s">
        <v>19</v>
      </c>
      <c r="C518" s="5" t="s">
        <v>37</v>
      </c>
      <c r="D518" s="5">
        <v>231</v>
      </c>
      <c r="E518" s="6">
        <v>20415965000152</v>
      </c>
      <c r="F518" s="5">
        <v>231</v>
      </c>
      <c r="G518" s="7">
        <v>177686972429401</v>
      </c>
      <c r="H518" s="5" t="s">
        <v>427</v>
      </c>
      <c r="I518" s="5">
        <v>3003</v>
      </c>
      <c r="J518" s="5" t="s">
        <v>22</v>
      </c>
      <c r="K518" s="5" t="s">
        <v>23</v>
      </c>
      <c r="L518" s="5" t="s">
        <v>31</v>
      </c>
      <c r="M518" s="5" t="s">
        <v>284</v>
      </c>
      <c r="N518" s="5" t="s">
        <v>53</v>
      </c>
      <c r="O518" s="5">
        <v>128</v>
      </c>
      <c r="P518" s="5"/>
      <c r="Q518" s="5"/>
      <c r="R518" s="8">
        <v>8.1018518518518516E-5</v>
      </c>
      <c r="S518" s="5" t="s">
        <v>37</v>
      </c>
      <c r="T518" t="str">
        <f>IF(Tabela1[[#This Row],[STATUS_NEGOCIO]]="Enviar E-mail",1,"")</f>
        <v/>
      </c>
      <c r="U518" t="str">
        <f>TEXT(Tabela1[[#This Row],[DATA]],"dd/mm/aaaa")</f>
        <v>22/04/2026</v>
      </c>
    </row>
    <row r="519" spans="1:21" x14ac:dyDescent="0.25">
      <c r="A519" s="4">
        <v>46134.496944444443</v>
      </c>
      <c r="B519" s="5" t="s">
        <v>19</v>
      </c>
      <c r="C519" s="5" t="s">
        <v>37</v>
      </c>
      <c r="D519" s="5">
        <v>232</v>
      </c>
      <c r="E519" s="6">
        <v>20458968000173</v>
      </c>
      <c r="F519" s="5">
        <v>232</v>
      </c>
      <c r="G519" s="7">
        <v>177686973629421</v>
      </c>
      <c r="H519" s="5" t="s">
        <v>133</v>
      </c>
      <c r="I519" s="5">
        <v>3003</v>
      </c>
      <c r="J519" s="5" t="s">
        <v>22</v>
      </c>
      <c r="K519" s="5" t="s">
        <v>23</v>
      </c>
      <c r="L519" s="5" t="s">
        <v>31</v>
      </c>
      <c r="M519" s="5" t="s">
        <v>284</v>
      </c>
      <c r="N519" s="5" t="s">
        <v>53</v>
      </c>
      <c r="O519" s="5">
        <v>128</v>
      </c>
      <c r="P519" s="5"/>
      <c r="Q519" s="5"/>
      <c r="R519" s="8">
        <v>8.1018518518518516E-5</v>
      </c>
      <c r="S519" s="5" t="s">
        <v>37</v>
      </c>
      <c r="T519" t="str">
        <f>IF(Tabela1[[#This Row],[STATUS_NEGOCIO]]="Enviar E-mail",1,"")</f>
        <v/>
      </c>
      <c r="U519" t="str">
        <f>TEXT(Tabela1[[#This Row],[DATA]],"dd/mm/aaaa")</f>
        <v>22/04/2026</v>
      </c>
    </row>
    <row r="520" spans="1:21" x14ac:dyDescent="0.25">
      <c r="A520" s="4">
        <v>46134.497048611112</v>
      </c>
      <c r="B520" s="5" t="s">
        <v>19</v>
      </c>
      <c r="C520" s="5" t="s">
        <v>37</v>
      </c>
      <c r="D520" s="5">
        <v>233</v>
      </c>
      <c r="E520" s="6">
        <v>20458968000254</v>
      </c>
      <c r="F520" s="5">
        <v>233</v>
      </c>
      <c r="G520" s="7">
        <v>177686974529441</v>
      </c>
      <c r="H520" s="5" t="s">
        <v>133</v>
      </c>
      <c r="I520" s="5">
        <v>3003</v>
      </c>
      <c r="J520" s="5" t="s">
        <v>22</v>
      </c>
      <c r="K520" s="5" t="s">
        <v>23</v>
      </c>
      <c r="L520" s="5" t="s">
        <v>31</v>
      </c>
      <c r="M520" s="5" t="s">
        <v>284</v>
      </c>
      <c r="N520" s="5" t="s">
        <v>53</v>
      </c>
      <c r="O520" s="5">
        <v>128</v>
      </c>
      <c r="P520" s="5"/>
      <c r="Q520" s="5"/>
      <c r="R520" s="8">
        <v>8.1018518518518516E-5</v>
      </c>
      <c r="S520" s="5" t="s">
        <v>37</v>
      </c>
      <c r="T520" t="str">
        <f>IF(Tabela1[[#This Row],[STATUS_NEGOCIO]]="Enviar E-mail",1,"")</f>
        <v/>
      </c>
      <c r="U520" t="str">
        <f>TEXT(Tabela1[[#This Row],[DATA]],"dd/mm/aaaa")</f>
        <v>22/04/2026</v>
      </c>
    </row>
    <row r="521" spans="1:21" x14ac:dyDescent="0.25">
      <c r="A521" s="4">
        <v>46134.497164351851</v>
      </c>
      <c r="B521" s="5" t="s">
        <v>19</v>
      </c>
      <c r="C521" s="5" t="s">
        <v>37</v>
      </c>
      <c r="D521" s="5">
        <v>234</v>
      </c>
      <c r="E521" s="6">
        <v>20813461000190</v>
      </c>
      <c r="F521" s="5">
        <v>234</v>
      </c>
      <c r="G521" s="7">
        <v>177686975529501</v>
      </c>
      <c r="H521" s="5" t="s">
        <v>428</v>
      </c>
      <c r="I521" s="5">
        <v>3003</v>
      </c>
      <c r="J521" s="5" t="s">
        <v>22</v>
      </c>
      <c r="K521" s="5" t="s">
        <v>23</v>
      </c>
      <c r="L521" s="5" t="s">
        <v>31</v>
      </c>
      <c r="M521" s="5" t="s">
        <v>284</v>
      </c>
      <c r="N521" s="5" t="s">
        <v>53</v>
      </c>
      <c r="O521" s="5">
        <v>128</v>
      </c>
      <c r="P521" s="5"/>
      <c r="Q521" s="5"/>
      <c r="R521" s="8">
        <v>6.9444444444444444E-5</v>
      </c>
      <c r="S521" s="5" t="s">
        <v>37</v>
      </c>
      <c r="T521" t="str">
        <f>IF(Tabela1[[#This Row],[STATUS_NEGOCIO]]="Enviar E-mail",1,"")</f>
        <v/>
      </c>
      <c r="U521" t="str">
        <f>TEXT(Tabela1[[#This Row],[DATA]],"dd/mm/aaaa")</f>
        <v>22/04/2026</v>
      </c>
    </row>
    <row r="522" spans="1:21" x14ac:dyDescent="0.25">
      <c r="A522" s="4">
        <v>46134.497361111113</v>
      </c>
      <c r="B522" s="5" t="s">
        <v>19</v>
      </c>
      <c r="C522" s="5" t="s">
        <v>37</v>
      </c>
      <c r="D522" s="5">
        <v>235</v>
      </c>
      <c r="E522" s="6">
        <v>20816553000124</v>
      </c>
      <c r="F522" s="5">
        <v>235</v>
      </c>
      <c r="G522" s="7">
        <v>177686977229521</v>
      </c>
      <c r="H522" s="5" t="s">
        <v>429</v>
      </c>
      <c r="I522" s="5">
        <v>3003</v>
      </c>
      <c r="J522" s="5" t="s">
        <v>22</v>
      </c>
      <c r="K522" s="5" t="s">
        <v>23</v>
      </c>
      <c r="L522" s="5" t="s">
        <v>31</v>
      </c>
      <c r="M522" s="5" t="s">
        <v>284</v>
      </c>
      <c r="N522" s="5" t="s">
        <v>53</v>
      </c>
      <c r="O522" s="5">
        <v>128</v>
      </c>
      <c r="P522" s="5"/>
      <c r="Q522" s="5"/>
      <c r="R522" s="8">
        <v>6.9444444444444444E-5</v>
      </c>
      <c r="S522" s="5" t="s">
        <v>37</v>
      </c>
      <c r="T522" t="str">
        <f>IF(Tabela1[[#This Row],[STATUS_NEGOCIO]]="Enviar E-mail",1,"")</f>
        <v/>
      </c>
      <c r="U522" t="str">
        <f>TEXT(Tabela1[[#This Row],[DATA]],"dd/mm/aaaa")</f>
        <v>22/04/2026</v>
      </c>
    </row>
    <row r="523" spans="1:21" x14ac:dyDescent="0.25">
      <c r="A523" s="4">
        <v>46134.497696759259</v>
      </c>
      <c r="B523" s="5" t="s">
        <v>19</v>
      </c>
      <c r="C523" s="5" t="s">
        <v>37</v>
      </c>
      <c r="D523" s="5">
        <v>236</v>
      </c>
      <c r="E523" s="6">
        <v>20843735000194</v>
      </c>
      <c r="F523" s="5">
        <v>236</v>
      </c>
      <c r="G523" s="7">
        <v>177686980129601</v>
      </c>
      <c r="H523" s="5" t="s">
        <v>430</v>
      </c>
      <c r="I523" s="5" t="s">
        <v>52</v>
      </c>
      <c r="J523" s="5" t="s">
        <v>22</v>
      </c>
      <c r="K523" s="5" t="s">
        <v>36</v>
      </c>
      <c r="L523" s="5" t="s">
        <v>36</v>
      </c>
      <c r="M523" s="5" t="s">
        <v>284</v>
      </c>
      <c r="N523" s="5" t="s">
        <v>53</v>
      </c>
      <c r="O523" s="5">
        <v>1</v>
      </c>
      <c r="P523" s="5"/>
      <c r="Q523" s="5"/>
      <c r="R523" s="8">
        <v>0</v>
      </c>
      <c r="S523" s="5" t="s">
        <v>37</v>
      </c>
      <c r="T523" t="str">
        <f>IF(Tabela1[[#This Row],[STATUS_NEGOCIO]]="Enviar E-mail",1,"")</f>
        <v/>
      </c>
      <c r="U523" t="str">
        <f>TEXT(Tabela1[[#This Row],[DATA]],"dd/mm/aaaa")</f>
        <v>22/04/2026</v>
      </c>
    </row>
    <row r="524" spans="1:21" x14ac:dyDescent="0.25">
      <c r="A524" s="4">
        <v>46134.497696759259</v>
      </c>
      <c r="B524" s="5" t="s">
        <v>19</v>
      </c>
      <c r="C524" s="5" t="s">
        <v>37</v>
      </c>
      <c r="D524" s="5">
        <v>237</v>
      </c>
      <c r="E524" s="6">
        <v>20920341000192</v>
      </c>
      <c r="F524" s="5">
        <v>237</v>
      </c>
      <c r="G524" s="7">
        <v>177686980129621</v>
      </c>
      <c r="H524" s="5" t="s">
        <v>143</v>
      </c>
      <c r="I524" s="5">
        <v>3003</v>
      </c>
      <c r="J524" s="5" t="s">
        <v>22</v>
      </c>
      <c r="K524" s="5" t="s">
        <v>23</v>
      </c>
      <c r="L524" s="5" t="s">
        <v>31</v>
      </c>
      <c r="M524" s="5" t="s">
        <v>284</v>
      </c>
      <c r="N524" s="5" t="s">
        <v>53</v>
      </c>
      <c r="O524" s="5">
        <v>128</v>
      </c>
      <c r="P524" s="5"/>
      <c r="Q524" s="5"/>
      <c r="R524" s="8">
        <v>8.1018518518518516E-5</v>
      </c>
      <c r="S524" s="5" t="s">
        <v>37</v>
      </c>
      <c r="T524" t="str">
        <f>IF(Tabela1[[#This Row],[STATUS_NEGOCIO]]="Enviar E-mail",1,"")</f>
        <v/>
      </c>
      <c r="U524" t="str">
        <f>TEXT(Tabela1[[#This Row],[DATA]],"dd/mm/aaaa")</f>
        <v>22/04/2026</v>
      </c>
    </row>
    <row r="525" spans="1:21" x14ac:dyDescent="0.25">
      <c r="A525" s="4">
        <v>46134.497858796298</v>
      </c>
      <c r="B525" s="5" t="s">
        <v>19</v>
      </c>
      <c r="C525" s="5" t="s">
        <v>27</v>
      </c>
      <c r="D525" s="5">
        <v>238</v>
      </c>
      <c r="E525" s="6">
        <v>21065802000150</v>
      </c>
      <c r="F525" s="5">
        <v>238</v>
      </c>
      <c r="G525" s="7">
        <v>177686981529691</v>
      </c>
      <c r="H525" s="5" t="s">
        <v>431</v>
      </c>
      <c r="I525" s="5">
        <v>3003</v>
      </c>
      <c r="J525" s="5" t="s">
        <v>22</v>
      </c>
      <c r="K525" s="5" t="s">
        <v>23</v>
      </c>
      <c r="L525" s="5" t="s">
        <v>40</v>
      </c>
      <c r="M525" s="5" t="s">
        <v>284</v>
      </c>
      <c r="N525" s="5" t="s">
        <v>26</v>
      </c>
      <c r="O525" s="5">
        <v>16</v>
      </c>
      <c r="P525" s="5"/>
      <c r="Q525" s="5"/>
      <c r="R525" s="8">
        <v>2.5694444444444445E-3</v>
      </c>
      <c r="S525" s="8">
        <v>2.5347222222222221E-3</v>
      </c>
      <c r="T525">
        <f>IF(Tabela1[[#This Row],[STATUS_NEGOCIO]]="Enviar E-mail",1,"")</f>
        <v>1</v>
      </c>
      <c r="U525" t="str">
        <f>TEXT(Tabela1[[#This Row],[DATA]],"dd/mm/aaaa")</f>
        <v>22/04/2026</v>
      </c>
    </row>
    <row r="526" spans="1:21" x14ac:dyDescent="0.25">
      <c r="A526" s="4">
        <v>46134.500671296293</v>
      </c>
      <c r="B526" s="5" t="s">
        <v>19</v>
      </c>
      <c r="C526" s="5" t="s">
        <v>37</v>
      </c>
      <c r="D526" s="5">
        <v>240</v>
      </c>
      <c r="E526" s="6">
        <v>21108715000132</v>
      </c>
      <c r="F526" s="5">
        <v>240</v>
      </c>
      <c r="G526" s="7">
        <v>177687005830381</v>
      </c>
      <c r="H526" s="5" t="s">
        <v>432</v>
      </c>
      <c r="I526" s="5" t="s">
        <v>52</v>
      </c>
      <c r="J526" s="5" t="s">
        <v>22</v>
      </c>
      <c r="K526" s="5" t="s">
        <v>36</v>
      </c>
      <c r="L526" s="5" t="s">
        <v>36</v>
      </c>
      <c r="M526" s="5" t="s">
        <v>284</v>
      </c>
      <c r="N526" s="5" t="s">
        <v>53</v>
      </c>
      <c r="O526" s="5">
        <v>34</v>
      </c>
      <c r="P526" s="5"/>
      <c r="Q526" s="5"/>
      <c r="R526" s="8">
        <v>0</v>
      </c>
      <c r="S526" s="5" t="s">
        <v>37</v>
      </c>
      <c r="T526" t="str">
        <f>IF(Tabela1[[#This Row],[STATUS_NEGOCIO]]="Enviar E-mail",1,"")</f>
        <v/>
      </c>
      <c r="U526" t="str">
        <f>TEXT(Tabela1[[#This Row],[DATA]],"dd/mm/aaaa")</f>
        <v>22/04/2026</v>
      </c>
    </row>
    <row r="527" spans="1:21" x14ac:dyDescent="0.25">
      <c r="A527" s="4">
        <v>46134.500671296293</v>
      </c>
      <c r="B527" s="5" t="s">
        <v>19</v>
      </c>
      <c r="C527" s="5" t="s">
        <v>37</v>
      </c>
      <c r="D527" s="5">
        <v>241</v>
      </c>
      <c r="E527" s="6">
        <v>21147409000105</v>
      </c>
      <c r="F527" s="5">
        <v>241</v>
      </c>
      <c r="G527" s="7">
        <v>177687005830391</v>
      </c>
      <c r="H527" s="5" t="s">
        <v>433</v>
      </c>
      <c r="I527" s="5">
        <v>3003</v>
      </c>
      <c r="J527" s="5" t="s">
        <v>22</v>
      </c>
      <c r="K527" s="5" t="s">
        <v>23</v>
      </c>
      <c r="L527" s="5" t="s">
        <v>31</v>
      </c>
      <c r="M527" s="5" t="s">
        <v>284</v>
      </c>
      <c r="N527" s="5" t="s">
        <v>53</v>
      </c>
      <c r="O527" s="5">
        <v>128</v>
      </c>
      <c r="P527" s="5"/>
      <c r="Q527" s="5"/>
      <c r="R527" s="8">
        <v>8.1018518518518516E-5</v>
      </c>
      <c r="S527" s="5" t="s">
        <v>37</v>
      </c>
      <c r="T527" t="str">
        <f>IF(Tabela1[[#This Row],[STATUS_NEGOCIO]]="Enviar E-mail",1,"")</f>
        <v/>
      </c>
      <c r="U527" t="str">
        <f>TEXT(Tabela1[[#This Row],[DATA]],"dd/mm/aaaa")</f>
        <v>22/04/2026</v>
      </c>
    </row>
    <row r="528" spans="1:21" x14ac:dyDescent="0.25">
      <c r="A528" s="4">
        <v>46134.500671296293</v>
      </c>
      <c r="B528" s="5" t="s">
        <v>19</v>
      </c>
      <c r="C528" s="5" t="s">
        <v>37</v>
      </c>
      <c r="D528" s="5">
        <v>242</v>
      </c>
      <c r="E528" s="6">
        <v>21466995000150</v>
      </c>
      <c r="F528" s="5">
        <v>242</v>
      </c>
      <c r="G528" s="7">
        <v>177687005830401</v>
      </c>
      <c r="H528" s="5" t="s">
        <v>434</v>
      </c>
      <c r="I528" s="5">
        <v>3003</v>
      </c>
      <c r="J528" s="5" t="s">
        <v>22</v>
      </c>
      <c r="K528" s="5" t="s">
        <v>23</v>
      </c>
      <c r="L528" s="5" t="s">
        <v>31</v>
      </c>
      <c r="M528" s="5" t="s">
        <v>284</v>
      </c>
      <c r="N528" s="5" t="s">
        <v>53</v>
      </c>
      <c r="O528" s="5">
        <v>128</v>
      </c>
      <c r="P528" s="5"/>
      <c r="Q528" s="5"/>
      <c r="R528" s="8">
        <v>6.9444444444444444E-5</v>
      </c>
      <c r="S528" s="5" t="s">
        <v>37</v>
      </c>
      <c r="T528" t="str">
        <f>IF(Tabela1[[#This Row],[STATUS_NEGOCIO]]="Enviar E-mail",1,"")</f>
        <v/>
      </c>
      <c r="U528" t="str">
        <f>TEXT(Tabela1[[#This Row],[DATA]],"dd/mm/aaaa")</f>
        <v>22/04/2026</v>
      </c>
    </row>
    <row r="529" spans="1:21" x14ac:dyDescent="0.25">
      <c r="A529" s="4">
        <v>46134.500671296293</v>
      </c>
      <c r="B529" s="5" t="s">
        <v>19</v>
      </c>
      <c r="C529" s="5" t="s">
        <v>37</v>
      </c>
      <c r="D529" s="5">
        <v>243</v>
      </c>
      <c r="E529" s="6">
        <v>21511926000111</v>
      </c>
      <c r="F529" s="5">
        <v>243</v>
      </c>
      <c r="G529" s="7">
        <v>177687005830411</v>
      </c>
      <c r="H529" s="5" t="s">
        <v>122</v>
      </c>
      <c r="I529" s="5">
        <v>3003</v>
      </c>
      <c r="J529" s="5" t="s">
        <v>22</v>
      </c>
      <c r="K529" s="5" t="s">
        <v>23</v>
      </c>
      <c r="L529" s="5" t="s">
        <v>31</v>
      </c>
      <c r="M529" s="5" t="s">
        <v>284</v>
      </c>
      <c r="N529" s="5" t="s">
        <v>53</v>
      </c>
      <c r="O529" s="5">
        <v>147</v>
      </c>
      <c r="P529" s="5"/>
      <c r="Q529" s="5"/>
      <c r="R529" s="8">
        <v>8.1018518518518516E-5</v>
      </c>
      <c r="S529" s="5" t="s">
        <v>37</v>
      </c>
      <c r="T529" t="str">
        <f>IF(Tabela1[[#This Row],[STATUS_NEGOCIO]]="Enviar E-mail",1,"")</f>
        <v/>
      </c>
      <c r="U529" t="str">
        <f>TEXT(Tabela1[[#This Row],[DATA]],"dd/mm/aaaa")</f>
        <v>22/04/2026</v>
      </c>
    </row>
    <row r="530" spans="1:21" x14ac:dyDescent="0.25">
      <c r="A530" s="4">
        <v>46134.500671296293</v>
      </c>
      <c r="B530" s="5" t="s">
        <v>19</v>
      </c>
      <c r="C530" s="5" t="s">
        <v>37</v>
      </c>
      <c r="D530" s="5">
        <v>244</v>
      </c>
      <c r="E530" s="6">
        <v>21536041000177</v>
      </c>
      <c r="F530" s="5">
        <v>244</v>
      </c>
      <c r="G530" s="7">
        <v>177687005830421</v>
      </c>
      <c r="H530" s="5" t="s">
        <v>435</v>
      </c>
      <c r="I530" s="5">
        <v>3003</v>
      </c>
      <c r="J530" s="5" t="s">
        <v>22</v>
      </c>
      <c r="K530" s="5" t="s">
        <v>23</v>
      </c>
      <c r="L530" s="5" t="s">
        <v>31</v>
      </c>
      <c r="M530" s="5" t="s">
        <v>284</v>
      </c>
      <c r="N530" s="5" t="s">
        <v>53</v>
      </c>
      <c r="O530" s="5">
        <v>147</v>
      </c>
      <c r="P530" s="5"/>
      <c r="Q530" s="5"/>
      <c r="R530" s="8">
        <v>8.1018518518518516E-5</v>
      </c>
      <c r="S530" s="5" t="s">
        <v>37</v>
      </c>
      <c r="T530" t="str">
        <f>IF(Tabela1[[#This Row],[STATUS_NEGOCIO]]="Enviar E-mail",1,"")</f>
        <v/>
      </c>
      <c r="U530" t="str">
        <f>TEXT(Tabela1[[#This Row],[DATA]],"dd/mm/aaaa")</f>
        <v>22/04/2026</v>
      </c>
    </row>
    <row r="531" spans="1:21" x14ac:dyDescent="0.25">
      <c r="A531" s="4">
        <v>46134.501307870371</v>
      </c>
      <c r="B531" s="5" t="s">
        <v>19</v>
      </c>
      <c r="C531" s="5" t="s">
        <v>37</v>
      </c>
      <c r="D531" s="5">
        <v>246</v>
      </c>
      <c r="E531" s="6">
        <v>21918143000157</v>
      </c>
      <c r="F531" s="5">
        <v>246</v>
      </c>
      <c r="G531" s="7">
        <v>177687011330611</v>
      </c>
      <c r="H531" s="5" t="s">
        <v>361</v>
      </c>
      <c r="I531" s="5">
        <v>3003</v>
      </c>
      <c r="J531" s="5" t="s">
        <v>22</v>
      </c>
      <c r="K531" s="5" t="s">
        <v>23</v>
      </c>
      <c r="L531" s="5" t="s">
        <v>31</v>
      </c>
      <c r="M531" s="5" t="s">
        <v>284</v>
      </c>
      <c r="N531" s="5" t="s">
        <v>53</v>
      </c>
      <c r="O531" s="5">
        <v>128</v>
      </c>
      <c r="P531" s="5"/>
      <c r="Q531" s="5"/>
      <c r="R531" s="8">
        <v>8.1018518518518516E-5</v>
      </c>
      <c r="S531" s="5" t="s">
        <v>37</v>
      </c>
      <c r="T531" t="str">
        <f>IF(Tabela1[[#This Row],[STATUS_NEGOCIO]]="Enviar E-mail",1,"")</f>
        <v/>
      </c>
      <c r="U531" t="str">
        <f>TEXT(Tabela1[[#This Row],[DATA]],"dd/mm/aaaa")</f>
        <v>22/04/2026</v>
      </c>
    </row>
    <row r="532" spans="1:21" x14ac:dyDescent="0.25">
      <c r="A532" s="4">
        <v>46134.501307870371</v>
      </c>
      <c r="B532" s="5" t="s">
        <v>19</v>
      </c>
      <c r="C532" s="5" t="s">
        <v>37</v>
      </c>
      <c r="D532" s="5">
        <v>247</v>
      </c>
      <c r="E532" s="6">
        <v>21934634000191</v>
      </c>
      <c r="F532" s="5">
        <v>247</v>
      </c>
      <c r="G532" s="7">
        <v>177687011330621</v>
      </c>
      <c r="H532" s="5" t="s">
        <v>436</v>
      </c>
      <c r="I532" s="5">
        <v>3003</v>
      </c>
      <c r="J532" s="5" t="s">
        <v>22</v>
      </c>
      <c r="K532" s="5" t="s">
        <v>23</v>
      </c>
      <c r="L532" s="5" t="s">
        <v>31</v>
      </c>
      <c r="M532" s="5" t="s">
        <v>284</v>
      </c>
      <c r="N532" s="5" t="s">
        <v>53</v>
      </c>
      <c r="O532" s="5">
        <v>128</v>
      </c>
      <c r="P532" s="5"/>
      <c r="Q532" s="5"/>
      <c r="R532" s="8">
        <v>8.1018518518518516E-5</v>
      </c>
      <c r="S532" s="5" t="s">
        <v>37</v>
      </c>
      <c r="T532" t="str">
        <f>IF(Tabela1[[#This Row],[STATUS_NEGOCIO]]="Enviar E-mail",1,"")</f>
        <v/>
      </c>
      <c r="U532" t="str">
        <f>TEXT(Tabela1[[#This Row],[DATA]],"dd/mm/aaaa")</f>
        <v>22/04/2026</v>
      </c>
    </row>
    <row r="533" spans="1:21" x14ac:dyDescent="0.25">
      <c r="A533" s="4">
        <v>46134.501307870371</v>
      </c>
      <c r="B533" s="5" t="s">
        <v>19</v>
      </c>
      <c r="C533" s="5" t="s">
        <v>37</v>
      </c>
      <c r="D533" s="5">
        <v>248</v>
      </c>
      <c r="E533" s="6">
        <v>22122960000167</v>
      </c>
      <c r="F533" s="5">
        <v>248</v>
      </c>
      <c r="G533" s="7">
        <v>177687011330631</v>
      </c>
      <c r="H533" s="5" t="s">
        <v>437</v>
      </c>
      <c r="I533" s="5">
        <v>3003</v>
      </c>
      <c r="J533" s="5" t="s">
        <v>22</v>
      </c>
      <c r="K533" s="5" t="s">
        <v>23</v>
      </c>
      <c r="L533" s="5" t="s">
        <v>31</v>
      </c>
      <c r="M533" s="5" t="s">
        <v>284</v>
      </c>
      <c r="N533" s="5" t="s">
        <v>53</v>
      </c>
      <c r="O533" s="5">
        <v>128</v>
      </c>
      <c r="P533" s="5"/>
      <c r="Q533" s="5"/>
      <c r="R533" s="8">
        <v>8.1018518518518516E-5</v>
      </c>
      <c r="S533" s="5" t="s">
        <v>37</v>
      </c>
      <c r="T533" t="str">
        <f>IF(Tabela1[[#This Row],[STATUS_NEGOCIO]]="Enviar E-mail",1,"")</f>
        <v/>
      </c>
      <c r="U533" t="str">
        <f>TEXT(Tabela1[[#This Row],[DATA]],"dd/mm/aaaa")</f>
        <v>22/04/2026</v>
      </c>
    </row>
    <row r="534" spans="1:21" x14ac:dyDescent="0.25">
      <c r="A534" s="4">
        <v>46134.501307870371</v>
      </c>
      <c r="B534" s="5" t="s">
        <v>19</v>
      </c>
      <c r="C534" s="5" t="s">
        <v>37</v>
      </c>
      <c r="D534" s="5">
        <v>249</v>
      </c>
      <c r="E534" s="6">
        <v>22213087000118</v>
      </c>
      <c r="F534" s="5">
        <v>249</v>
      </c>
      <c r="G534" s="7">
        <v>177687011330641</v>
      </c>
      <c r="H534" s="5" t="s">
        <v>438</v>
      </c>
      <c r="I534" s="5">
        <v>3003</v>
      </c>
      <c r="J534" s="5" t="s">
        <v>22</v>
      </c>
      <c r="K534" s="5" t="s">
        <v>23</v>
      </c>
      <c r="L534" s="5" t="s">
        <v>31</v>
      </c>
      <c r="M534" s="5" t="s">
        <v>284</v>
      </c>
      <c r="N534" s="5" t="s">
        <v>53</v>
      </c>
      <c r="O534" s="5">
        <v>128</v>
      </c>
      <c r="P534" s="5"/>
      <c r="Q534" s="5"/>
      <c r="R534" s="8">
        <v>8.1018518518518516E-5</v>
      </c>
      <c r="S534" s="5" t="s">
        <v>37</v>
      </c>
      <c r="T534" t="str">
        <f>IF(Tabela1[[#This Row],[STATUS_NEGOCIO]]="Enviar E-mail",1,"")</f>
        <v/>
      </c>
      <c r="U534" t="str">
        <f>TEXT(Tabela1[[#This Row],[DATA]],"dd/mm/aaaa")</f>
        <v>22/04/2026</v>
      </c>
    </row>
    <row r="535" spans="1:21" x14ac:dyDescent="0.25">
      <c r="A535" s="4">
        <v>46134.501307870371</v>
      </c>
      <c r="B535" s="5" t="s">
        <v>19</v>
      </c>
      <c r="C535" s="5" t="s">
        <v>20</v>
      </c>
      <c r="D535" s="5">
        <v>250</v>
      </c>
      <c r="E535" s="6">
        <v>22506417000163</v>
      </c>
      <c r="F535" s="5">
        <v>250</v>
      </c>
      <c r="G535" s="7">
        <v>177687011330651</v>
      </c>
      <c r="H535" s="5" t="s">
        <v>439</v>
      </c>
      <c r="I535" s="5">
        <v>3003</v>
      </c>
      <c r="J535" s="5" t="s">
        <v>22</v>
      </c>
      <c r="K535" s="5" t="s">
        <v>23</v>
      </c>
      <c r="L535" s="5" t="s">
        <v>265</v>
      </c>
      <c r="M535" s="5" t="s">
        <v>284</v>
      </c>
      <c r="N535" s="5" t="s">
        <v>26</v>
      </c>
      <c r="O535" s="5">
        <v>16</v>
      </c>
      <c r="P535" s="5"/>
      <c r="Q535" s="5"/>
      <c r="R535" s="8">
        <v>6.9444444444444444E-5</v>
      </c>
      <c r="S535" s="8">
        <v>2.3148148148148147E-5</v>
      </c>
      <c r="T535" t="str">
        <f>IF(Tabela1[[#This Row],[STATUS_NEGOCIO]]="Enviar E-mail",1,"")</f>
        <v/>
      </c>
      <c r="U535" t="str">
        <f>TEXT(Tabela1[[#This Row],[DATA]],"dd/mm/aaaa")</f>
        <v>22/04/2026</v>
      </c>
    </row>
    <row r="536" spans="1:21" x14ac:dyDescent="0.25">
      <c r="A536" s="4">
        <v>46134.501840277779</v>
      </c>
      <c r="B536" s="5" t="s">
        <v>19</v>
      </c>
      <c r="C536" s="5" t="s">
        <v>37</v>
      </c>
      <c r="D536" s="5">
        <v>252</v>
      </c>
      <c r="E536" s="6">
        <v>22843195000174</v>
      </c>
      <c r="F536" s="5">
        <v>252</v>
      </c>
      <c r="G536" s="7">
        <v>177687015930751</v>
      </c>
      <c r="H536" s="5" t="s">
        <v>160</v>
      </c>
      <c r="I536" s="5">
        <v>3003</v>
      </c>
      <c r="J536" s="5" t="s">
        <v>22</v>
      </c>
      <c r="K536" s="5" t="s">
        <v>23</v>
      </c>
      <c r="L536" s="5" t="s">
        <v>31</v>
      </c>
      <c r="M536" s="5" t="s">
        <v>284</v>
      </c>
      <c r="N536" s="5" t="s">
        <v>53</v>
      </c>
      <c r="O536" s="5">
        <v>128</v>
      </c>
      <c r="P536" s="5"/>
      <c r="Q536" s="5"/>
      <c r="R536" s="8">
        <v>8.1018518518518516E-5</v>
      </c>
      <c r="S536" s="5" t="s">
        <v>37</v>
      </c>
      <c r="T536" t="str">
        <f>IF(Tabela1[[#This Row],[STATUS_NEGOCIO]]="Enviar E-mail",1,"")</f>
        <v/>
      </c>
      <c r="U536" t="str">
        <f>TEXT(Tabela1[[#This Row],[DATA]],"dd/mm/aaaa")</f>
        <v>22/04/2026</v>
      </c>
    </row>
    <row r="537" spans="1:21" x14ac:dyDescent="0.25">
      <c r="A537" s="4">
        <v>46134.501840277779</v>
      </c>
      <c r="B537" s="5" t="s">
        <v>19</v>
      </c>
      <c r="C537" s="5" t="s">
        <v>27</v>
      </c>
      <c r="D537" s="5">
        <v>253</v>
      </c>
      <c r="E537" s="6">
        <v>22964768000118</v>
      </c>
      <c r="F537" s="5">
        <v>253</v>
      </c>
      <c r="G537" s="7">
        <v>177687015930761</v>
      </c>
      <c r="H537" s="5" t="s">
        <v>440</v>
      </c>
      <c r="I537" s="5">
        <v>3003</v>
      </c>
      <c r="J537" s="5" t="s">
        <v>22</v>
      </c>
      <c r="K537" s="5" t="s">
        <v>23</v>
      </c>
      <c r="L537" s="5" t="s">
        <v>219</v>
      </c>
      <c r="M537" s="5" t="s">
        <v>284</v>
      </c>
      <c r="N537" s="5" t="s">
        <v>26</v>
      </c>
      <c r="O537" s="5">
        <v>16</v>
      </c>
      <c r="P537" s="5"/>
      <c r="Q537" s="5"/>
      <c r="R537" s="8">
        <v>3.1250000000000001E-4</v>
      </c>
      <c r="S537" s="8">
        <v>2.5462962962962961E-4</v>
      </c>
      <c r="T537" t="str">
        <f>IF(Tabela1[[#This Row],[STATUS_NEGOCIO]]="Enviar E-mail",1,"")</f>
        <v/>
      </c>
      <c r="U537" t="str">
        <f>TEXT(Tabela1[[#This Row],[DATA]],"dd/mm/aaaa")</f>
        <v>22/04/2026</v>
      </c>
    </row>
    <row r="538" spans="1:21" x14ac:dyDescent="0.25">
      <c r="A538" s="4">
        <v>46134.501840277779</v>
      </c>
      <c r="B538" s="5" t="s">
        <v>19</v>
      </c>
      <c r="C538" s="5" t="s">
        <v>37</v>
      </c>
      <c r="D538" s="5">
        <v>254</v>
      </c>
      <c r="E538" s="6">
        <v>23054134000190</v>
      </c>
      <c r="F538" s="5">
        <v>254</v>
      </c>
      <c r="G538" s="7">
        <v>177687015930771</v>
      </c>
      <c r="H538" s="5" t="s">
        <v>441</v>
      </c>
      <c r="I538" s="5">
        <v>3003</v>
      </c>
      <c r="J538" s="5" t="s">
        <v>22</v>
      </c>
      <c r="K538" s="5" t="s">
        <v>23</v>
      </c>
      <c r="L538" s="5" t="s">
        <v>31</v>
      </c>
      <c r="M538" s="5" t="s">
        <v>284</v>
      </c>
      <c r="N538" s="5" t="s">
        <v>53</v>
      </c>
      <c r="O538" s="5">
        <v>128</v>
      </c>
      <c r="P538" s="5"/>
      <c r="Q538" s="5"/>
      <c r="R538" s="8">
        <v>8.1018518518518516E-5</v>
      </c>
      <c r="S538" s="5" t="s">
        <v>37</v>
      </c>
      <c r="T538" t="str">
        <f>IF(Tabela1[[#This Row],[STATUS_NEGOCIO]]="Enviar E-mail",1,"")</f>
        <v/>
      </c>
      <c r="U538" t="str">
        <f>TEXT(Tabela1[[#This Row],[DATA]],"dd/mm/aaaa")</f>
        <v>22/04/2026</v>
      </c>
    </row>
    <row r="539" spans="1:21" x14ac:dyDescent="0.25">
      <c r="A539" s="4">
        <v>46134.501840277779</v>
      </c>
      <c r="B539" s="5" t="s">
        <v>19</v>
      </c>
      <c r="C539" s="5" t="s">
        <v>37</v>
      </c>
      <c r="D539" s="5">
        <v>255</v>
      </c>
      <c r="E539" s="6">
        <v>23108884000106</v>
      </c>
      <c r="F539" s="5">
        <v>255</v>
      </c>
      <c r="G539" s="7">
        <v>177687015930781</v>
      </c>
      <c r="H539" s="5" t="s">
        <v>442</v>
      </c>
      <c r="I539" s="5">
        <v>3003</v>
      </c>
      <c r="J539" s="5" t="s">
        <v>22</v>
      </c>
      <c r="K539" s="5" t="s">
        <v>23</v>
      </c>
      <c r="L539" s="5" t="s">
        <v>31</v>
      </c>
      <c r="M539" s="5" t="s">
        <v>284</v>
      </c>
      <c r="N539" s="5" t="s">
        <v>53</v>
      </c>
      <c r="O539" s="5">
        <v>128</v>
      </c>
      <c r="P539" s="5"/>
      <c r="Q539" s="5"/>
      <c r="R539" s="8">
        <v>8.1018518518518516E-5</v>
      </c>
      <c r="S539" s="5" t="s">
        <v>37</v>
      </c>
      <c r="T539" t="str">
        <f>IF(Tabela1[[#This Row],[STATUS_NEGOCIO]]="Enviar E-mail",1,"")</f>
        <v/>
      </c>
      <c r="U539" t="str">
        <f>TEXT(Tabela1[[#This Row],[DATA]],"dd/mm/aaaa")</f>
        <v>22/04/2026</v>
      </c>
    </row>
    <row r="540" spans="1:21" x14ac:dyDescent="0.25">
      <c r="A540" s="4">
        <v>46134.501840277779</v>
      </c>
      <c r="B540" s="5" t="s">
        <v>19</v>
      </c>
      <c r="C540" s="5" t="s">
        <v>37</v>
      </c>
      <c r="D540" s="5">
        <v>256</v>
      </c>
      <c r="E540" s="6">
        <v>23277156000110</v>
      </c>
      <c r="F540" s="5">
        <v>256</v>
      </c>
      <c r="G540" s="7">
        <v>177687015930791</v>
      </c>
      <c r="H540" s="5" t="s">
        <v>443</v>
      </c>
      <c r="I540" s="5">
        <v>3003</v>
      </c>
      <c r="J540" s="5" t="s">
        <v>22</v>
      </c>
      <c r="K540" s="5" t="s">
        <v>23</v>
      </c>
      <c r="L540" s="5" t="s">
        <v>31</v>
      </c>
      <c r="M540" s="5" t="s">
        <v>284</v>
      </c>
      <c r="N540" s="5" t="s">
        <v>53</v>
      </c>
      <c r="O540" s="5">
        <v>128</v>
      </c>
      <c r="P540" s="5"/>
      <c r="Q540" s="5"/>
      <c r="R540" s="8">
        <v>8.1018518518518516E-5</v>
      </c>
      <c r="S540" s="5" t="s">
        <v>37</v>
      </c>
      <c r="T540" t="str">
        <f>IF(Tabela1[[#This Row],[STATUS_NEGOCIO]]="Enviar E-mail",1,"")</f>
        <v/>
      </c>
      <c r="U540" t="str">
        <f>TEXT(Tabela1[[#This Row],[DATA]],"dd/mm/aaaa")</f>
        <v>22/04/2026</v>
      </c>
    </row>
    <row r="541" spans="1:21" x14ac:dyDescent="0.25">
      <c r="A541" s="4">
        <v>46134.502372685187</v>
      </c>
      <c r="B541" s="5" t="s">
        <v>19</v>
      </c>
      <c r="C541" s="5" t="s">
        <v>37</v>
      </c>
      <c r="D541" s="5">
        <v>258</v>
      </c>
      <c r="E541" s="6">
        <v>23391798000145</v>
      </c>
      <c r="F541" s="5">
        <v>258</v>
      </c>
      <c r="G541" s="7">
        <v>177687020530931</v>
      </c>
      <c r="H541" s="5" t="s">
        <v>221</v>
      </c>
      <c r="I541" s="5">
        <v>3003</v>
      </c>
      <c r="J541" s="5" t="s">
        <v>22</v>
      </c>
      <c r="K541" s="5" t="s">
        <v>23</v>
      </c>
      <c r="L541" s="5" t="s">
        <v>31</v>
      </c>
      <c r="M541" s="5" t="s">
        <v>284</v>
      </c>
      <c r="N541" s="5" t="s">
        <v>53</v>
      </c>
      <c r="O541" s="5">
        <v>128</v>
      </c>
      <c r="P541" s="5"/>
      <c r="Q541" s="5"/>
      <c r="R541" s="8">
        <v>8.1018518518518516E-5</v>
      </c>
      <c r="S541" s="5" t="s">
        <v>37</v>
      </c>
      <c r="T541" t="str">
        <f>IF(Tabela1[[#This Row],[STATUS_NEGOCIO]]="Enviar E-mail",1,"")</f>
        <v/>
      </c>
      <c r="U541" t="str">
        <f>TEXT(Tabela1[[#This Row],[DATA]],"dd/mm/aaaa")</f>
        <v>22/04/2026</v>
      </c>
    </row>
    <row r="542" spans="1:21" x14ac:dyDescent="0.25">
      <c r="A542" s="4">
        <v>46134.502372685187</v>
      </c>
      <c r="B542" s="5" t="s">
        <v>19</v>
      </c>
      <c r="C542" s="5" t="s">
        <v>37</v>
      </c>
      <c r="D542" s="5">
        <v>259</v>
      </c>
      <c r="E542" s="6">
        <v>23628802000146</v>
      </c>
      <c r="F542" s="5">
        <v>259</v>
      </c>
      <c r="G542" s="7">
        <v>177687020530941</v>
      </c>
      <c r="H542" s="5" t="s">
        <v>245</v>
      </c>
      <c r="I542" s="5">
        <v>3003</v>
      </c>
      <c r="J542" s="5" t="s">
        <v>22</v>
      </c>
      <c r="K542" s="5" t="s">
        <v>23</v>
      </c>
      <c r="L542" s="5" t="s">
        <v>31</v>
      </c>
      <c r="M542" s="5" t="s">
        <v>284</v>
      </c>
      <c r="N542" s="5" t="s">
        <v>53</v>
      </c>
      <c r="O542" s="5">
        <v>128</v>
      </c>
      <c r="P542" s="5"/>
      <c r="Q542" s="5"/>
      <c r="R542" s="8">
        <v>6.9444444444444444E-5</v>
      </c>
      <c r="S542" s="5" t="s">
        <v>37</v>
      </c>
      <c r="T542" t="str">
        <f>IF(Tabela1[[#This Row],[STATUS_NEGOCIO]]="Enviar E-mail",1,"")</f>
        <v/>
      </c>
      <c r="U542" t="str">
        <f>TEXT(Tabela1[[#This Row],[DATA]],"dd/mm/aaaa")</f>
        <v>22/04/2026</v>
      </c>
    </row>
    <row r="543" spans="1:21" x14ac:dyDescent="0.25">
      <c r="A543" s="4">
        <v>46134.502372685187</v>
      </c>
      <c r="B543" s="5" t="s">
        <v>19</v>
      </c>
      <c r="C543" s="5" t="s">
        <v>37</v>
      </c>
      <c r="D543" s="5">
        <v>260</v>
      </c>
      <c r="E543" s="6">
        <v>23836838000115</v>
      </c>
      <c r="F543" s="5">
        <v>260</v>
      </c>
      <c r="G543" s="7">
        <v>177687020530951</v>
      </c>
      <c r="H543" s="5" t="s">
        <v>164</v>
      </c>
      <c r="I543" s="5">
        <v>3003</v>
      </c>
      <c r="J543" s="5" t="s">
        <v>22</v>
      </c>
      <c r="K543" s="5" t="s">
        <v>23</v>
      </c>
      <c r="L543" s="5" t="s">
        <v>31</v>
      </c>
      <c r="M543" s="5" t="s">
        <v>284</v>
      </c>
      <c r="N543" s="5" t="s">
        <v>53</v>
      </c>
      <c r="O543" s="5">
        <v>128</v>
      </c>
      <c r="P543" s="5"/>
      <c r="Q543" s="5"/>
      <c r="R543" s="8">
        <v>8.1018518518518516E-5</v>
      </c>
      <c r="S543" s="5" t="s">
        <v>37</v>
      </c>
      <c r="T543" t="str">
        <f>IF(Tabela1[[#This Row],[STATUS_NEGOCIO]]="Enviar E-mail",1,"")</f>
        <v/>
      </c>
      <c r="U543" t="str">
        <f>TEXT(Tabela1[[#This Row],[DATA]],"dd/mm/aaaa")</f>
        <v>22/04/2026</v>
      </c>
    </row>
    <row r="544" spans="1:21" x14ac:dyDescent="0.25">
      <c r="A544" s="4">
        <v>46134.502372685187</v>
      </c>
      <c r="B544" s="5" t="s">
        <v>19</v>
      </c>
      <c r="C544" s="5" t="s">
        <v>37</v>
      </c>
      <c r="D544" s="5">
        <v>261</v>
      </c>
      <c r="E544" s="6">
        <v>23884500000139</v>
      </c>
      <c r="F544" s="5">
        <v>261</v>
      </c>
      <c r="G544" s="7">
        <v>177687020530961</v>
      </c>
      <c r="H544" s="5" t="s">
        <v>47</v>
      </c>
      <c r="I544" s="5">
        <v>3003</v>
      </c>
      <c r="J544" s="5" t="s">
        <v>22</v>
      </c>
      <c r="K544" s="5" t="s">
        <v>23</v>
      </c>
      <c r="L544" s="5" t="s">
        <v>31</v>
      </c>
      <c r="M544" s="5" t="s">
        <v>284</v>
      </c>
      <c r="N544" s="5" t="s">
        <v>53</v>
      </c>
      <c r="O544" s="5">
        <v>128</v>
      </c>
      <c r="P544" s="5"/>
      <c r="Q544" s="5"/>
      <c r="R544" s="8">
        <v>8.1018518518518516E-5</v>
      </c>
      <c r="S544" s="5" t="s">
        <v>37</v>
      </c>
      <c r="T544" t="str">
        <f>IF(Tabela1[[#This Row],[STATUS_NEGOCIO]]="Enviar E-mail",1,"")</f>
        <v/>
      </c>
      <c r="U544" t="str">
        <f>TEXT(Tabela1[[#This Row],[DATA]],"dd/mm/aaaa")</f>
        <v>22/04/2026</v>
      </c>
    </row>
    <row r="545" spans="1:21" x14ac:dyDescent="0.25">
      <c r="A545" s="4">
        <v>46134.502384259256</v>
      </c>
      <c r="B545" s="5" t="s">
        <v>19</v>
      </c>
      <c r="C545" s="5" t="s">
        <v>37</v>
      </c>
      <c r="D545" s="5">
        <v>262</v>
      </c>
      <c r="E545" s="6">
        <v>24021427000134</v>
      </c>
      <c r="F545" s="5">
        <v>262</v>
      </c>
      <c r="G545" s="7">
        <v>177687020630971</v>
      </c>
      <c r="H545" s="5" t="s">
        <v>444</v>
      </c>
      <c r="I545" s="5">
        <v>3003</v>
      </c>
      <c r="J545" s="5" t="s">
        <v>22</v>
      </c>
      <c r="K545" s="5" t="s">
        <v>23</v>
      </c>
      <c r="L545" s="5" t="s">
        <v>31</v>
      </c>
      <c r="M545" s="5" t="s">
        <v>284</v>
      </c>
      <c r="N545" s="5" t="s">
        <v>53</v>
      </c>
      <c r="O545" s="5">
        <v>128</v>
      </c>
      <c r="P545" s="5"/>
      <c r="Q545" s="5"/>
      <c r="R545" s="8">
        <v>8.1018518518518516E-5</v>
      </c>
      <c r="S545" s="5" t="s">
        <v>37</v>
      </c>
      <c r="T545" t="str">
        <f>IF(Tabela1[[#This Row],[STATUS_NEGOCIO]]="Enviar E-mail",1,"")</f>
        <v/>
      </c>
      <c r="U545" t="str">
        <f>TEXT(Tabela1[[#This Row],[DATA]],"dd/mm/aaaa")</f>
        <v>22/04/2026</v>
      </c>
    </row>
    <row r="546" spans="1:21" x14ac:dyDescent="0.25">
      <c r="A546" s="4">
        <v>46134.502939814818</v>
      </c>
      <c r="B546" s="5" t="s">
        <v>19</v>
      </c>
      <c r="C546" s="5" t="s">
        <v>37</v>
      </c>
      <c r="D546" s="5">
        <v>263</v>
      </c>
      <c r="E546" s="6">
        <v>24265410000122</v>
      </c>
      <c r="F546" s="5">
        <v>263</v>
      </c>
      <c r="G546" s="7">
        <v>177687025431151</v>
      </c>
      <c r="H546" s="5" t="s">
        <v>55</v>
      </c>
      <c r="I546" s="5">
        <v>3003</v>
      </c>
      <c r="J546" s="5" t="s">
        <v>22</v>
      </c>
      <c r="K546" s="5" t="s">
        <v>23</v>
      </c>
      <c r="L546" s="5" t="s">
        <v>31</v>
      </c>
      <c r="M546" s="5" t="s">
        <v>284</v>
      </c>
      <c r="N546" s="5" t="s">
        <v>53</v>
      </c>
      <c r="O546" s="5">
        <v>128</v>
      </c>
      <c r="P546" s="5"/>
      <c r="Q546" s="5"/>
      <c r="R546" s="8">
        <v>8.1018518518518516E-5</v>
      </c>
      <c r="S546" s="5" t="s">
        <v>37</v>
      </c>
      <c r="T546" t="str">
        <f>IF(Tabela1[[#This Row],[STATUS_NEGOCIO]]="Enviar E-mail",1,"")</f>
        <v/>
      </c>
      <c r="U546" t="str">
        <f>TEXT(Tabela1[[#This Row],[DATA]],"dd/mm/aaaa")</f>
        <v>22/04/2026</v>
      </c>
    </row>
    <row r="547" spans="1:21" x14ac:dyDescent="0.25">
      <c r="A547" s="4">
        <v>46134.503113425926</v>
      </c>
      <c r="B547" s="5" t="s">
        <v>19</v>
      </c>
      <c r="C547" s="5" t="s">
        <v>37</v>
      </c>
      <c r="D547" s="5">
        <v>264</v>
      </c>
      <c r="E547" s="6">
        <v>24323383000105</v>
      </c>
      <c r="F547" s="5">
        <v>264</v>
      </c>
      <c r="G547" s="7">
        <v>177687026931171</v>
      </c>
      <c r="H547" s="5" t="s">
        <v>271</v>
      </c>
      <c r="I547" s="5">
        <v>3003</v>
      </c>
      <c r="J547" s="5" t="s">
        <v>22</v>
      </c>
      <c r="K547" s="5" t="s">
        <v>23</v>
      </c>
      <c r="L547" s="5" t="s">
        <v>31</v>
      </c>
      <c r="M547" s="5" t="s">
        <v>284</v>
      </c>
      <c r="N547" s="5" t="s">
        <v>53</v>
      </c>
      <c r="O547" s="5">
        <v>128</v>
      </c>
      <c r="P547" s="5"/>
      <c r="Q547" s="5"/>
      <c r="R547" s="8">
        <v>8.1018518518518516E-5</v>
      </c>
      <c r="S547" s="5" t="s">
        <v>37</v>
      </c>
      <c r="T547" t="str">
        <f>IF(Tabela1[[#This Row],[STATUS_NEGOCIO]]="Enviar E-mail",1,"")</f>
        <v/>
      </c>
      <c r="U547" t="str">
        <f>TEXT(Tabela1[[#This Row],[DATA]],"dd/mm/aaaa")</f>
        <v>22/04/2026</v>
      </c>
    </row>
    <row r="548" spans="1:21" x14ac:dyDescent="0.25">
      <c r="A548" s="4">
        <v>46134.503344907411</v>
      </c>
      <c r="B548" s="5" t="s">
        <v>19</v>
      </c>
      <c r="C548" s="5" t="s">
        <v>37</v>
      </c>
      <c r="D548" s="5">
        <v>265</v>
      </c>
      <c r="E548" s="6">
        <v>24373917000108</v>
      </c>
      <c r="F548" s="5">
        <v>265</v>
      </c>
      <c r="G548" s="7">
        <v>177687028931191</v>
      </c>
      <c r="H548" s="5" t="s">
        <v>445</v>
      </c>
      <c r="I548" s="5">
        <v>3003</v>
      </c>
      <c r="J548" s="5" t="s">
        <v>22</v>
      </c>
      <c r="K548" s="5" t="s">
        <v>23</v>
      </c>
      <c r="L548" s="5" t="s">
        <v>31</v>
      </c>
      <c r="M548" s="5" t="s">
        <v>284</v>
      </c>
      <c r="N548" s="5" t="s">
        <v>53</v>
      </c>
      <c r="O548" s="5">
        <v>128</v>
      </c>
      <c r="P548" s="5"/>
      <c r="Q548" s="5"/>
      <c r="R548" s="8">
        <v>8.1018518518518516E-5</v>
      </c>
      <c r="S548" s="5" t="s">
        <v>37</v>
      </c>
      <c r="T548" t="str">
        <f>IF(Tabela1[[#This Row],[STATUS_NEGOCIO]]="Enviar E-mail",1,"")</f>
        <v/>
      </c>
      <c r="U548" t="str">
        <f>TEXT(Tabela1[[#This Row],[DATA]],"dd/mm/aaaa")</f>
        <v>22/04/2026</v>
      </c>
    </row>
    <row r="549" spans="1:21" x14ac:dyDescent="0.25">
      <c r="A549" s="4">
        <v>46134.503877314812</v>
      </c>
      <c r="B549" s="5" t="s">
        <v>19</v>
      </c>
      <c r="C549" s="5" t="s">
        <v>37</v>
      </c>
      <c r="D549" s="5">
        <v>266</v>
      </c>
      <c r="E549" s="6">
        <v>24415773000105</v>
      </c>
      <c r="F549" s="5">
        <v>266</v>
      </c>
      <c r="G549" s="7">
        <v>177687033531211</v>
      </c>
      <c r="H549" s="5" t="s">
        <v>446</v>
      </c>
      <c r="I549" s="5">
        <v>3003</v>
      </c>
      <c r="J549" s="5" t="s">
        <v>22</v>
      </c>
      <c r="K549" s="5" t="s">
        <v>23</v>
      </c>
      <c r="L549" s="5" t="s">
        <v>31</v>
      </c>
      <c r="M549" s="5" t="s">
        <v>284</v>
      </c>
      <c r="N549" s="5" t="s">
        <v>53</v>
      </c>
      <c r="O549" s="5">
        <v>128</v>
      </c>
      <c r="P549" s="5"/>
      <c r="Q549" s="5"/>
      <c r="R549" s="8">
        <v>8.1018518518518516E-5</v>
      </c>
      <c r="S549" s="5" t="s">
        <v>37</v>
      </c>
      <c r="T549" t="str">
        <f>IF(Tabela1[[#This Row],[STATUS_NEGOCIO]]="Enviar E-mail",1,"")</f>
        <v/>
      </c>
      <c r="U549" t="str">
        <f>TEXT(Tabela1[[#This Row],[DATA]],"dd/mm/aaaa")</f>
        <v>22/04/2026</v>
      </c>
    </row>
    <row r="550" spans="1:21" x14ac:dyDescent="0.25">
      <c r="A550" s="4">
        <v>46134.504224537035</v>
      </c>
      <c r="B550" s="5" t="s">
        <v>19</v>
      </c>
      <c r="C550" s="5" t="s">
        <v>37</v>
      </c>
      <c r="D550" s="5">
        <v>267</v>
      </c>
      <c r="E550" s="6">
        <v>24569455000190</v>
      </c>
      <c r="F550" s="5">
        <v>267</v>
      </c>
      <c r="G550" s="7">
        <v>177687036531271</v>
      </c>
      <c r="H550" s="5" t="s">
        <v>447</v>
      </c>
      <c r="I550" s="5">
        <v>3003</v>
      </c>
      <c r="J550" s="5" t="s">
        <v>22</v>
      </c>
      <c r="K550" s="5" t="s">
        <v>23</v>
      </c>
      <c r="L550" s="5" t="s">
        <v>31</v>
      </c>
      <c r="M550" s="5" t="s">
        <v>284</v>
      </c>
      <c r="N550" s="5" t="s">
        <v>53</v>
      </c>
      <c r="O550" s="5">
        <v>128</v>
      </c>
      <c r="P550" s="5"/>
      <c r="Q550" s="5"/>
      <c r="R550" s="8">
        <v>8.1018518518518516E-5</v>
      </c>
      <c r="S550" s="5" t="s">
        <v>37</v>
      </c>
      <c r="T550" t="str">
        <f>IF(Tabela1[[#This Row],[STATUS_NEGOCIO]]="Enviar E-mail",1,"")</f>
        <v/>
      </c>
      <c r="U550" t="str">
        <f>TEXT(Tabela1[[#This Row],[DATA]],"dd/mm/aaaa")</f>
        <v>22/04/2026</v>
      </c>
    </row>
    <row r="551" spans="1:21" x14ac:dyDescent="0.25">
      <c r="A551" s="4">
        <v>46134.504594907405</v>
      </c>
      <c r="B551" s="5" t="s">
        <v>19</v>
      </c>
      <c r="C551" s="5" t="s">
        <v>37</v>
      </c>
      <c r="D551" s="5">
        <v>268</v>
      </c>
      <c r="E551" s="6">
        <v>24583913000146</v>
      </c>
      <c r="F551" s="5">
        <v>268</v>
      </c>
      <c r="G551" s="7">
        <v>177687039731291</v>
      </c>
      <c r="H551" s="5" t="s">
        <v>65</v>
      </c>
      <c r="I551" s="5" t="s">
        <v>52</v>
      </c>
      <c r="J551" s="5" t="s">
        <v>22</v>
      </c>
      <c r="K551" s="5" t="s">
        <v>62</v>
      </c>
      <c r="L551" s="5" t="s">
        <v>62</v>
      </c>
      <c r="M551" s="5" t="s">
        <v>284</v>
      </c>
      <c r="N551" s="5" t="s">
        <v>53</v>
      </c>
      <c r="O551" s="5">
        <v>17</v>
      </c>
      <c r="P551" s="5"/>
      <c r="Q551" s="5"/>
      <c r="R551" s="8">
        <v>0</v>
      </c>
      <c r="S551" s="5" t="s">
        <v>37</v>
      </c>
      <c r="T551" t="str">
        <f>IF(Tabela1[[#This Row],[STATUS_NEGOCIO]]="Enviar E-mail",1,"")</f>
        <v/>
      </c>
      <c r="U551" t="str">
        <f>TEXT(Tabela1[[#This Row],[DATA]],"dd/mm/aaaa")</f>
        <v>22/04/2026</v>
      </c>
    </row>
    <row r="552" spans="1:21" x14ac:dyDescent="0.25">
      <c r="A552" s="4">
        <v>46134.504629629628</v>
      </c>
      <c r="B552" s="5" t="s">
        <v>19</v>
      </c>
      <c r="C552" s="5" t="s">
        <v>37</v>
      </c>
      <c r="D552" s="5">
        <v>269</v>
      </c>
      <c r="E552" s="6">
        <v>25344452000111</v>
      </c>
      <c r="F552" s="5">
        <v>269</v>
      </c>
      <c r="G552" s="7">
        <v>177687040031321</v>
      </c>
      <c r="H552" s="5" t="s">
        <v>206</v>
      </c>
      <c r="I552" s="5">
        <v>3003</v>
      </c>
      <c r="J552" s="5" t="s">
        <v>22</v>
      </c>
      <c r="K552" s="5" t="s">
        <v>23</v>
      </c>
      <c r="L552" s="5" t="s">
        <v>31</v>
      </c>
      <c r="M552" s="5" t="s">
        <v>284</v>
      </c>
      <c r="N552" s="5" t="s">
        <v>53</v>
      </c>
      <c r="O552" s="5">
        <v>128</v>
      </c>
      <c r="P552" s="5"/>
      <c r="Q552" s="5"/>
      <c r="R552" s="8">
        <v>8.1018518518518516E-5</v>
      </c>
      <c r="S552" s="5" t="s">
        <v>37</v>
      </c>
      <c r="T552" t="str">
        <f>IF(Tabela1[[#This Row],[STATUS_NEGOCIO]]="Enviar E-mail",1,"")</f>
        <v/>
      </c>
      <c r="U552" t="str">
        <f>TEXT(Tabela1[[#This Row],[DATA]],"dd/mm/aaaa")</f>
        <v>22/04/2026</v>
      </c>
    </row>
    <row r="553" spans="1:21" x14ac:dyDescent="0.25">
      <c r="A553" s="4">
        <v>46134.504745370374</v>
      </c>
      <c r="B553" s="5" t="s">
        <v>19</v>
      </c>
      <c r="C553" s="5" t="s">
        <v>37</v>
      </c>
      <c r="D553" s="5">
        <v>270</v>
      </c>
      <c r="E553" s="6">
        <v>25404835000138</v>
      </c>
      <c r="F553" s="5">
        <v>270</v>
      </c>
      <c r="G553" s="7">
        <v>177687041031381</v>
      </c>
      <c r="H553" s="5" t="s">
        <v>233</v>
      </c>
      <c r="I553" s="5">
        <v>3003</v>
      </c>
      <c r="J553" s="5" t="s">
        <v>22</v>
      </c>
      <c r="K553" s="5" t="s">
        <v>23</v>
      </c>
      <c r="L553" s="5" t="s">
        <v>31</v>
      </c>
      <c r="M553" s="5" t="s">
        <v>284</v>
      </c>
      <c r="N553" s="5" t="s">
        <v>53</v>
      </c>
      <c r="O553" s="5">
        <v>128</v>
      </c>
      <c r="P553" s="5"/>
      <c r="Q553" s="5"/>
      <c r="R553" s="8">
        <v>8.1018518518518516E-5</v>
      </c>
      <c r="S553" s="5" t="s">
        <v>37</v>
      </c>
      <c r="T553" t="str">
        <f>IF(Tabela1[[#This Row],[STATUS_NEGOCIO]]="Enviar E-mail",1,"")</f>
        <v/>
      </c>
      <c r="U553" t="str">
        <f>TEXT(Tabela1[[#This Row],[DATA]],"dd/mm/aaaa")</f>
        <v>22/04/2026</v>
      </c>
    </row>
    <row r="554" spans="1:21" x14ac:dyDescent="0.25">
      <c r="A554" s="4">
        <v>46134.505254629628</v>
      </c>
      <c r="B554" s="5" t="s">
        <v>19</v>
      </c>
      <c r="C554" s="5" t="s">
        <v>37</v>
      </c>
      <c r="D554" s="5">
        <v>271</v>
      </c>
      <c r="E554" s="6">
        <v>25405605000193</v>
      </c>
      <c r="F554" s="5">
        <v>271</v>
      </c>
      <c r="G554" s="7">
        <v>177687045431471</v>
      </c>
      <c r="H554" s="5" t="s">
        <v>448</v>
      </c>
      <c r="I554" s="5">
        <v>3003</v>
      </c>
      <c r="J554" s="5" t="s">
        <v>22</v>
      </c>
      <c r="K554" s="5" t="s">
        <v>23</v>
      </c>
      <c r="L554" s="5" t="s">
        <v>31</v>
      </c>
      <c r="M554" s="5" t="s">
        <v>284</v>
      </c>
      <c r="N554" s="5" t="s">
        <v>53</v>
      </c>
      <c r="O554" s="5">
        <v>128</v>
      </c>
      <c r="P554" s="5"/>
      <c r="Q554" s="5"/>
      <c r="R554" s="8">
        <v>8.1018518518518516E-5</v>
      </c>
      <c r="S554" s="5" t="s">
        <v>37</v>
      </c>
      <c r="T554" t="str">
        <f>IF(Tabela1[[#This Row],[STATUS_NEGOCIO]]="Enviar E-mail",1,"")</f>
        <v/>
      </c>
      <c r="U554" t="str">
        <f>TEXT(Tabela1[[#This Row],[DATA]],"dd/mm/aaaa")</f>
        <v>22/04/2026</v>
      </c>
    </row>
    <row r="555" spans="1:21" x14ac:dyDescent="0.25">
      <c r="A555" s="4">
        <v>46134.50576388889</v>
      </c>
      <c r="B555" s="5" t="s">
        <v>19</v>
      </c>
      <c r="C555" s="5" t="s">
        <v>37</v>
      </c>
      <c r="D555" s="5">
        <v>272</v>
      </c>
      <c r="E555" s="6">
        <v>26054449000126</v>
      </c>
      <c r="F555" s="5">
        <v>272</v>
      </c>
      <c r="G555" s="7">
        <v>177687049831591</v>
      </c>
      <c r="H555" s="5" t="s">
        <v>449</v>
      </c>
      <c r="I555" s="5">
        <v>3003</v>
      </c>
      <c r="J555" s="5" t="s">
        <v>22</v>
      </c>
      <c r="K555" s="5" t="s">
        <v>23</v>
      </c>
      <c r="L555" s="5" t="s">
        <v>31</v>
      </c>
      <c r="M555" s="5" t="s">
        <v>284</v>
      </c>
      <c r="N555" s="5" t="s">
        <v>53</v>
      </c>
      <c r="O555" s="5">
        <v>128</v>
      </c>
      <c r="P555" s="5"/>
      <c r="Q555" s="5"/>
      <c r="R555" s="8">
        <v>8.1018518518518516E-5</v>
      </c>
      <c r="S555" s="5" t="s">
        <v>37</v>
      </c>
      <c r="T555" t="str">
        <f>IF(Tabela1[[#This Row],[STATUS_NEGOCIO]]="Enviar E-mail",1,"")</f>
        <v/>
      </c>
      <c r="U555" t="str">
        <f>TEXT(Tabela1[[#This Row],[DATA]],"dd/mm/aaaa")</f>
        <v>22/04/2026</v>
      </c>
    </row>
    <row r="556" spans="1:21" x14ac:dyDescent="0.25">
      <c r="A556" s="4">
        <v>46134.505937499998</v>
      </c>
      <c r="B556" s="5" t="s">
        <v>19</v>
      </c>
      <c r="C556" s="5" t="s">
        <v>37</v>
      </c>
      <c r="D556" s="5">
        <v>273</v>
      </c>
      <c r="E556" s="6">
        <v>26181076000154</v>
      </c>
      <c r="F556" s="5">
        <v>273</v>
      </c>
      <c r="G556" s="7">
        <v>177687051331731</v>
      </c>
      <c r="H556" s="5" t="s">
        <v>88</v>
      </c>
      <c r="I556" s="5">
        <v>3003</v>
      </c>
      <c r="J556" s="5" t="s">
        <v>22</v>
      </c>
      <c r="K556" s="5" t="s">
        <v>23</v>
      </c>
      <c r="L556" s="5" t="s">
        <v>31</v>
      </c>
      <c r="M556" s="5" t="s">
        <v>284</v>
      </c>
      <c r="N556" s="5" t="s">
        <v>53</v>
      </c>
      <c r="O556" s="5">
        <v>128</v>
      </c>
      <c r="P556" s="5"/>
      <c r="Q556" s="5"/>
      <c r="R556" s="8">
        <v>8.1018518518518516E-5</v>
      </c>
      <c r="S556" s="5" t="s">
        <v>37</v>
      </c>
      <c r="T556" t="str">
        <f>IF(Tabela1[[#This Row],[STATUS_NEGOCIO]]="Enviar E-mail",1,"")</f>
        <v/>
      </c>
      <c r="U556" t="str">
        <f>TEXT(Tabela1[[#This Row],[DATA]],"dd/mm/aaaa")</f>
        <v>22/04/2026</v>
      </c>
    </row>
    <row r="557" spans="1:21" x14ac:dyDescent="0.25">
      <c r="A557" s="4">
        <v>46134.50608796296</v>
      </c>
      <c r="B557" s="5" t="s">
        <v>19</v>
      </c>
      <c r="C557" s="5" t="s">
        <v>37</v>
      </c>
      <c r="D557" s="5">
        <v>274</v>
      </c>
      <c r="E557" s="6">
        <v>26185307000106</v>
      </c>
      <c r="F557" s="5">
        <v>274</v>
      </c>
      <c r="G557" s="7">
        <v>177687052631751</v>
      </c>
      <c r="H557" s="5" t="s">
        <v>450</v>
      </c>
      <c r="I557" s="5">
        <v>3003</v>
      </c>
      <c r="J557" s="5" t="s">
        <v>22</v>
      </c>
      <c r="K557" s="5" t="s">
        <v>23</v>
      </c>
      <c r="L557" s="5" t="s">
        <v>31</v>
      </c>
      <c r="M557" s="5" t="s">
        <v>284</v>
      </c>
      <c r="N557" s="5" t="s">
        <v>53</v>
      </c>
      <c r="O557" s="5">
        <v>128</v>
      </c>
      <c r="P557" s="5"/>
      <c r="Q557" s="5"/>
      <c r="R557" s="8">
        <v>6.9444444444444444E-5</v>
      </c>
      <c r="S557" s="5" t="s">
        <v>37</v>
      </c>
      <c r="T557" t="str">
        <f>IF(Tabela1[[#This Row],[STATUS_NEGOCIO]]="Enviar E-mail",1,"")</f>
        <v/>
      </c>
      <c r="U557" t="str">
        <f>TEXT(Tabela1[[#This Row],[DATA]],"dd/mm/aaaa")</f>
        <v>22/04/2026</v>
      </c>
    </row>
    <row r="558" spans="1:21" x14ac:dyDescent="0.25">
      <c r="A558" s="4">
        <v>46134.506331018521</v>
      </c>
      <c r="B558" s="5" t="s">
        <v>19</v>
      </c>
      <c r="C558" s="5" t="s">
        <v>37</v>
      </c>
      <c r="D558" s="5">
        <v>275</v>
      </c>
      <c r="E558" s="6">
        <v>26252435000117</v>
      </c>
      <c r="F558" s="5">
        <v>275</v>
      </c>
      <c r="G558" s="7">
        <v>177687054731841</v>
      </c>
      <c r="H558" s="5" t="s">
        <v>451</v>
      </c>
      <c r="I558" s="5">
        <v>3003</v>
      </c>
      <c r="J558" s="5" t="s">
        <v>22</v>
      </c>
      <c r="K558" s="5" t="s">
        <v>23</v>
      </c>
      <c r="L558" s="5" t="s">
        <v>31</v>
      </c>
      <c r="M558" s="5" t="s">
        <v>284</v>
      </c>
      <c r="N558" s="5" t="s">
        <v>53</v>
      </c>
      <c r="O558" s="5">
        <v>128</v>
      </c>
      <c r="P558" s="5"/>
      <c r="Q558" s="5"/>
      <c r="R558" s="8">
        <v>8.1018518518518516E-5</v>
      </c>
      <c r="S558" s="5" t="s">
        <v>37</v>
      </c>
      <c r="T558" t="str">
        <f>IF(Tabela1[[#This Row],[STATUS_NEGOCIO]]="Enviar E-mail",1,"")</f>
        <v/>
      </c>
      <c r="U558" t="str">
        <f>TEXT(Tabela1[[#This Row],[DATA]],"dd/mm/aaaa")</f>
        <v>22/04/2026</v>
      </c>
    </row>
    <row r="559" spans="1:21" x14ac:dyDescent="0.25">
      <c r="A559" s="4">
        <v>46134.506469907406</v>
      </c>
      <c r="B559" s="5" t="s">
        <v>19</v>
      </c>
      <c r="C559" s="5" t="s">
        <v>37</v>
      </c>
      <c r="D559" s="5">
        <v>276</v>
      </c>
      <c r="E559" s="6">
        <v>26295622000188</v>
      </c>
      <c r="F559" s="5">
        <v>276</v>
      </c>
      <c r="G559" s="7">
        <v>177687055931861</v>
      </c>
      <c r="H559" s="5" t="s">
        <v>63</v>
      </c>
      <c r="I559" s="5">
        <v>3003</v>
      </c>
      <c r="J559" s="5" t="s">
        <v>22</v>
      </c>
      <c r="K559" s="5" t="s">
        <v>23</v>
      </c>
      <c r="L559" s="5" t="s">
        <v>31</v>
      </c>
      <c r="M559" s="5" t="s">
        <v>284</v>
      </c>
      <c r="N559" s="5" t="s">
        <v>53</v>
      </c>
      <c r="O559" s="5">
        <v>128</v>
      </c>
      <c r="P559" s="5"/>
      <c r="Q559" s="5"/>
      <c r="R559" s="8">
        <v>4.6296296296296294E-5</v>
      </c>
      <c r="S559" s="5" t="s">
        <v>37</v>
      </c>
      <c r="T559" t="str">
        <f>IF(Tabela1[[#This Row],[STATUS_NEGOCIO]]="Enviar E-mail",1,"")</f>
        <v/>
      </c>
      <c r="U559" t="str">
        <f>TEXT(Tabela1[[#This Row],[DATA]],"dd/mm/aaaa")</f>
        <v>22/04/2026</v>
      </c>
    </row>
    <row r="560" spans="1:21" x14ac:dyDescent="0.25">
      <c r="A560" s="4">
        <v>46134.506562499999</v>
      </c>
      <c r="B560" s="5" t="s">
        <v>19</v>
      </c>
      <c r="C560" s="5" t="s">
        <v>37</v>
      </c>
      <c r="D560" s="5">
        <v>277</v>
      </c>
      <c r="E560" s="6">
        <v>26344541000120</v>
      </c>
      <c r="F560" s="5">
        <v>277</v>
      </c>
      <c r="G560" s="7">
        <v>177687056731881</v>
      </c>
      <c r="H560" s="5" t="s">
        <v>452</v>
      </c>
      <c r="I560" s="5" t="s">
        <v>52</v>
      </c>
      <c r="J560" s="5" t="s">
        <v>22</v>
      </c>
      <c r="K560" s="5" t="s">
        <v>36</v>
      </c>
      <c r="L560" s="5" t="s">
        <v>36</v>
      </c>
      <c r="M560" s="5" t="s">
        <v>284</v>
      </c>
      <c r="N560" s="5" t="s">
        <v>53</v>
      </c>
      <c r="O560" s="5">
        <v>19</v>
      </c>
      <c r="P560" s="5"/>
      <c r="Q560" s="5"/>
      <c r="R560" s="8">
        <v>0</v>
      </c>
      <c r="S560" s="5" t="s">
        <v>37</v>
      </c>
      <c r="T560" t="str">
        <f>IF(Tabela1[[#This Row],[STATUS_NEGOCIO]]="Enviar E-mail",1,"")</f>
        <v/>
      </c>
      <c r="U560" t="str">
        <f>TEXT(Tabela1[[#This Row],[DATA]],"dd/mm/aaaa")</f>
        <v>22/04/2026</v>
      </c>
    </row>
    <row r="561" spans="1:21" x14ac:dyDescent="0.25">
      <c r="A561" s="4">
        <v>46134.507141203707</v>
      </c>
      <c r="B561" s="5" t="s">
        <v>19</v>
      </c>
      <c r="C561" s="5" t="s">
        <v>37</v>
      </c>
      <c r="D561" s="5">
        <v>278</v>
      </c>
      <c r="E561" s="6">
        <v>26350061000172</v>
      </c>
      <c r="F561" s="5">
        <v>278</v>
      </c>
      <c r="G561" s="7">
        <v>177687061731971</v>
      </c>
      <c r="H561" s="5" t="s">
        <v>453</v>
      </c>
      <c r="I561" s="5">
        <v>3003</v>
      </c>
      <c r="J561" s="5" t="s">
        <v>22</v>
      </c>
      <c r="K561" s="5" t="s">
        <v>23</v>
      </c>
      <c r="L561" s="5" t="s">
        <v>31</v>
      </c>
      <c r="M561" s="5" t="s">
        <v>284</v>
      </c>
      <c r="N561" s="5" t="s">
        <v>53</v>
      </c>
      <c r="O561" s="5">
        <v>128</v>
      </c>
      <c r="P561" s="5"/>
      <c r="Q561" s="5"/>
      <c r="R561" s="8">
        <v>5.7870370370370373E-5</v>
      </c>
      <c r="S561" s="5" t="s">
        <v>37</v>
      </c>
      <c r="T561" t="str">
        <f>IF(Tabela1[[#This Row],[STATUS_NEGOCIO]]="Enviar E-mail",1,"")</f>
        <v/>
      </c>
      <c r="U561" t="str">
        <f>TEXT(Tabela1[[#This Row],[DATA]],"dd/mm/aaaa")</f>
        <v>22/04/2026</v>
      </c>
    </row>
    <row r="562" spans="1:21" x14ac:dyDescent="0.25">
      <c r="A562" s="4">
        <v>46134.507349537038</v>
      </c>
      <c r="B562" s="5" t="s">
        <v>19</v>
      </c>
      <c r="C562" s="5" t="s">
        <v>37</v>
      </c>
      <c r="D562" s="5">
        <v>279</v>
      </c>
      <c r="E562" s="6">
        <v>26401298000135</v>
      </c>
      <c r="F562" s="5">
        <v>279</v>
      </c>
      <c r="G562" s="7">
        <v>177687063532021</v>
      </c>
      <c r="H562" s="5" t="s">
        <v>218</v>
      </c>
      <c r="I562" s="5">
        <v>3003</v>
      </c>
      <c r="J562" s="5" t="s">
        <v>22</v>
      </c>
      <c r="K562" s="5" t="s">
        <v>23</v>
      </c>
      <c r="L562" s="5" t="s">
        <v>31</v>
      </c>
      <c r="M562" s="5" t="s">
        <v>284</v>
      </c>
      <c r="N562" s="5" t="s">
        <v>53</v>
      </c>
      <c r="O562" s="5">
        <v>128</v>
      </c>
      <c r="P562" s="5"/>
      <c r="Q562" s="5"/>
      <c r="R562" s="8">
        <v>8.1018518518518516E-5</v>
      </c>
      <c r="S562" s="5" t="s">
        <v>37</v>
      </c>
      <c r="T562" t="str">
        <f>IF(Tabela1[[#This Row],[STATUS_NEGOCIO]]="Enviar E-mail",1,"")</f>
        <v/>
      </c>
      <c r="U562" t="str">
        <f>TEXT(Tabela1[[#This Row],[DATA]],"dd/mm/aaaa")</f>
        <v>22/04/2026</v>
      </c>
    </row>
    <row r="563" spans="1:21" x14ac:dyDescent="0.25">
      <c r="A563" s="4">
        <v>46134.507847222223</v>
      </c>
      <c r="B563" s="5" t="s">
        <v>19</v>
      </c>
      <c r="C563" s="5" t="s">
        <v>37</v>
      </c>
      <c r="D563" s="5">
        <v>280</v>
      </c>
      <c r="E563" s="6">
        <v>26419801000180</v>
      </c>
      <c r="F563" s="5">
        <v>280</v>
      </c>
      <c r="G563" s="7">
        <v>177687067832231</v>
      </c>
      <c r="H563" s="5" t="s">
        <v>142</v>
      </c>
      <c r="I563" s="5">
        <v>3003</v>
      </c>
      <c r="J563" s="5" t="s">
        <v>22</v>
      </c>
      <c r="K563" s="5" t="s">
        <v>23</v>
      </c>
      <c r="L563" s="5" t="s">
        <v>31</v>
      </c>
      <c r="M563" s="5" t="s">
        <v>284</v>
      </c>
      <c r="N563" s="5" t="s">
        <v>53</v>
      </c>
      <c r="O563" s="5">
        <v>128</v>
      </c>
      <c r="P563" s="5"/>
      <c r="Q563" s="5"/>
      <c r="R563" s="8">
        <v>8.1018518518518516E-5</v>
      </c>
      <c r="S563" s="5" t="s">
        <v>37</v>
      </c>
      <c r="T563" t="str">
        <f>IF(Tabela1[[#This Row],[STATUS_NEGOCIO]]="Enviar E-mail",1,"")</f>
        <v/>
      </c>
      <c r="U563" t="str">
        <f>TEXT(Tabela1[[#This Row],[DATA]],"dd/mm/aaaa")</f>
        <v>22/04/2026</v>
      </c>
    </row>
    <row r="564" spans="1:21" x14ac:dyDescent="0.25">
      <c r="A564" s="4">
        <v>46134.508344907408</v>
      </c>
      <c r="B564" s="5" t="s">
        <v>19</v>
      </c>
      <c r="C564" s="5" t="s">
        <v>37</v>
      </c>
      <c r="D564" s="5">
        <v>281</v>
      </c>
      <c r="E564" s="6">
        <v>26596537000150</v>
      </c>
      <c r="F564" s="5">
        <v>281</v>
      </c>
      <c r="G564" s="7">
        <v>177687072132261</v>
      </c>
      <c r="H564" s="5" t="s">
        <v>454</v>
      </c>
      <c r="I564" s="5">
        <v>3003</v>
      </c>
      <c r="J564" s="5" t="s">
        <v>22</v>
      </c>
      <c r="K564" s="5" t="s">
        <v>23</v>
      </c>
      <c r="L564" s="5" t="s">
        <v>31</v>
      </c>
      <c r="M564" s="5" t="s">
        <v>284</v>
      </c>
      <c r="N564" s="5" t="s">
        <v>53</v>
      </c>
      <c r="O564" s="5">
        <v>128</v>
      </c>
      <c r="P564" s="5"/>
      <c r="Q564" s="5"/>
      <c r="R564" s="8">
        <v>8.1018518518518516E-5</v>
      </c>
      <c r="S564" s="5" t="s">
        <v>37</v>
      </c>
      <c r="T564" t="str">
        <f>IF(Tabela1[[#This Row],[STATUS_NEGOCIO]]="Enviar E-mail",1,"")</f>
        <v/>
      </c>
      <c r="U564" t="str">
        <f>TEXT(Tabela1[[#This Row],[DATA]],"dd/mm/aaaa")</f>
        <v>22/04/2026</v>
      </c>
    </row>
    <row r="565" spans="1:21" x14ac:dyDescent="0.25">
      <c r="A565" s="4">
        <v>46134.50854166667</v>
      </c>
      <c r="B565" s="5" t="s">
        <v>19</v>
      </c>
      <c r="C565" s="5" t="s">
        <v>37</v>
      </c>
      <c r="D565" s="5">
        <v>282</v>
      </c>
      <c r="E565" s="6">
        <v>26753972000140</v>
      </c>
      <c r="F565" s="5">
        <v>282</v>
      </c>
      <c r="G565" s="7">
        <v>177687073832341</v>
      </c>
      <c r="H565" s="5" t="s">
        <v>455</v>
      </c>
      <c r="I565" s="5" t="s">
        <v>52</v>
      </c>
      <c r="J565" s="5" t="s">
        <v>22</v>
      </c>
      <c r="K565" s="5" t="s">
        <v>36</v>
      </c>
      <c r="L565" s="5" t="s">
        <v>36</v>
      </c>
      <c r="M565" s="5" t="s">
        <v>284</v>
      </c>
      <c r="N565" s="5" t="s">
        <v>53</v>
      </c>
      <c r="O565" s="5">
        <v>1</v>
      </c>
      <c r="P565" s="5"/>
      <c r="Q565" s="5"/>
      <c r="R565" s="8">
        <v>0</v>
      </c>
      <c r="S565" s="5" t="s">
        <v>37</v>
      </c>
      <c r="T565" t="str">
        <f>IF(Tabela1[[#This Row],[STATUS_NEGOCIO]]="Enviar E-mail",1,"")</f>
        <v/>
      </c>
      <c r="U565" t="str">
        <f>TEXT(Tabela1[[#This Row],[DATA]],"dd/mm/aaaa")</f>
        <v>22/04/2026</v>
      </c>
    </row>
    <row r="566" spans="1:21" x14ac:dyDescent="0.25">
      <c r="A566" s="4">
        <v>46134.508553240739</v>
      </c>
      <c r="B566" s="5" t="s">
        <v>19</v>
      </c>
      <c r="C566" s="5" t="s">
        <v>37</v>
      </c>
      <c r="D566" s="5">
        <v>283</v>
      </c>
      <c r="E566" s="6">
        <v>26789035000145</v>
      </c>
      <c r="F566" s="5">
        <v>283</v>
      </c>
      <c r="G566" s="7">
        <v>177687073932361</v>
      </c>
      <c r="H566" s="5" t="s">
        <v>456</v>
      </c>
      <c r="I566" s="5">
        <v>3003</v>
      </c>
      <c r="J566" s="5" t="s">
        <v>22</v>
      </c>
      <c r="K566" s="5" t="s">
        <v>23</v>
      </c>
      <c r="L566" s="5" t="s">
        <v>31</v>
      </c>
      <c r="M566" s="5" t="s">
        <v>284</v>
      </c>
      <c r="N566" s="5" t="s">
        <v>53</v>
      </c>
      <c r="O566" s="5">
        <v>128</v>
      </c>
      <c r="P566" s="5"/>
      <c r="Q566" s="5"/>
      <c r="R566" s="8">
        <v>8.1018518518518516E-5</v>
      </c>
      <c r="S566" s="5" t="s">
        <v>37</v>
      </c>
      <c r="T566" t="str">
        <f>IF(Tabela1[[#This Row],[STATUS_NEGOCIO]]="Enviar E-mail",1,"")</f>
        <v/>
      </c>
      <c r="U566" t="str">
        <f>TEXT(Tabela1[[#This Row],[DATA]],"dd/mm/aaaa")</f>
        <v>22/04/2026</v>
      </c>
    </row>
    <row r="567" spans="1:21" x14ac:dyDescent="0.25">
      <c r="A567" s="4">
        <v>46134.508981481478</v>
      </c>
      <c r="B567" s="5" t="s">
        <v>19</v>
      </c>
      <c r="C567" s="5" t="s">
        <v>37</v>
      </c>
      <c r="D567" s="5">
        <v>284</v>
      </c>
      <c r="E567" s="6">
        <v>26871189000181</v>
      </c>
      <c r="F567" s="5">
        <v>284</v>
      </c>
      <c r="G567" s="7">
        <v>177687077632481</v>
      </c>
      <c r="H567" s="5" t="s">
        <v>457</v>
      </c>
      <c r="I567" s="5">
        <v>3003</v>
      </c>
      <c r="J567" s="5" t="s">
        <v>22</v>
      </c>
      <c r="K567" s="5" t="s">
        <v>23</v>
      </c>
      <c r="L567" s="5" t="s">
        <v>31</v>
      </c>
      <c r="M567" s="5" t="s">
        <v>284</v>
      </c>
      <c r="N567" s="5" t="s">
        <v>53</v>
      </c>
      <c r="O567" s="5">
        <v>128</v>
      </c>
      <c r="P567" s="5"/>
      <c r="Q567" s="5"/>
      <c r="R567" s="8">
        <v>8.1018518518518516E-5</v>
      </c>
      <c r="S567" s="5" t="s">
        <v>37</v>
      </c>
      <c r="T567" t="str">
        <f>IF(Tabela1[[#This Row],[STATUS_NEGOCIO]]="Enviar E-mail",1,"")</f>
        <v/>
      </c>
      <c r="U567" t="str">
        <f>TEXT(Tabela1[[#This Row],[DATA]],"dd/mm/aaaa")</f>
        <v>22/04/2026</v>
      </c>
    </row>
    <row r="568" spans="1:21" x14ac:dyDescent="0.25">
      <c r="A568" s="4">
        <v>46134.50922453704</v>
      </c>
      <c r="B568" s="5" t="s">
        <v>19</v>
      </c>
      <c r="C568" s="5" t="s">
        <v>37</v>
      </c>
      <c r="D568" s="5">
        <v>285</v>
      </c>
      <c r="E568" s="6">
        <v>26960926000112</v>
      </c>
      <c r="F568" s="5">
        <v>285</v>
      </c>
      <c r="G568" s="7">
        <v>177687079732581</v>
      </c>
      <c r="H568" s="5" t="s">
        <v>273</v>
      </c>
      <c r="I568" s="5">
        <v>3003</v>
      </c>
      <c r="J568" s="5" t="s">
        <v>22</v>
      </c>
      <c r="K568" s="5" t="s">
        <v>23</v>
      </c>
      <c r="L568" s="5" t="s">
        <v>31</v>
      </c>
      <c r="M568" s="5" t="s">
        <v>284</v>
      </c>
      <c r="N568" s="5" t="s">
        <v>53</v>
      </c>
      <c r="O568" s="5">
        <v>128</v>
      </c>
      <c r="P568" s="5"/>
      <c r="Q568" s="5"/>
      <c r="R568" s="8">
        <v>8.1018518518518516E-5</v>
      </c>
      <c r="S568" s="5" t="s">
        <v>37</v>
      </c>
      <c r="T568" t="str">
        <f>IF(Tabela1[[#This Row],[STATUS_NEGOCIO]]="Enviar E-mail",1,"")</f>
        <v/>
      </c>
      <c r="U568" t="str">
        <f>TEXT(Tabela1[[#This Row],[DATA]],"dd/mm/aaaa")</f>
        <v>22/04/2026</v>
      </c>
    </row>
    <row r="569" spans="1:21" x14ac:dyDescent="0.25">
      <c r="A569" s="4">
        <v>46134.509722222225</v>
      </c>
      <c r="B569" s="5" t="s">
        <v>19</v>
      </c>
      <c r="C569" s="5" t="s">
        <v>37</v>
      </c>
      <c r="D569" s="5">
        <v>286</v>
      </c>
      <c r="E569" s="6">
        <v>26990729000146</v>
      </c>
      <c r="F569" s="5">
        <v>286</v>
      </c>
      <c r="G569" s="7">
        <v>177687084032731</v>
      </c>
      <c r="H569" s="5" t="s">
        <v>458</v>
      </c>
      <c r="I569" s="5">
        <v>3003</v>
      </c>
      <c r="J569" s="5" t="s">
        <v>22</v>
      </c>
      <c r="K569" s="5" t="s">
        <v>23</v>
      </c>
      <c r="L569" s="5" t="s">
        <v>31</v>
      </c>
      <c r="M569" s="5" t="s">
        <v>284</v>
      </c>
      <c r="N569" s="5" t="s">
        <v>53</v>
      </c>
      <c r="O569" s="5">
        <v>128</v>
      </c>
      <c r="P569" s="5"/>
      <c r="Q569" s="5"/>
      <c r="R569" s="8">
        <v>8.1018518518518516E-5</v>
      </c>
      <c r="S569" s="5" t="s">
        <v>37</v>
      </c>
      <c r="T569" t="str">
        <f>IF(Tabela1[[#This Row],[STATUS_NEGOCIO]]="Enviar E-mail",1,"")</f>
        <v/>
      </c>
      <c r="U569" t="str">
        <f>TEXT(Tabela1[[#This Row],[DATA]],"dd/mm/aaaa")</f>
        <v>22/04/2026</v>
      </c>
    </row>
    <row r="570" spans="1:21" x14ac:dyDescent="0.25">
      <c r="A570" s="4">
        <v>46134.51</v>
      </c>
      <c r="B570" s="5" t="s">
        <v>19</v>
      </c>
      <c r="C570" s="5" t="s">
        <v>37</v>
      </c>
      <c r="D570" s="5">
        <v>287</v>
      </c>
      <c r="E570" s="6">
        <v>27015155000158</v>
      </c>
      <c r="F570" s="5">
        <v>287</v>
      </c>
      <c r="G570" s="7">
        <v>177687086432751</v>
      </c>
      <c r="H570" s="5" t="s">
        <v>459</v>
      </c>
      <c r="I570" s="5">
        <v>3003</v>
      </c>
      <c r="J570" s="5" t="s">
        <v>22</v>
      </c>
      <c r="K570" s="5" t="s">
        <v>23</v>
      </c>
      <c r="L570" s="5" t="s">
        <v>31</v>
      </c>
      <c r="M570" s="5" t="s">
        <v>284</v>
      </c>
      <c r="N570" s="5" t="s">
        <v>53</v>
      </c>
      <c r="O570" s="5">
        <v>128</v>
      </c>
      <c r="P570" s="5"/>
      <c r="Q570" s="5"/>
      <c r="R570" s="8">
        <v>8.1018518518518516E-5</v>
      </c>
      <c r="S570" s="5" t="s">
        <v>37</v>
      </c>
      <c r="T570" t="str">
        <f>IF(Tabela1[[#This Row],[STATUS_NEGOCIO]]="Enviar E-mail",1,"")</f>
        <v/>
      </c>
      <c r="U570" t="str">
        <f>TEXT(Tabela1[[#This Row],[DATA]],"dd/mm/aaaa")</f>
        <v>22/04/2026</v>
      </c>
    </row>
    <row r="571" spans="1:21" x14ac:dyDescent="0.25">
      <c r="A571" s="4">
        <v>46134.510462962964</v>
      </c>
      <c r="B571" s="5" t="s">
        <v>19</v>
      </c>
      <c r="C571" s="5" t="s">
        <v>37</v>
      </c>
      <c r="D571" s="5">
        <v>288</v>
      </c>
      <c r="E571" s="6">
        <v>27037167000183</v>
      </c>
      <c r="F571" s="5">
        <v>288</v>
      </c>
      <c r="G571" s="7">
        <v>177687090432811</v>
      </c>
      <c r="H571" s="5" t="s">
        <v>268</v>
      </c>
      <c r="I571" s="5">
        <v>3003</v>
      </c>
      <c r="J571" s="5" t="s">
        <v>22</v>
      </c>
      <c r="K571" s="5" t="s">
        <v>23</v>
      </c>
      <c r="L571" s="5" t="s">
        <v>31</v>
      </c>
      <c r="M571" s="5" t="s">
        <v>284</v>
      </c>
      <c r="N571" s="5" t="s">
        <v>53</v>
      </c>
      <c r="O571" s="5">
        <v>147</v>
      </c>
      <c r="P571" s="5"/>
      <c r="Q571" s="5"/>
      <c r="R571" s="8">
        <v>8.1018518518518516E-5</v>
      </c>
      <c r="S571" s="5" t="s">
        <v>37</v>
      </c>
      <c r="T571" t="str">
        <f>IF(Tabela1[[#This Row],[STATUS_NEGOCIO]]="Enviar E-mail",1,"")</f>
        <v/>
      </c>
      <c r="U571" t="str">
        <f>TEXT(Tabela1[[#This Row],[DATA]],"dd/mm/aaaa")</f>
        <v>22/04/2026</v>
      </c>
    </row>
    <row r="572" spans="1:21" x14ac:dyDescent="0.25">
      <c r="A572" s="4">
        <v>46134.510671296295</v>
      </c>
      <c r="B572" s="5" t="s">
        <v>19</v>
      </c>
      <c r="C572" s="5" t="s">
        <v>37</v>
      </c>
      <c r="D572" s="5">
        <v>289</v>
      </c>
      <c r="E572" s="6">
        <v>27179316000149</v>
      </c>
      <c r="F572" s="5">
        <v>289</v>
      </c>
      <c r="G572" s="7">
        <v>177687092232831</v>
      </c>
      <c r="H572" s="5" t="s">
        <v>460</v>
      </c>
      <c r="I572" s="5">
        <v>3003</v>
      </c>
      <c r="J572" s="5" t="s">
        <v>22</v>
      </c>
      <c r="K572" s="5" t="s">
        <v>23</v>
      </c>
      <c r="L572" s="5" t="s">
        <v>31</v>
      </c>
      <c r="M572" s="5" t="s">
        <v>284</v>
      </c>
      <c r="N572" s="5" t="s">
        <v>53</v>
      </c>
      <c r="O572" s="5">
        <v>128</v>
      </c>
      <c r="P572" s="5"/>
      <c r="Q572" s="5"/>
      <c r="R572" s="8">
        <v>8.1018518518518516E-5</v>
      </c>
      <c r="S572" s="5" t="s">
        <v>37</v>
      </c>
      <c r="T572" t="str">
        <f>IF(Tabela1[[#This Row],[STATUS_NEGOCIO]]="Enviar E-mail",1,"")</f>
        <v/>
      </c>
      <c r="U572" t="str">
        <f>TEXT(Tabela1[[#This Row],[DATA]],"dd/mm/aaaa")</f>
        <v>22/04/2026</v>
      </c>
    </row>
    <row r="573" spans="1:21" x14ac:dyDescent="0.25">
      <c r="A573" s="4">
        <v>46134.510960648149</v>
      </c>
      <c r="B573" s="5" t="s">
        <v>19</v>
      </c>
      <c r="C573" s="5" t="s">
        <v>37</v>
      </c>
      <c r="D573" s="5">
        <v>290</v>
      </c>
      <c r="E573" s="6">
        <v>27316226000152</v>
      </c>
      <c r="F573" s="5">
        <v>290</v>
      </c>
      <c r="G573" s="7">
        <v>177687094732851</v>
      </c>
      <c r="H573" s="5" t="s">
        <v>461</v>
      </c>
      <c r="I573" s="5">
        <v>3003</v>
      </c>
      <c r="J573" s="5" t="s">
        <v>22</v>
      </c>
      <c r="K573" s="5" t="s">
        <v>23</v>
      </c>
      <c r="L573" s="5" t="s">
        <v>31</v>
      </c>
      <c r="M573" s="5" t="s">
        <v>284</v>
      </c>
      <c r="N573" s="5" t="s">
        <v>53</v>
      </c>
      <c r="O573" s="5">
        <v>128</v>
      </c>
      <c r="P573" s="5"/>
      <c r="Q573" s="5"/>
      <c r="R573" s="8">
        <v>8.1018518518518516E-5</v>
      </c>
      <c r="S573" s="5" t="s">
        <v>37</v>
      </c>
      <c r="T573" t="str">
        <f>IF(Tabela1[[#This Row],[STATUS_NEGOCIO]]="Enviar E-mail",1,"")</f>
        <v/>
      </c>
      <c r="U573" t="str">
        <f>TEXT(Tabela1[[#This Row],[DATA]],"dd/mm/aaaa")</f>
        <v>22/04/2026</v>
      </c>
    </row>
    <row r="574" spans="1:21" x14ac:dyDescent="0.25">
      <c r="A574" s="4">
        <v>46134.511250000003</v>
      </c>
      <c r="B574" s="5" t="s">
        <v>19</v>
      </c>
      <c r="C574" s="5" t="s">
        <v>37</v>
      </c>
      <c r="D574" s="5">
        <v>291</v>
      </c>
      <c r="E574" s="6">
        <v>27379033000140</v>
      </c>
      <c r="F574" s="5">
        <v>291</v>
      </c>
      <c r="G574" s="7">
        <v>177687097232871</v>
      </c>
      <c r="H574" s="5" t="s">
        <v>70</v>
      </c>
      <c r="I574" s="5" t="s">
        <v>52</v>
      </c>
      <c r="J574" s="5" t="s">
        <v>22</v>
      </c>
      <c r="K574" s="5" t="s">
        <v>62</v>
      </c>
      <c r="L574" s="5" t="s">
        <v>62</v>
      </c>
      <c r="M574" s="5" t="s">
        <v>284</v>
      </c>
      <c r="N574" s="5" t="s">
        <v>53</v>
      </c>
      <c r="O574" s="5">
        <v>17</v>
      </c>
      <c r="P574" s="5"/>
      <c r="Q574" s="5"/>
      <c r="R574" s="8">
        <v>0</v>
      </c>
      <c r="S574" s="5" t="s">
        <v>37</v>
      </c>
      <c r="T574" t="str">
        <f>IF(Tabela1[[#This Row],[STATUS_NEGOCIO]]="Enviar E-mail",1,"")</f>
        <v/>
      </c>
      <c r="U574" t="str">
        <f>TEXT(Tabela1[[#This Row],[DATA]],"dd/mm/aaaa")</f>
        <v>22/04/2026</v>
      </c>
    </row>
    <row r="575" spans="1:21" x14ac:dyDescent="0.25">
      <c r="A575" s="4">
        <v>46134.511736111112</v>
      </c>
      <c r="B575" s="5" t="s">
        <v>19</v>
      </c>
      <c r="C575" s="5" t="s">
        <v>37</v>
      </c>
      <c r="D575" s="5">
        <v>292</v>
      </c>
      <c r="E575" s="6">
        <v>27439229000183</v>
      </c>
      <c r="F575" s="5">
        <v>292</v>
      </c>
      <c r="G575" s="7">
        <v>177687101432951</v>
      </c>
      <c r="H575" s="5" t="s">
        <v>437</v>
      </c>
      <c r="I575" s="5">
        <v>3003</v>
      </c>
      <c r="J575" s="5" t="s">
        <v>22</v>
      </c>
      <c r="K575" s="5" t="s">
        <v>23</v>
      </c>
      <c r="L575" s="5" t="s">
        <v>31</v>
      </c>
      <c r="M575" s="5" t="s">
        <v>284</v>
      </c>
      <c r="N575" s="5" t="s">
        <v>53</v>
      </c>
      <c r="O575" s="5">
        <v>147</v>
      </c>
      <c r="P575" s="5"/>
      <c r="Q575" s="5"/>
      <c r="R575" s="8">
        <v>8.1018518518518516E-5</v>
      </c>
      <c r="S575" s="5" t="s">
        <v>37</v>
      </c>
      <c r="T575" t="str">
        <f>IF(Tabela1[[#This Row],[STATUS_NEGOCIO]]="Enviar E-mail",1,"")</f>
        <v/>
      </c>
      <c r="U575" t="str">
        <f>TEXT(Tabela1[[#This Row],[DATA]],"dd/mm/aaaa")</f>
        <v>22/04/2026</v>
      </c>
    </row>
    <row r="576" spans="1:21" x14ac:dyDescent="0.25">
      <c r="A576" s="4">
        <v>46134.512245370373</v>
      </c>
      <c r="B576" s="5" t="s">
        <v>19</v>
      </c>
      <c r="C576" s="5" t="s">
        <v>37</v>
      </c>
      <c r="D576" s="5">
        <v>293</v>
      </c>
      <c r="E576" s="6">
        <v>27559945000102</v>
      </c>
      <c r="F576" s="5">
        <v>293</v>
      </c>
      <c r="G576" s="7">
        <v>177687105833021</v>
      </c>
      <c r="H576" s="5" t="s">
        <v>462</v>
      </c>
      <c r="I576" s="5">
        <v>3003</v>
      </c>
      <c r="J576" s="5" t="s">
        <v>22</v>
      </c>
      <c r="K576" s="5" t="s">
        <v>23</v>
      </c>
      <c r="L576" s="5" t="s">
        <v>31</v>
      </c>
      <c r="M576" s="5" t="s">
        <v>284</v>
      </c>
      <c r="N576" s="5" t="s">
        <v>53</v>
      </c>
      <c r="O576" s="5">
        <v>128</v>
      </c>
      <c r="P576" s="5"/>
      <c r="Q576" s="5"/>
      <c r="R576" s="8">
        <v>8.1018518518518516E-5</v>
      </c>
      <c r="S576" s="5" t="s">
        <v>37</v>
      </c>
      <c r="T576" t="str">
        <f>IF(Tabela1[[#This Row],[STATUS_NEGOCIO]]="Enviar E-mail",1,"")</f>
        <v/>
      </c>
      <c r="U576" t="str">
        <f>TEXT(Tabela1[[#This Row],[DATA]],"dd/mm/aaaa")</f>
        <v>22/04/2026</v>
      </c>
    </row>
    <row r="577" spans="1:21" x14ac:dyDescent="0.25">
      <c r="A577" s="4">
        <v>46134.512511574074</v>
      </c>
      <c r="B577" s="5" t="s">
        <v>19</v>
      </c>
      <c r="C577" s="5" t="s">
        <v>37</v>
      </c>
      <c r="D577" s="5">
        <v>294</v>
      </c>
      <c r="E577" s="6">
        <v>27813377000116</v>
      </c>
      <c r="F577" s="5">
        <v>294</v>
      </c>
      <c r="G577" s="7">
        <v>177687108133041</v>
      </c>
      <c r="H577" s="5" t="s">
        <v>463</v>
      </c>
      <c r="I577" s="5">
        <v>3003</v>
      </c>
      <c r="J577" s="5" t="s">
        <v>22</v>
      </c>
      <c r="K577" s="5" t="s">
        <v>23</v>
      </c>
      <c r="L577" s="5" t="s">
        <v>31</v>
      </c>
      <c r="M577" s="5" t="s">
        <v>284</v>
      </c>
      <c r="N577" s="5" t="s">
        <v>53</v>
      </c>
      <c r="O577" s="5">
        <v>128</v>
      </c>
      <c r="P577" s="5"/>
      <c r="Q577" s="5"/>
      <c r="R577" s="8">
        <v>8.1018518518518516E-5</v>
      </c>
      <c r="S577" s="5" t="s">
        <v>37</v>
      </c>
      <c r="T577" t="str">
        <f>IF(Tabela1[[#This Row],[STATUS_NEGOCIO]]="Enviar E-mail",1,"")</f>
        <v/>
      </c>
      <c r="U577" t="str">
        <f>TEXT(Tabela1[[#This Row],[DATA]],"dd/mm/aaaa")</f>
        <v>22/04/2026</v>
      </c>
    </row>
    <row r="578" spans="1:21" x14ac:dyDescent="0.25">
      <c r="A578" s="4">
        <v>46134.513020833336</v>
      </c>
      <c r="B578" s="5" t="s">
        <v>19</v>
      </c>
      <c r="C578" s="5" t="s">
        <v>37</v>
      </c>
      <c r="D578" s="5">
        <v>295</v>
      </c>
      <c r="E578" s="6">
        <v>27931047000125</v>
      </c>
      <c r="F578" s="5">
        <v>295</v>
      </c>
      <c r="G578" s="7">
        <v>177687112533101</v>
      </c>
      <c r="H578" s="5" t="s">
        <v>464</v>
      </c>
      <c r="I578" s="5">
        <v>3003</v>
      </c>
      <c r="J578" s="5" t="s">
        <v>22</v>
      </c>
      <c r="K578" s="5" t="s">
        <v>23</v>
      </c>
      <c r="L578" s="5" t="s">
        <v>31</v>
      </c>
      <c r="M578" s="5" t="s">
        <v>284</v>
      </c>
      <c r="N578" s="5" t="s">
        <v>53</v>
      </c>
      <c r="O578" s="5">
        <v>128</v>
      </c>
      <c r="P578" s="5"/>
      <c r="Q578" s="5"/>
      <c r="R578" s="8">
        <v>4.6296296296296294E-5</v>
      </c>
      <c r="S578" s="5" t="s">
        <v>37</v>
      </c>
      <c r="T578" t="str">
        <f>IF(Tabela1[[#This Row],[STATUS_NEGOCIO]]="Enviar E-mail",1,"")</f>
        <v/>
      </c>
      <c r="U578" t="str">
        <f>TEXT(Tabela1[[#This Row],[DATA]],"dd/mm/aaaa")</f>
        <v>22/04/2026</v>
      </c>
    </row>
    <row r="579" spans="1:21" x14ac:dyDescent="0.25">
      <c r="A579" s="4">
        <v>46134.513101851851</v>
      </c>
      <c r="B579" s="5" t="s">
        <v>19</v>
      </c>
      <c r="C579" s="5" t="s">
        <v>20</v>
      </c>
      <c r="D579" s="5">
        <v>296</v>
      </c>
      <c r="E579" s="6">
        <v>28031856000143</v>
      </c>
      <c r="F579" s="5">
        <v>296</v>
      </c>
      <c r="G579" s="7">
        <v>177687113233181</v>
      </c>
      <c r="H579" s="5" t="s">
        <v>465</v>
      </c>
      <c r="I579" s="5">
        <v>3003</v>
      </c>
      <c r="J579" s="5" t="s">
        <v>22</v>
      </c>
      <c r="K579" s="5" t="s">
        <v>23</v>
      </c>
      <c r="L579" s="5" t="s">
        <v>40</v>
      </c>
      <c r="M579" s="5" t="s">
        <v>284</v>
      </c>
      <c r="N579" s="5" t="s">
        <v>26</v>
      </c>
      <c r="O579" s="5">
        <v>16</v>
      </c>
      <c r="P579" s="5"/>
      <c r="Q579" s="5"/>
      <c r="R579" s="8">
        <v>2.4421296296296296E-3</v>
      </c>
      <c r="S579" s="8">
        <v>2.3958333333333331E-3</v>
      </c>
      <c r="T579">
        <f>IF(Tabela1[[#This Row],[STATUS_NEGOCIO]]="Enviar E-mail",1,"")</f>
        <v>1</v>
      </c>
      <c r="U579" t="str">
        <f>TEXT(Tabela1[[#This Row],[DATA]],"dd/mm/aaaa")</f>
        <v>22/04/2026</v>
      </c>
    </row>
    <row r="580" spans="1:21" x14ac:dyDescent="0.25">
      <c r="A580" s="4">
        <v>46134.515787037039</v>
      </c>
      <c r="B580" s="5" t="s">
        <v>19</v>
      </c>
      <c r="C580" s="5" t="s">
        <v>37</v>
      </c>
      <c r="D580" s="5">
        <v>298</v>
      </c>
      <c r="E580" s="6">
        <v>28093477000188</v>
      </c>
      <c r="F580" s="5">
        <v>298</v>
      </c>
      <c r="G580" s="7">
        <v>177687136433921</v>
      </c>
      <c r="H580" s="5" t="s">
        <v>101</v>
      </c>
      <c r="I580" s="5">
        <v>3003</v>
      </c>
      <c r="J580" s="5" t="s">
        <v>22</v>
      </c>
      <c r="K580" s="5" t="s">
        <v>23</v>
      </c>
      <c r="L580" s="5" t="s">
        <v>31</v>
      </c>
      <c r="M580" s="5" t="s">
        <v>284</v>
      </c>
      <c r="N580" s="5" t="s">
        <v>53</v>
      </c>
      <c r="O580" s="5">
        <v>128</v>
      </c>
      <c r="P580" s="5"/>
      <c r="Q580" s="5"/>
      <c r="R580" s="8">
        <v>8.1018518518518516E-5</v>
      </c>
      <c r="S580" s="5" t="s">
        <v>37</v>
      </c>
      <c r="T580" t="str">
        <f>IF(Tabela1[[#This Row],[STATUS_NEGOCIO]]="Enviar E-mail",1,"")</f>
        <v/>
      </c>
      <c r="U580" t="str">
        <f>TEXT(Tabela1[[#This Row],[DATA]],"dd/mm/aaaa")</f>
        <v>22/04/2026</v>
      </c>
    </row>
    <row r="581" spans="1:21" x14ac:dyDescent="0.25">
      <c r="A581" s="4">
        <v>46134.515787037039</v>
      </c>
      <c r="B581" s="5" t="s">
        <v>19</v>
      </c>
      <c r="C581" s="5" t="s">
        <v>37</v>
      </c>
      <c r="D581" s="5">
        <v>299</v>
      </c>
      <c r="E581" s="6">
        <v>28113645000150</v>
      </c>
      <c r="F581" s="5">
        <v>299</v>
      </c>
      <c r="G581" s="7">
        <v>177687136433931</v>
      </c>
      <c r="H581" s="5" t="s">
        <v>466</v>
      </c>
      <c r="I581" s="5">
        <v>3003</v>
      </c>
      <c r="J581" s="5" t="s">
        <v>22</v>
      </c>
      <c r="K581" s="5" t="s">
        <v>23</v>
      </c>
      <c r="L581" s="5" t="s">
        <v>31</v>
      </c>
      <c r="M581" s="5" t="s">
        <v>284</v>
      </c>
      <c r="N581" s="5" t="s">
        <v>53</v>
      </c>
      <c r="O581" s="5">
        <v>147</v>
      </c>
      <c r="P581" s="5"/>
      <c r="Q581" s="5"/>
      <c r="R581" s="8">
        <v>5.7870370370370373E-5</v>
      </c>
      <c r="S581" s="5" t="s">
        <v>37</v>
      </c>
      <c r="T581" t="str">
        <f>IF(Tabela1[[#This Row],[STATUS_NEGOCIO]]="Enviar E-mail",1,"")</f>
        <v/>
      </c>
      <c r="U581" t="str">
        <f>TEXT(Tabela1[[#This Row],[DATA]],"dd/mm/aaaa")</f>
        <v>22/04/2026</v>
      </c>
    </row>
    <row r="582" spans="1:21" x14ac:dyDescent="0.25">
      <c r="A582" s="4">
        <v>46134.515787037039</v>
      </c>
      <c r="B582" s="5" t="s">
        <v>19</v>
      </c>
      <c r="C582" s="5" t="s">
        <v>37</v>
      </c>
      <c r="D582" s="5">
        <v>300</v>
      </c>
      <c r="E582" s="6">
        <v>28483585000167</v>
      </c>
      <c r="F582" s="5">
        <v>300</v>
      </c>
      <c r="G582" s="7">
        <v>177687136433941</v>
      </c>
      <c r="H582" s="5" t="s">
        <v>467</v>
      </c>
      <c r="I582" s="5" t="s">
        <v>52</v>
      </c>
      <c r="J582" s="5" t="s">
        <v>22</v>
      </c>
      <c r="K582" s="5" t="s">
        <v>36</v>
      </c>
      <c r="L582" s="5" t="s">
        <v>36</v>
      </c>
      <c r="M582" s="5" t="s">
        <v>284</v>
      </c>
      <c r="N582" s="5" t="s">
        <v>53</v>
      </c>
      <c r="O582" s="5">
        <v>34</v>
      </c>
      <c r="P582" s="5"/>
      <c r="Q582" s="5"/>
      <c r="R582" s="8">
        <v>0</v>
      </c>
      <c r="S582" s="5" t="s">
        <v>37</v>
      </c>
      <c r="T582" t="str">
        <f>IF(Tabela1[[#This Row],[STATUS_NEGOCIO]]="Enviar E-mail",1,"")</f>
        <v/>
      </c>
      <c r="U582" t="str">
        <f>TEXT(Tabela1[[#This Row],[DATA]],"dd/mm/aaaa")</f>
        <v>22/04/2026</v>
      </c>
    </row>
    <row r="583" spans="1:21" x14ac:dyDescent="0.25">
      <c r="A583" s="4">
        <v>46134.515787037039</v>
      </c>
      <c r="B583" s="5" t="s">
        <v>19</v>
      </c>
      <c r="C583" s="5" t="s">
        <v>37</v>
      </c>
      <c r="D583" s="5">
        <v>301</v>
      </c>
      <c r="E583" s="6">
        <v>28566081000100</v>
      </c>
      <c r="F583" s="5">
        <v>301</v>
      </c>
      <c r="G583" s="7">
        <v>177687136433951</v>
      </c>
      <c r="H583" s="5" t="s">
        <v>468</v>
      </c>
      <c r="I583" s="5">
        <v>3003</v>
      </c>
      <c r="J583" s="5" t="s">
        <v>22</v>
      </c>
      <c r="K583" s="5" t="s">
        <v>23</v>
      </c>
      <c r="L583" s="5" t="s">
        <v>31</v>
      </c>
      <c r="M583" s="5" t="s">
        <v>284</v>
      </c>
      <c r="N583" s="5" t="s">
        <v>53</v>
      </c>
      <c r="O583" s="5">
        <v>128</v>
      </c>
      <c r="P583" s="5"/>
      <c r="Q583" s="5"/>
      <c r="R583" s="8">
        <v>8.1018518518518516E-5</v>
      </c>
      <c r="S583" s="5" t="s">
        <v>37</v>
      </c>
      <c r="T583" t="str">
        <f>IF(Tabela1[[#This Row],[STATUS_NEGOCIO]]="Enviar E-mail",1,"")</f>
        <v/>
      </c>
      <c r="U583" t="str">
        <f>TEXT(Tabela1[[#This Row],[DATA]],"dd/mm/aaaa")</f>
        <v>22/04/2026</v>
      </c>
    </row>
    <row r="584" spans="1:21" x14ac:dyDescent="0.25">
      <c r="A584" s="4">
        <v>46134.515787037039</v>
      </c>
      <c r="B584" s="5" t="s">
        <v>19</v>
      </c>
      <c r="C584" s="5" t="s">
        <v>37</v>
      </c>
      <c r="D584" s="5">
        <v>302</v>
      </c>
      <c r="E584" s="6">
        <v>28584852000192</v>
      </c>
      <c r="F584" s="5">
        <v>302</v>
      </c>
      <c r="G584" s="7">
        <v>177687136433961</v>
      </c>
      <c r="H584" s="5" t="s">
        <v>469</v>
      </c>
      <c r="I584" s="5">
        <v>3003</v>
      </c>
      <c r="J584" s="5" t="s">
        <v>22</v>
      </c>
      <c r="K584" s="5" t="s">
        <v>23</v>
      </c>
      <c r="L584" s="5" t="s">
        <v>31</v>
      </c>
      <c r="M584" s="5" t="s">
        <v>284</v>
      </c>
      <c r="N584" s="5" t="s">
        <v>53</v>
      </c>
      <c r="O584" s="5">
        <v>128</v>
      </c>
      <c r="P584" s="5"/>
      <c r="Q584" s="5"/>
      <c r="R584" s="8">
        <v>8.1018518518518516E-5</v>
      </c>
      <c r="S584" s="5" t="s">
        <v>37</v>
      </c>
      <c r="T584" t="str">
        <f>IF(Tabela1[[#This Row],[STATUS_NEGOCIO]]="Enviar E-mail",1,"")</f>
        <v/>
      </c>
      <c r="U584" t="str">
        <f>TEXT(Tabela1[[#This Row],[DATA]],"dd/mm/aaaa")</f>
        <v>22/04/2026</v>
      </c>
    </row>
    <row r="585" spans="1:21" x14ac:dyDescent="0.25">
      <c r="A585" s="4">
        <v>46134.516331018516</v>
      </c>
      <c r="B585" s="5" t="s">
        <v>19</v>
      </c>
      <c r="C585" s="5" t="s">
        <v>37</v>
      </c>
      <c r="D585" s="5">
        <v>304</v>
      </c>
      <c r="E585" s="6">
        <v>28673609000140</v>
      </c>
      <c r="F585" s="5">
        <v>304</v>
      </c>
      <c r="G585" s="7">
        <v>177687141134071</v>
      </c>
      <c r="H585" s="5" t="s">
        <v>470</v>
      </c>
      <c r="I585" s="5">
        <v>3003</v>
      </c>
      <c r="J585" s="5" t="s">
        <v>22</v>
      </c>
      <c r="K585" s="5" t="s">
        <v>23</v>
      </c>
      <c r="L585" s="5" t="s">
        <v>31</v>
      </c>
      <c r="M585" s="5" t="s">
        <v>284</v>
      </c>
      <c r="N585" s="5" t="s">
        <v>53</v>
      </c>
      <c r="O585" s="5">
        <v>128</v>
      </c>
      <c r="P585" s="5"/>
      <c r="Q585" s="5"/>
      <c r="R585" s="8">
        <v>8.1018518518518516E-5</v>
      </c>
      <c r="S585" s="5" t="s">
        <v>37</v>
      </c>
      <c r="T585" t="str">
        <f>IF(Tabela1[[#This Row],[STATUS_NEGOCIO]]="Enviar E-mail",1,"")</f>
        <v/>
      </c>
      <c r="U585" t="str">
        <f>TEXT(Tabela1[[#This Row],[DATA]],"dd/mm/aaaa")</f>
        <v>22/04/2026</v>
      </c>
    </row>
    <row r="586" spans="1:21" x14ac:dyDescent="0.25">
      <c r="A586" s="4">
        <v>46134.516331018516</v>
      </c>
      <c r="B586" s="5" t="s">
        <v>19</v>
      </c>
      <c r="C586" s="5" t="s">
        <v>37</v>
      </c>
      <c r="D586" s="5">
        <v>305</v>
      </c>
      <c r="E586" s="6">
        <v>28679579000180</v>
      </c>
      <c r="F586" s="5">
        <v>305</v>
      </c>
      <c r="G586" s="7">
        <v>177687141134081</v>
      </c>
      <c r="H586" s="5" t="s">
        <v>196</v>
      </c>
      <c r="I586" s="5">
        <v>3003</v>
      </c>
      <c r="J586" s="5" t="s">
        <v>22</v>
      </c>
      <c r="K586" s="5" t="s">
        <v>23</v>
      </c>
      <c r="L586" s="5" t="s">
        <v>31</v>
      </c>
      <c r="M586" s="5" t="s">
        <v>284</v>
      </c>
      <c r="N586" s="5" t="s">
        <v>53</v>
      </c>
      <c r="O586" s="5">
        <v>128</v>
      </c>
      <c r="P586" s="5"/>
      <c r="Q586" s="5"/>
      <c r="R586" s="8">
        <v>8.1018518518518516E-5</v>
      </c>
      <c r="S586" s="5" t="s">
        <v>37</v>
      </c>
      <c r="T586" t="str">
        <f>IF(Tabela1[[#This Row],[STATUS_NEGOCIO]]="Enviar E-mail",1,"")</f>
        <v/>
      </c>
      <c r="U586" t="str">
        <f>TEXT(Tabela1[[#This Row],[DATA]],"dd/mm/aaaa")</f>
        <v>22/04/2026</v>
      </c>
    </row>
    <row r="587" spans="1:21" x14ac:dyDescent="0.25">
      <c r="A587" s="4">
        <v>46134.51662037037</v>
      </c>
      <c r="B587" s="5" t="s">
        <v>19</v>
      </c>
      <c r="C587" s="5" t="s">
        <v>37</v>
      </c>
      <c r="D587" s="5">
        <v>306</v>
      </c>
      <c r="E587" s="6">
        <v>28757458000109</v>
      </c>
      <c r="F587" s="5">
        <v>306</v>
      </c>
      <c r="G587" s="7">
        <v>177687143634161</v>
      </c>
      <c r="H587" s="5" t="s">
        <v>471</v>
      </c>
      <c r="I587" s="5">
        <v>3003</v>
      </c>
      <c r="J587" s="5" t="s">
        <v>22</v>
      </c>
      <c r="K587" s="5" t="s">
        <v>23</v>
      </c>
      <c r="L587" s="5" t="s">
        <v>31</v>
      </c>
      <c r="M587" s="5" t="s">
        <v>284</v>
      </c>
      <c r="N587" s="5" t="s">
        <v>53</v>
      </c>
      <c r="O587" s="5">
        <v>128</v>
      </c>
      <c r="P587" s="5"/>
      <c r="Q587" s="5"/>
      <c r="R587" s="8">
        <v>8.1018518518518516E-5</v>
      </c>
      <c r="S587" s="5" t="s">
        <v>37</v>
      </c>
      <c r="T587" t="str">
        <f>IF(Tabela1[[#This Row],[STATUS_NEGOCIO]]="Enviar E-mail",1,"")</f>
        <v/>
      </c>
      <c r="U587" t="str">
        <f>TEXT(Tabela1[[#This Row],[DATA]],"dd/mm/aaaa")</f>
        <v>22/04/2026</v>
      </c>
    </row>
    <row r="588" spans="1:21" x14ac:dyDescent="0.25">
      <c r="A588" s="4">
        <v>46134.516840277778</v>
      </c>
      <c r="B588" s="5" t="s">
        <v>19</v>
      </c>
      <c r="C588" s="5" t="s">
        <v>37</v>
      </c>
      <c r="D588" s="5">
        <v>307</v>
      </c>
      <c r="E588" s="6">
        <v>28774621000141</v>
      </c>
      <c r="F588" s="5">
        <v>307</v>
      </c>
      <c r="G588" s="7">
        <v>177687145534301</v>
      </c>
      <c r="H588" s="5" t="s">
        <v>472</v>
      </c>
      <c r="I588" s="5">
        <v>3003</v>
      </c>
      <c r="J588" s="5" t="s">
        <v>22</v>
      </c>
      <c r="K588" s="5" t="s">
        <v>23</v>
      </c>
      <c r="L588" s="5" t="s">
        <v>31</v>
      </c>
      <c r="M588" s="5" t="s">
        <v>284</v>
      </c>
      <c r="N588" s="5" t="s">
        <v>26</v>
      </c>
      <c r="O588" s="5">
        <v>131</v>
      </c>
      <c r="P588" s="5"/>
      <c r="Q588" s="5"/>
      <c r="R588" s="8">
        <v>1.0416666666666667E-4</v>
      </c>
      <c r="S588" s="5" t="s">
        <v>37</v>
      </c>
      <c r="T588" t="str">
        <f>IF(Tabela1[[#This Row],[STATUS_NEGOCIO]]="Enviar E-mail",1,"")</f>
        <v/>
      </c>
      <c r="U588" t="str">
        <f>TEXT(Tabela1[[#This Row],[DATA]],"dd/mm/aaaa")</f>
        <v>22/04/2026</v>
      </c>
    </row>
    <row r="589" spans="1:21" x14ac:dyDescent="0.25">
      <c r="A589" s="4">
        <v>46134.517210648148</v>
      </c>
      <c r="B589" s="5" t="s">
        <v>19</v>
      </c>
      <c r="C589" s="5" t="s">
        <v>37</v>
      </c>
      <c r="D589" s="5">
        <v>308</v>
      </c>
      <c r="E589" s="6">
        <v>28801829000102</v>
      </c>
      <c r="F589" s="5">
        <v>308</v>
      </c>
      <c r="G589" s="7">
        <v>177687148734421</v>
      </c>
      <c r="H589" s="5" t="s">
        <v>473</v>
      </c>
      <c r="I589" s="5">
        <v>3003</v>
      </c>
      <c r="J589" s="5" t="s">
        <v>22</v>
      </c>
      <c r="K589" s="5" t="s">
        <v>23</v>
      </c>
      <c r="L589" s="5" t="s">
        <v>31</v>
      </c>
      <c r="M589" s="5" t="s">
        <v>284</v>
      </c>
      <c r="N589" s="5" t="s">
        <v>53</v>
      </c>
      <c r="O589" s="5">
        <v>128</v>
      </c>
      <c r="P589" s="5"/>
      <c r="Q589" s="5"/>
      <c r="R589" s="8">
        <v>8.1018518518518516E-5</v>
      </c>
      <c r="S589" s="5" t="s">
        <v>37</v>
      </c>
      <c r="T589" t="str">
        <f>IF(Tabela1[[#This Row],[STATUS_NEGOCIO]]="Enviar E-mail",1,"")</f>
        <v/>
      </c>
      <c r="U589" t="str">
        <f>TEXT(Tabela1[[#This Row],[DATA]],"dd/mm/aaaa")</f>
        <v>22/04/2026</v>
      </c>
    </row>
    <row r="590" spans="1:21" x14ac:dyDescent="0.25">
      <c r="A590" s="4">
        <v>46134.517326388886</v>
      </c>
      <c r="B590" s="5" t="s">
        <v>19</v>
      </c>
      <c r="C590" s="5" t="s">
        <v>37</v>
      </c>
      <c r="D590" s="5">
        <v>309</v>
      </c>
      <c r="E590" s="6">
        <v>28804490000106</v>
      </c>
      <c r="F590" s="5">
        <v>309</v>
      </c>
      <c r="G590" s="7">
        <v>177687149734471</v>
      </c>
      <c r="H590" s="5" t="s">
        <v>177</v>
      </c>
      <c r="I590" s="5">
        <v>3003</v>
      </c>
      <c r="J590" s="5" t="s">
        <v>22</v>
      </c>
      <c r="K590" s="5" t="s">
        <v>23</v>
      </c>
      <c r="L590" s="5" t="s">
        <v>31</v>
      </c>
      <c r="M590" s="5" t="s">
        <v>284</v>
      </c>
      <c r="N590" s="5" t="s">
        <v>53</v>
      </c>
      <c r="O590" s="5">
        <v>128</v>
      </c>
      <c r="P590" s="5"/>
      <c r="Q590" s="5"/>
      <c r="R590" s="8">
        <v>8.1018518518518516E-5</v>
      </c>
      <c r="S590" s="5" t="s">
        <v>37</v>
      </c>
      <c r="T590" t="str">
        <f>IF(Tabela1[[#This Row],[STATUS_NEGOCIO]]="Enviar E-mail",1,"")</f>
        <v/>
      </c>
      <c r="U590" t="str">
        <f>TEXT(Tabela1[[#This Row],[DATA]],"dd/mm/aaaa")</f>
        <v>22/04/2026</v>
      </c>
    </row>
    <row r="591" spans="1:21" x14ac:dyDescent="0.25">
      <c r="A591" s="4">
        <v>46134.517870370371</v>
      </c>
      <c r="B591" s="5" t="s">
        <v>19</v>
      </c>
      <c r="C591" s="5" t="s">
        <v>37</v>
      </c>
      <c r="D591" s="5">
        <v>310</v>
      </c>
      <c r="E591" s="6">
        <v>28818441000114</v>
      </c>
      <c r="F591" s="5">
        <v>310</v>
      </c>
      <c r="G591" s="7">
        <v>177687154434581</v>
      </c>
      <c r="H591" s="5" t="s">
        <v>474</v>
      </c>
      <c r="I591" s="5">
        <v>3003</v>
      </c>
      <c r="J591" s="5" t="s">
        <v>22</v>
      </c>
      <c r="K591" s="5" t="s">
        <v>23</v>
      </c>
      <c r="L591" s="5" t="s">
        <v>31</v>
      </c>
      <c r="M591" s="5" t="s">
        <v>284</v>
      </c>
      <c r="N591" s="5" t="s">
        <v>53</v>
      </c>
      <c r="O591" s="5">
        <v>128</v>
      </c>
      <c r="P591" s="5"/>
      <c r="Q591" s="5"/>
      <c r="R591" s="8">
        <v>8.1018518518518516E-5</v>
      </c>
      <c r="S591" s="5" t="s">
        <v>37</v>
      </c>
      <c r="T591" t="str">
        <f>IF(Tabela1[[#This Row],[STATUS_NEGOCIO]]="Enviar E-mail",1,"")</f>
        <v/>
      </c>
      <c r="U591" t="str">
        <f>TEXT(Tabela1[[#This Row],[DATA]],"dd/mm/aaaa")</f>
        <v>22/04/2026</v>
      </c>
    </row>
    <row r="592" spans="1:21" x14ac:dyDescent="0.25">
      <c r="A592" s="4">
        <v>46134.518067129633</v>
      </c>
      <c r="B592" s="5" t="s">
        <v>19</v>
      </c>
      <c r="C592" s="5" t="s">
        <v>37</v>
      </c>
      <c r="D592" s="5">
        <v>311</v>
      </c>
      <c r="E592" s="6">
        <v>28839589000135</v>
      </c>
      <c r="F592" s="5">
        <v>311</v>
      </c>
      <c r="G592" s="7">
        <v>177687156134601</v>
      </c>
      <c r="H592" s="5" t="s">
        <v>475</v>
      </c>
      <c r="I592" s="5">
        <v>3003</v>
      </c>
      <c r="J592" s="5" t="s">
        <v>22</v>
      </c>
      <c r="K592" s="5" t="s">
        <v>23</v>
      </c>
      <c r="L592" s="5" t="s">
        <v>31</v>
      </c>
      <c r="M592" s="5" t="s">
        <v>284</v>
      </c>
      <c r="N592" s="5" t="s">
        <v>53</v>
      </c>
      <c r="O592" s="5">
        <v>128</v>
      </c>
      <c r="P592" s="5"/>
      <c r="Q592" s="5"/>
      <c r="R592" s="8">
        <v>8.1018518518518516E-5</v>
      </c>
      <c r="S592" s="5" t="s">
        <v>37</v>
      </c>
      <c r="T592" t="str">
        <f>IF(Tabela1[[#This Row],[STATUS_NEGOCIO]]="Enviar E-mail",1,"")</f>
        <v/>
      </c>
      <c r="U592" t="str">
        <f>TEXT(Tabela1[[#This Row],[DATA]],"dd/mm/aaaa")</f>
        <v>22/04/2026</v>
      </c>
    </row>
    <row r="593" spans="1:21" x14ac:dyDescent="0.25">
      <c r="A593" s="4">
        <v>46134.518217592595</v>
      </c>
      <c r="B593" s="5" t="s">
        <v>19</v>
      </c>
      <c r="C593" s="5" t="s">
        <v>37</v>
      </c>
      <c r="D593" s="5">
        <v>312</v>
      </c>
      <c r="E593" s="6">
        <v>28886281000140</v>
      </c>
      <c r="F593" s="5">
        <v>312</v>
      </c>
      <c r="G593" s="7">
        <v>177687157434621</v>
      </c>
      <c r="H593" s="5" t="s">
        <v>476</v>
      </c>
      <c r="I593" s="5">
        <v>3003</v>
      </c>
      <c r="J593" s="5" t="s">
        <v>22</v>
      </c>
      <c r="K593" s="5" t="s">
        <v>23</v>
      </c>
      <c r="L593" s="5" t="s">
        <v>31</v>
      </c>
      <c r="M593" s="5" t="s">
        <v>284</v>
      </c>
      <c r="N593" s="5" t="s">
        <v>53</v>
      </c>
      <c r="O593" s="5">
        <v>128</v>
      </c>
      <c r="P593" s="5"/>
      <c r="Q593" s="5"/>
      <c r="R593" s="8">
        <v>8.1018518518518516E-5</v>
      </c>
      <c r="S593" s="5" t="s">
        <v>37</v>
      </c>
      <c r="T593" t="str">
        <f>IF(Tabela1[[#This Row],[STATUS_NEGOCIO]]="Enviar E-mail",1,"")</f>
        <v/>
      </c>
      <c r="U593" t="str">
        <f>TEXT(Tabela1[[#This Row],[DATA]],"dd/mm/aaaa")</f>
        <v>22/04/2026</v>
      </c>
    </row>
    <row r="594" spans="1:21" x14ac:dyDescent="0.25">
      <c r="A594" s="4">
        <v>46134.518541666665</v>
      </c>
      <c r="B594" s="5" t="s">
        <v>19</v>
      </c>
      <c r="C594" s="5" t="s">
        <v>37</v>
      </c>
      <c r="D594" s="5">
        <v>313</v>
      </c>
      <c r="E594" s="6">
        <v>28889028000140</v>
      </c>
      <c r="F594" s="5">
        <v>313</v>
      </c>
      <c r="G594" s="7">
        <v>177687160234681</v>
      </c>
      <c r="H594" s="5" t="s">
        <v>477</v>
      </c>
      <c r="I594" s="5">
        <v>3003</v>
      </c>
      <c r="J594" s="5" t="s">
        <v>22</v>
      </c>
      <c r="K594" s="5" t="s">
        <v>23</v>
      </c>
      <c r="L594" s="5" t="s">
        <v>31</v>
      </c>
      <c r="M594" s="5" t="s">
        <v>284</v>
      </c>
      <c r="N594" s="5" t="s">
        <v>53</v>
      </c>
      <c r="O594" s="5">
        <v>128</v>
      </c>
      <c r="P594" s="5"/>
      <c r="Q594" s="5"/>
      <c r="R594" s="8">
        <v>8.1018518518518516E-5</v>
      </c>
      <c r="S594" s="5" t="s">
        <v>37</v>
      </c>
      <c r="T594" t="str">
        <f>IF(Tabela1[[#This Row],[STATUS_NEGOCIO]]="Enviar E-mail",1,"")</f>
        <v/>
      </c>
      <c r="U594" t="str">
        <f>TEXT(Tabela1[[#This Row],[DATA]],"dd/mm/aaaa")</f>
        <v>22/04/2026</v>
      </c>
    </row>
    <row r="595" spans="1:21" x14ac:dyDescent="0.25">
      <c r="A595" s="4">
        <v>46134.519062500003</v>
      </c>
      <c r="B595" s="5" t="s">
        <v>19</v>
      </c>
      <c r="C595" s="5" t="s">
        <v>37</v>
      </c>
      <c r="D595" s="5">
        <v>314</v>
      </c>
      <c r="E595" s="6">
        <v>29203700000165</v>
      </c>
      <c r="F595" s="5">
        <v>314</v>
      </c>
      <c r="G595" s="7">
        <v>177687164734831</v>
      </c>
      <c r="H595" s="5" t="s">
        <v>478</v>
      </c>
      <c r="I595" s="5">
        <v>3003</v>
      </c>
      <c r="J595" s="5" t="s">
        <v>22</v>
      </c>
      <c r="K595" s="5" t="s">
        <v>23</v>
      </c>
      <c r="L595" s="5" t="s">
        <v>31</v>
      </c>
      <c r="M595" s="5" t="s">
        <v>284</v>
      </c>
      <c r="N595" s="5" t="s">
        <v>53</v>
      </c>
      <c r="O595" s="5">
        <v>128</v>
      </c>
      <c r="P595" s="5"/>
      <c r="Q595" s="5"/>
      <c r="R595" s="8">
        <v>8.1018518518518516E-5</v>
      </c>
      <c r="S595" s="5" t="s">
        <v>37</v>
      </c>
      <c r="T595" t="str">
        <f>IF(Tabela1[[#This Row],[STATUS_NEGOCIO]]="Enviar E-mail",1,"")</f>
        <v/>
      </c>
      <c r="U595" t="str">
        <f>TEXT(Tabela1[[#This Row],[DATA]],"dd/mm/aaaa")</f>
        <v>22/04/2026</v>
      </c>
    </row>
    <row r="596" spans="1:21" x14ac:dyDescent="0.25">
      <c r="A596" s="4">
        <v>46134.519247685188</v>
      </c>
      <c r="B596" s="5" t="s">
        <v>19</v>
      </c>
      <c r="C596" s="5" t="s">
        <v>37</v>
      </c>
      <c r="D596" s="5">
        <v>315</v>
      </c>
      <c r="E596" s="6">
        <v>29230335000188</v>
      </c>
      <c r="F596" s="5">
        <v>315</v>
      </c>
      <c r="G596" s="7">
        <v>177687166334861</v>
      </c>
      <c r="H596" s="5" t="s">
        <v>479</v>
      </c>
      <c r="I596" s="5">
        <v>3003</v>
      </c>
      <c r="J596" s="5" t="s">
        <v>22</v>
      </c>
      <c r="K596" s="5" t="s">
        <v>23</v>
      </c>
      <c r="L596" s="5" t="s">
        <v>31</v>
      </c>
      <c r="M596" s="5" t="s">
        <v>284</v>
      </c>
      <c r="N596" s="5" t="s">
        <v>53</v>
      </c>
      <c r="O596" s="5">
        <v>128</v>
      </c>
      <c r="P596" s="5"/>
      <c r="Q596" s="5"/>
      <c r="R596" s="8">
        <v>8.1018518518518516E-5</v>
      </c>
      <c r="S596" s="5" t="s">
        <v>37</v>
      </c>
      <c r="T596" t="str">
        <f>IF(Tabela1[[#This Row],[STATUS_NEGOCIO]]="Enviar E-mail",1,"")</f>
        <v/>
      </c>
      <c r="U596" t="str">
        <f>TEXT(Tabela1[[#This Row],[DATA]],"dd/mm/aaaa")</f>
        <v>22/04/2026</v>
      </c>
    </row>
    <row r="597" spans="1:21" x14ac:dyDescent="0.25">
      <c r="A597" s="4">
        <v>46134.519560185188</v>
      </c>
      <c r="B597" s="5" t="s">
        <v>19</v>
      </c>
      <c r="C597" s="5" t="s">
        <v>27</v>
      </c>
      <c r="D597" s="5">
        <v>316</v>
      </c>
      <c r="E597" s="6">
        <v>29265311000164</v>
      </c>
      <c r="F597" s="5">
        <v>316</v>
      </c>
      <c r="G597" s="7">
        <v>177687169034941</v>
      </c>
      <c r="H597" s="5" t="s">
        <v>480</v>
      </c>
      <c r="I597" s="5">
        <v>3003</v>
      </c>
      <c r="J597" s="5" t="s">
        <v>22</v>
      </c>
      <c r="K597" s="5" t="s">
        <v>23</v>
      </c>
      <c r="L597" s="5" t="s">
        <v>40</v>
      </c>
      <c r="M597" s="5" t="s">
        <v>284</v>
      </c>
      <c r="N597" s="5" t="s">
        <v>26</v>
      </c>
      <c r="O597" s="5">
        <v>16</v>
      </c>
      <c r="P597" s="5"/>
      <c r="Q597" s="5"/>
      <c r="R597" s="8">
        <v>2.0370370370370369E-3</v>
      </c>
      <c r="S597" s="8">
        <v>1.9791666666666668E-3</v>
      </c>
      <c r="T597">
        <f>IF(Tabela1[[#This Row],[STATUS_NEGOCIO]]="Enviar E-mail",1,"")</f>
        <v>1</v>
      </c>
      <c r="U597" t="str">
        <f>TEXT(Tabela1[[#This Row],[DATA]],"dd/mm/aaaa")</f>
        <v>22/04/2026</v>
      </c>
    </row>
    <row r="598" spans="1:21" x14ac:dyDescent="0.25">
      <c r="A598" s="4">
        <v>46134.522372685184</v>
      </c>
      <c r="B598" s="5" t="s">
        <v>19</v>
      </c>
      <c r="C598" s="5" t="s">
        <v>37</v>
      </c>
      <c r="D598" s="5">
        <v>318</v>
      </c>
      <c r="E598" s="6">
        <v>29313890000173</v>
      </c>
      <c r="F598" s="5">
        <v>318</v>
      </c>
      <c r="G598" s="7">
        <v>177687193335681</v>
      </c>
      <c r="H598" s="5" t="s">
        <v>481</v>
      </c>
      <c r="I598" s="5" t="s">
        <v>52</v>
      </c>
      <c r="J598" s="5" t="s">
        <v>22</v>
      </c>
      <c r="K598" s="5" t="s">
        <v>36</v>
      </c>
      <c r="L598" s="5" t="s">
        <v>36</v>
      </c>
      <c r="M598" s="5" t="s">
        <v>284</v>
      </c>
      <c r="N598" s="5" t="s">
        <v>53</v>
      </c>
      <c r="O598" s="5">
        <v>1</v>
      </c>
      <c r="P598" s="5"/>
      <c r="Q598" s="5"/>
      <c r="R598" s="8">
        <v>0</v>
      </c>
      <c r="S598" s="5" t="s">
        <v>37</v>
      </c>
      <c r="T598" t="str">
        <f>IF(Tabela1[[#This Row],[STATUS_NEGOCIO]]="Enviar E-mail",1,"")</f>
        <v/>
      </c>
      <c r="U598" t="str">
        <f>TEXT(Tabela1[[#This Row],[DATA]],"dd/mm/aaaa")</f>
        <v>22/04/2026</v>
      </c>
    </row>
    <row r="599" spans="1:21" x14ac:dyDescent="0.25">
      <c r="A599" s="4">
        <v>46134.522372685184</v>
      </c>
      <c r="B599" s="5" t="s">
        <v>19</v>
      </c>
      <c r="C599" s="5" t="s">
        <v>20</v>
      </c>
      <c r="D599" s="5">
        <v>319</v>
      </c>
      <c r="E599" s="6">
        <v>29347851000197</v>
      </c>
      <c r="F599" s="5">
        <v>319</v>
      </c>
      <c r="G599" s="7">
        <v>177687193335691</v>
      </c>
      <c r="H599" s="5" t="s">
        <v>81</v>
      </c>
      <c r="I599" s="5">
        <v>3003</v>
      </c>
      <c r="J599" s="5" t="s">
        <v>22</v>
      </c>
      <c r="K599" s="5" t="s">
        <v>23</v>
      </c>
      <c r="L599" s="5" t="s">
        <v>40</v>
      </c>
      <c r="M599" s="5" t="s">
        <v>284</v>
      </c>
      <c r="N599" s="5" t="s">
        <v>32</v>
      </c>
      <c r="O599" s="5">
        <v>16</v>
      </c>
      <c r="P599" s="5"/>
      <c r="Q599" s="5"/>
      <c r="R599" s="8">
        <v>2.1643518518518518E-3</v>
      </c>
      <c r="S599" s="8">
        <v>2.1064814814814813E-3</v>
      </c>
      <c r="T599">
        <f>IF(Tabela1[[#This Row],[STATUS_NEGOCIO]]="Enviar E-mail",1,"")</f>
        <v>1</v>
      </c>
      <c r="U599" t="str">
        <f>TEXT(Tabela1[[#This Row],[DATA]],"dd/mm/aaaa")</f>
        <v>22/04/2026</v>
      </c>
    </row>
    <row r="600" spans="1:21" x14ac:dyDescent="0.25">
      <c r="A600" s="4">
        <v>46134.522372685184</v>
      </c>
      <c r="B600" s="5" t="s">
        <v>19</v>
      </c>
      <c r="C600" s="5" t="s">
        <v>37</v>
      </c>
      <c r="D600" s="5">
        <v>320</v>
      </c>
      <c r="E600" s="6">
        <v>29348695000189</v>
      </c>
      <c r="F600" s="5">
        <v>320</v>
      </c>
      <c r="G600" s="7">
        <v>177687193335701</v>
      </c>
      <c r="H600" s="5" t="s">
        <v>482</v>
      </c>
      <c r="I600" s="5">
        <v>3003</v>
      </c>
      <c r="J600" s="5" t="s">
        <v>22</v>
      </c>
      <c r="K600" s="5" t="s">
        <v>23</v>
      </c>
      <c r="L600" s="5" t="s">
        <v>31</v>
      </c>
      <c r="M600" s="5" t="s">
        <v>284</v>
      </c>
      <c r="N600" s="5" t="s">
        <v>53</v>
      </c>
      <c r="O600" s="5">
        <v>128</v>
      </c>
      <c r="P600" s="5"/>
      <c r="Q600" s="5"/>
      <c r="R600" s="8">
        <v>8.1018518518518516E-5</v>
      </c>
      <c r="S600" s="5" t="s">
        <v>37</v>
      </c>
      <c r="T600" t="str">
        <f>IF(Tabela1[[#This Row],[STATUS_NEGOCIO]]="Enviar E-mail",1,"")</f>
        <v/>
      </c>
      <c r="U600" t="str">
        <f>TEXT(Tabela1[[#This Row],[DATA]],"dd/mm/aaaa")</f>
        <v>22/04/2026</v>
      </c>
    </row>
    <row r="601" spans="1:21" x14ac:dyDescent="0.25">
      <c r="A601" s="4">
        <v>46134.522372685184</v>
      </c>
      <c r="B601" s="5" t="s">
        <v>19</v>
      </c>
      <c r="C601" s="5" t="s">
        <v>27</v>
      </c>
      <c r="D601" s="5">
        <v>321</v>
      </c>
      <c r="E601" s="6">
        <v>29546140000141</v>
      </c>
      <c r="F601" s="5">
        <v>321</v>
      </c>
      <c r="G601" s="7">
        <v>177687193335711</v>
      </c>
      <c r="H601" s="5" t="s">
        <v>483</v>
      </c>
      <c r="I601" s="5">
        <v>3003</v>
      </c>
      <c r="J601" s="5" t="s">
        <v>22</v>
      </c>
      <c r="K601" s="5" t="s">
        <v>23</v>
      </c>
      <c r="L601" s="5" t="s">
        <v>40</v>
      </c>
      <c r="M601" s="5" t="s">
        <v>284</v>
      </c>
      <c r="N601" s="5" t="s">
        <v>26</v>
      </c>
      <c r="O601" s="5">
        <v>16</v>
      </c>
      <c r="P601" s="5"/>
      <c r="Q601" s="5"/>
      <c r="R601" s="8">
        <v>1.8749999999999999E-3</v>
      </c>
      <c r="S601" s="8">
        <v>1.8055555555555555E-3</v>
      </c>
      <c r="T601">
        <f>IF(Tabela1[[#This Row],[STATUS_NEGOCIO]]="Enviar E-mail",1,"")</f>
        <v>1</v>
      </c>
      <c r="U601" t="str">
        <f>TEXT(Tabela1[[#This Row],[DATA]],"dd/mm/aaaa")</f>
        <v>22/04/2026</v>
      </c>
    </row>
    <row r="602" spans="1:21" x14ac:dyDescent="0.25">
      <c r="A602" s="4">
        <v>46134.522372685184</v>
      </c>
      <c r="B602" s="5" t="s">
        <v>19</v>
      </c>
      <c r="C602" s="5" t="s">
        <v>37</v>
      </c>
      <c r="D602" s="5">
        <v>322</v>
      </c>
      <c r="E602" s="6">
        <v>29549276000105</v>
      </c>
      <c r="F602" s="5">
        <v>322</v>
      </c>
      <c r="G602" s="7">
        <v>177687193335721</v>
      </c>
      <c r="H602" s="5" t="s">
        <v>484</v>
      </c>
      <c r="I602" s="5">
        <v>3003</v>
      </c>
      <c r="J602" s="5" t="s">
        <v>22</v>
      </c>
      <c r="K602" s="5" t="s">
        <v>23</v>
      </c>
      <c r="L602" s="5" t="s">
        <v>31</v>
      </c>
      <c r="M602" s="5" t="s">
        <v>284</v>
      </c>
      <c r="N602" s="5" t="s">
        <v>53</v>
      </c>
      <c r="O602" s="5">
        <v>128</v>
      </c>
      <c r="P602" s="5"/>
      <c r="Q602" s="5"/>
      <c r="R602" s="8">
        <v>8.1018518518518516E-5</v>
      </c>
      <c r="S602" s="5" t="s">
        <v>37</v>
      </c>
      <c r="T602" t="str">
        <f>IF(Tabela1[[#This Row],[STATUS_NEGOCIO]]="Enviar E-mail",1,"")</f>
        <v/>
      </c>
      <c r="U602" t="str">
        <f>TEXT(Tabela1[[#This Row],[DATA]],"dd/mm/aaaa")</f>
        <v>22/04/2026</v>
      </c>
    </row>
    <row r="603" spans="1:21" x14ac:dyDescent="0.25">
      <c r="A603" s="4">
        <v>46134.524652777778</v>
      </c>
      <c r="B603" s="5" t="s">
        <v>19</v>
      </c>
      <c r="C603" s="5" t="s">
        <v>37</v>
      </c>
      <c r="D603" s="5">
        <v>323</v>
      </c>
      <c r="E603" s="6">
        <v>29627007000110</v>
      </c>
      <c r="F603" s="5">
        <v>323</v>
      </c>
      <c r="G603" s="7">
        <v>177687213036021</v>
      </c>
      <c r="H603" s="5" t="s">
        <v>485</v>
      </c>
      <c r="I603" s="5">
        <v>3003</v>
      </c>
      <c r="J603" s="5" t="s">
        <v>22</v>
      </c>
      <c r="K603" s="5" t="s">
        <v>23</v>
      </c>
      <c r="L603" s="5" t="s">
        <v>31</v>
      </c>
      <c r="M603" s="5" t="s">
        <v>284</v>
      </c>
      <c r="N603" s="5" t="s">
        <v>53</v>
      </c>
      <c r="O603" s="5">
        <v>128</v>
      </c>
      <c r="P603" s="5"/>
      <c r="Q603" s="5"/>
      <c r="R603" s="8">
        <v>8.1018518518518516E-5</v>
      </c>
      <c r="S603" s="5" t="s">
        <v>37</v>
      </c>
      <c r="T603" t="str">
        <f>IF(Tabela1[[#This Row],[STATUS_NEGOCIO]]="Enviar E-mail",1,"")</f>
        <v/>
      </c>
      <c r="U603" t="str">
        <f>TEXT(Tabela1[[#This Row],[DATA]],"dd/mm/aaaa")</f>
        <v>22/04/2026</v>
      </c>
    </row>
    <row r="604" spans="1:21" x14ac:dyDescent="0.25">
      <c r="A604" s="4">
        <v>46134.525254629632</v>
      </c>
      <c r="B604" s="5" t="s">
        <v>19</v>
      </c>
      <c r="C604" s="5" t="s">
        <v>20</v>
      </c>
      <c r="D604" s="5">
        <v>324</v>
      </c>
      <c r="E604" s="6">
        <v>29638942000181</v>
      </c>
      <c r="F604" s="5">
        <v>324</v>
      </c>
      <c r="G604" s="7">
        <v>177687218236041</v>
      </c>
      <c r="H604" s="5" t="s">
        <v>486</v>
      </c>
      <c r="I604" s="5">
        <v>3003</v>
      </c>
      <c r="J604" s="5" t="s">
        <v>22</v>
      </c>
      <c r="K604" s="5" t="s">
        <v>23</v>
      </c>
      <c r="L604" s="5" t="s">
        <v>40</v>
      </c>
      <c r="M604" s="5" t="s">
        <v>284</v>
      </c>
      <c r="N604" s="5" t="s">
        <v>32</v>
      </c>
      <c r="O604" s="5">
        <v>16</v>
      </c>
      <c r="P604" s="5"/>
      <c r="Q604" s="5"/>
      <c r="R604" s="8">
        <v>2.7083333333333334E-3</v>
      </c>
      <c r="S604" s="8">
        <v>2.662037037037037E-3</v>
      </c>
      <c r="T604">
        <f>IF(Tabela1[[#This Row],[STATUS_NEGOCIO]]="Enviar E-mail",1,"")</f>
        <v>1</v>
      </c>
      <c r="U604" t="str">
        <f>TEXT(Tabela1[[#This Row],[DATA]],"dd/mm/aaaa")</f>
        <v>22/04/2026</v>
      </c>
    </row>
    <row r="605" spans="1:21" x14ac:dyDescent="0.25">
      <c r="A605" s="4">
        <v>46134.528113425928</v>
      </c>
      <c r="B605" s="5" t="s">
        <v>19</v>
      </c>
      <c r="C605" s="5" t="s">
        <v>37</v>
      </c>
      <c r="D605" s="5">
        <v>325</v>
      </c>
      <c r="E605" s="6">
        <v>29654365000111</v>
      </c>
      <c r="F605" s="5">
        <v>325</v>
      </c>
      <c r="G605" s="7">
        <v>177687242936381</v>
      </c>
      <c r="H605" s="5" t="s">
        <v>487</v>
      </c>
      <c r="I605" s="5">
        <v>3003</v>
      </c>
      <c r="J605" s="5" t="s">
        <v>22</v>
      </c>
      <c r="K605" s="5" t="s">
        <v>23</v>
      </c>
      <c r="L605" s="5" t="s">
        <v>31</v>
      </c>
      <c r="M605" s="5" t="s">
        <v>284</v>
      </c>
      <c r="N605" s="5" t="s">
        <v>53</v>
      </c>
      <c r="O605" s="5">
        <v>128</v>
      </c>
      <c r="P605" s="5"/>
      <c r="Q605" s="5"/>
      <c r="R605" s="8">
        <v>8.1018518518518516E-5</v>
      </c>
      <c r="S605" s="5" t="s">
        <v>37</v>
      </c>
      <c r="T605" t="str">
        <f>IF(Tabela1[[#This Row],[STATUS_NEGOCIO]]="Enviar E-mail",1,"")</f>
        <v/>
      </c>
      <c r="U605" t="str">
        <f>TEXT(Tabela1[[#This Row],[DATA]],"dd/mm/aaaa")</f>
        <v>22/04/2026</v>
      </c>
    </row>
    <row r="606" spans="1:21" x14ac:dyDescent="0.25">
      <c r="A606" s="4">
        <v>46134.528287037036</v>
      </c>
      <c r="B606" s="5" t="s">
        <v>19</v>
      </c>
      <c r="C606" s="5" t="s">
        <v>37</v>
      </c>
      <c r="D606" s="5">
        <v>326</v>
      </c>
      <c r="E606" s="6">
        <v>29688710000138</v>
      </c>
      <c r="F606" s="5">
        <v>326</v>
      </c>
      <c r="G606" s="7">
        <v>177687244436401</v>
      </c>
      <c r="H606" s="5" t="s">
        <v>169</v>
      </c>
      <c r="I606" s="5">
        <v>3003</v>
      </c>
      <c r="J606" s="5" t="s">
        <v>22</v>
      </c>
      <c r="K606" s="5" t="s">
        <v>23</v>
      </c>
      <c r="L606" s="5" t="s">
        <v>31</v>
      </c>
      <c r="M606" s="5" t="s">
        <v>284</v>
      </c>
      <c r="N606" s="5" t="s">
        <v>53</v>
      </c>
      <c r="O606" s="5">
        <v>128</v>
      </c>
      <c r="P606" s="5"/>
      <c r="Q606" s="5"/>
      <c r="R606" s="8">
        <v>6.9444444444444444E-5</v>
      </c>
      <c r="S606" s="5" t="s">
        <v>37</v>
      </c>
      <c r="T606" t="str">
        <f>IF(Tabela1[[#This Row],[STATUS_NEGOCIO]]="Enviar E-mail",1,"")</f>
        <v/>
      </c>
      <c r="U606" t="str">
        <f>TEXT(Tabela1[[#This Row],[DATA]],"dd/mm/aaaa")</f>
        <v>22/04/2026</v>
      </c>
    </row>
    <row r="607" spans="1:21" x14ac:dyDescent="0.25">
      <c r="A607" s="4">
        <v>46134.528425925928</v>
      </c>
      <c r="B607" s="5" t="s">
        <v>19</v>
      </c>
      <c r="C607" s="5" t="s">
        <v>37</v>
      </c>
      <c r="D607" s="5">
        <v>327</v>
      </c>
      <c r="E607" s="6">
        <v>29732268000108</v>
      </c>
      <c r="F607" s="5">
        <v>327</v>
      </c>
      <c r="G607" s="7">
        <v>177687245636421</v>
      </c>
      <c r="H607" s="5" t="s">
        <v>71</v>
      </c>
      <c r="I607" s="5" t="s">
        <v>52</v>
      </c>
      <c r="J607" s="5" t="s">
        <v>22</v>
      </c>
      <c r="K607" s="5" t="s">
        <v>36</v>
      </c>
      <c r="L607" s="5" t="s">
        <v>36</v>
      </c>
      <c r="M607" s="5" t="s">
        <v>284</v>
      </c>
      <c r="N607" s="5" t="s">
        <v>53</v>
      </c>
      <c r="O607" s="5">
        <v>34</v>
      </c>
      <c r="P607" s="5"/>
      <c r="Q607" s="5"/>
      <c r="R607" s="8">
        <v>0</v>
      </c>
      <c r="S607" s="5" t="s">
        <v>37</v>
      </c>
      <c r="T607" t="str">
        <f>IF(Tabela1[[#This Row],[STATUS_NEGOCIO]]="Enviar E-mail",1,"")</f>
        <v/>
      </c>
      <c r="U607" t="str">
        <f>TEXT(Tabela1[[#This Row],[DATA]],"dd/mm/aaaa")</f>
        <v>22/04/2026</v>
      </c>
    </row>
    <row r="608" spans="1:21" x14ac:dyDescent="0.25">
      <c r="A608" s="4">
        <v>46134.528981481482</v>
      </c>
      <c r="B608" s="5" t="s">
        <v>19</v>
      </c>
      <c r="C608" s="5" t="s">
        <v>37</v>
      </c>
      <c r="D608" s="5">
        <v>328</v>
      </c>
      <c r="E608" s="6">
        <v>29762098000104</v>
      </c>
      <c r="F608" s="5">
        <v>328</v>
      </c>
      <c r="G608" s="7">
        <v>177687250436531</v>
      </c>
      <c r="H608" s="5" t="s">
        <v>488</v>
      </c>
      <c r="I608" s="5" t="s">
        <v>52</v>
      </c>
      <c r="J608" s="5" t="s">
        <v>22</v>
      </c>
      <c r="K608" s="5" t="s">
        <v>36</v>
      </c>
      <c r="L608" s="5" t="s">
        <v>36</v>
      </c>
      <c r="M608" s="5" t="s">
        <v>284</v>
      </c>
      <c r="N608" s="5" t="s">
        <v>53</v>
      </c>
      <c r="O608" s="5">
        <v>19</v>
      </c>
      <c r="P608" s="5"/>
      <c r="Q608" s="5"/>
      <c r="R608" s="8">
        <v>0</v>
      </c>
      <c r="S608" s="5" t="s">
        <v>37</v>
      </c>
      <c r="T608" t="str">
        <f>IF(Tabela1[[#This Row],[STATUS_NEGOCIO]]="Enviar E-mail",1,"")</f>
        <v/>
      </c>
      <c r="U608" t="str">
        <f>TEXT(Tabela1[[#This Row],[DATA]],"dd/mm/aaaa")</f>
        <v>22/04/2026</v>
      </c>
    </row>
    <row r="609" spans="1:21" x14ac:dyDescent="0.25">
      <c r="A609" s="4">
        <v>46134.52952546296</v>
      </c>
      <c r="B609" s="5" t="s">
        <v>19</v>
      </c>
      <c r="C609" s="5" t="s">
        <v>37</v>
      </c>
      <c r="D609" s="5">
        <v>329</v>
      </c>
      <c r="E609" s="6">
        <v>29763215000146</v>
      </c>
      <c r="F609" s="5">
        <v>329</v>
      </c>
      <c r="G609" s="7">
        <v>177687255136541</v>
      </c>
      <c r="H609" s="5" t="s">
        <v>489</v>
      </c>
      <c r="I609" s="5">
        <v>3003</v>
      </c>
      <c r="J609" s="5" t="s">
        <v>22</v>
      </c>
      <c r="K609" s="5" t="s">
        <v>23</v>
      </c>
      <c r="L609" s="5" t="s">
        <v>31</v>
      </c>
      <c r="M609" s="5" t="s">
        <v>284</v>
      </c>
      <c r="N609" s="5" t="s">
        <v>53</v>
      </c>
      <c r="O609" s="5">
        <v>128</v>
      </c>
      <c r="P609" s="5"/>
      <c r="Q609" s="5"/>
      <c r="R609" s="8">
        <v>6.9444444444444444E-5</v>
      </c>
      <c r="S609" s="5" t="s">
        <v>37</v>
      </c>
      <c r="T609" t="str">
        <f>IF(Tabela1[[#This Row],[STATUS_NEGOCIO]]="Enviar E-mail",1,"")</f>
        <v/>
      </c>
      <c r="U609" t="str">
        <f>TEXT(Tabela1[[#This Row],[DATA]],"dd/mm/aaaa")</f>
        <v>22/04/2026</v>
      </c>
    </row>
    <row r="610" spans="1:21" x14ac:dyDescent="0.25">
      <c r="A610" s="4">
        <v>46134.530046296299</v>
      </c>
      <c r="B610" s="5" t="s">
        <v>19</v>
      </c>
      <c r="C610" s="5" t="s">
        <v>37</v>
      </c>
      <c r="D610" s="5">
        <v>330</v>
      </c>
      <c r="E610" s="6">
        <v>29804549000110</v>
      </c>
      <c r="F610" s="5">
        <v>330</v>
      </c>
      <c r="G610" s="7">
        <v>177687259636551</v>
      </c>
      <c r="H610" s="5" t="s">
        <v>186</v>
      </c>
      <c r="I610" s="5">
        <v>3003</v>
      </c>
      <c r="J610" s="5" t="s">
        <v>22</v>
      </c>
      <c r="K610" s="5" t="s">
        <v>23</v>
      </c>
      <c r="L610" s="5" t="s">
        <v>31</v>
      </c>
      <c r="M610" s="5" t="s">
        <v>284</v>
      </c>
      <c r="N610" s="5" t="s">
        <v>53</v>
      </c>
      <c r="O610" s="5">
        <v>128</v>
      </c>
      <c r="P610" s="5"/>
      <c r="Q610" s="5"/>
      <c r="R610" s="8">
        <v>8.1018518518518516E-5</v>
      </c>
      <c r="S610" s="5" t="s">
        <v>37</v>
      </c>
      <c r="T610" t="str">
        <f>IF(Tabela1[[#This Row],[STATUS_NEGOCIO]]="Enviar E-mail",1,"")</f>
        <v/>
      </c>
      <c r="U610" t="str">
        <f>TEXT(Tabela1[[#This Row],[DATA]],"dd/mm/aaaa")</f>
        <v>22/04/2026</v>
      </c>
    </row>
    <row r="611" spans="1:21" x14ac:dyDescent="0.25">
      <c r="A611" s="4">
        <v>46134.530277777776</v>
      </c>
      <c r="B611" s="5" t="s">
        <v>19</v>
      </c>
      <c r="C611" s="5" t="s">
        <v>37</v>
      </c>
      <c r="D611" s="5">
        <v>331</v>
      </c>
      <c r="E611" s="6">
        <v>29971512000187</v>
      </c>
      <c r="F611" s="5">
        <v>331</v>
      </c>
      <c r="G611" s="7">
        <v>177687261636571</v>
      </c>
      <c r="H611" s="5" t="s">
        <v>490</v>
      </c>
      <c r="I611" s="5">
        <v>3003</v>
      </c>
      <c r="J611" s="5" t="s">
        <v>22</v>
      </c>
      <c r="K611" s="5" t="s">
        <v>23</v>
      </c>
      <c r="L611" s="5" t="s">
        <v>31</v>
      </c>
      <c r="M611" s="5" t="s">
        <v>284</v>
      </c>
      <c r="N611" s="5" t="s">
        <v>53</v>
      </c>
      <c r="O611" s="5">
        <v>128</v>
      </c>
      <c r="P611" s="5"/>
      <c r="Q611" s="5"/>
      <c r="R611" s="8">
        <v>6.9444444444444444E-5</v>
      </c>
      <c r="S611" s="5" t="s">
        <v>37</v>
      </c>
      <c r="T611" t="str">
        <f>IF(Tabela1[[#This Row],[STATUS_NEGOCIO]]="Enviar E-mail",1,"")</f>
        <v/>
      </c>
      <c r="U611" t="str">
        <f>TEXT(Tabela1[[#This Row],[DATA]],"dd/mm/aaaa")</f>
        <v>22/04/2026</v>
      </c>
    </row>
    <row r="612" spans="1:21" x14ac:dyDescent="0.25">
      <c r="A612" s="4">
        <v>46134.530775462961</v>
      </c>
      <c r="B612" s="5" t="s">
        <v>19</v>
      </c>
      <c r="C612" s="5" t="s">
        <v>37</v>
      </c>
      <c r="D612" s="5">
        <v>332</v>
      </c>
      <c r="E612" s="6">
        <v>29976990000180</v>
      </c>
      <c r="F612" s="5">
        <v>332</v>
      </c>
      <c r="G612" s="7">
        <v>177687265936591</v>
      </c>
      <c r="H612" s="5" t="s">
        <v>491</v>
      </c>
      <c r="I612" s="5">
        <v>3003</v>
      </c>
      <c r="J612" s="5" t="s">
        <v>22</v>
      </c>
      <c r="K612" s="5" t="s">
        <v>23</v>
      </c>
      <c r="L612" s="5" t="s">
        <v>31</v>
      </c>
      <c r="M612" s="5" t="s">
        <v>284</v>
      </c>
      <c r="N612" s="5" t="s">
        <v>53</v>
      </c>
      <c r="O612" s="5">
        <v>128</v>
      </c>
      <c r="P612" s="5"/>
      <c r="Q612" s="5"/>
      <c r="R612" s="8">
        <v>8.1018518518518516E-5</v>
      </c>
      <c r="S612" s="5" t="s">
        <v>37</v>
      </c>
      <c r="T612" t="str">
        <f>IF(Tabela1[[#This Row],[STATUS_NEGOCIO]]="Enviar E-mail",1,"")</f>
        <v/>
      </c>
      <c r="U612" t="str">
        <f>TEXT(Tabela1[[#This Row],[DATA]],"dd/mm/aaaa")</f>
        <v>22/04/2026</v>
      </c>
    </row>
    <row r="613" spans="1:21" x14ac:dyDescent="0.25">
      <c r="A613" s="4">
        <v>46134.530960648146</v>
      </c>
      <c r="B613" s="5" t="s">
        <v>19</v>
      </c>
      <c r="C613" s="5" t="s">
        <v>37</v>
      </c>
      <c r="D613" s="5">
        <v>333</v>
      </c>
      <c r="E613" s="6">
        <v>30116263000121</v>
      </c>
      <c r="F613" s="5">
        <v>333</v>
      </c>
      <c r="G613" s="7">
        <v>177687267536611</v>
      </c>
      <c r="H613" s="5" t="s">
        <v>492</v>
      </c>
      <c r="I613" s="5" t="s">
        <v>52</v>
      </c>
      <c r="J613" s="5" t="s">
        <v>22</v>
      </c>
      <c r="K613" s="5" t="s">
        <v>36</v>
      </c>
      <c r="L613" s="5" t="s">
        <v>36</v>
      </c>
      <c r="M613" s="5" t="s">
        <v>284</v>
      </c>
      <c r="N613" s="5" t="s">
        <v>53</v>
      </c>
      <c r="O613" s="5">
        <v>19</v>
      </c>
      <c r="P613" s="5"/>
      <c r="Q613" s="5"/>
      <c r="R613" s="8">
        <v>0</v>
      </c>
      <c r="S613" s="5" t="s">
        <v>37</v>
      </c>
      <c r="T613" t="str">
        <f>IF(Tabela1[[#This Row],[STATUS_NEGOCIO]]="Enviar E-mail",1,"")</f>
        <v/>
      </c>
      <c r="U613" t="str">
        <f>TEXT(Tabela1[[#This Row],[DATA]],"dd/mm/aaaa")</f>
        <v>22/04/2026</v>
      </c>
    </row>
    <row r="614" spans="1:21" x14ac:dyDescent="0.25">
      <c r="A614" s="4">
        <v>46134.531597222223</v>
      </c>
      <c r="B614" s="5" t="s">
        <v>19</v>
      </c>
      <c r="C614" s="5" t="s">
        <v>37</v>
      </c>
      <c r="D614" s="5">
        <v>334</v>
      </c>
      <c r="E614" s="6">
        <v>30162531000141</v>
      </c>
      <c r="F614" s="5">
        <v>334</v>
      </c>
      <c r="G614" s="7">
        <v>177687273036631</v>
      </c>
      <c r="H614" s="5" t="s">
        <v>167</v>
      </c>
      <c r="I614" s="5">
        <v>3003</v>
      </c>
      <c r="J614" s="5" t="s">
        <v>22</v>
      </c>
      <c r="K614" s="5" t="s">
        <v>23</v>
      </c>
      <c r="L614" s="5" t="s">
        <v>31</v>
      </c>
      <c r="M614" s="5" t="s">
        <v>284</v>
      </c>
      <c r="N614" s="5" t="s">
        <v>53</v>
      </c>
      <c r="O614" s="5">
        <v>128</v>
      </c>
      <c r="P614" s="5"/>
      <c r="Q614" s="5"/>
      <c r="R614" s="8">
        <v>8.1018518518518516E-5</v>
      </c>
      <c r="S614" s="5" t="s">
        <v>37</v>
      </c>
      <c r="T614" t="str">
        <f>IF(Tabela1[[#This Row],[STATUS_NEGOCIO]]="Enviar E-mail",1,"")</f>
        <v/>
      </c>
      <c r="U614" t="str">
        <f>TEXT(Tabela1[[#This Row],[DATA]],"dd/mm/aaaa")</f>
        <v>22/04/2026</v>
      </c>
    </row>
    <row r="615" spans="1:21" x14ac:dyDescent="0.25">
      <c r="A615" s="4">
        <v>46134.531724537039</v>
      </c>
      <c r="B615" s="5" t="s">
        <v>19</v>
      </c>
      <c r="C615" s="5" t="s">
        <v>37</v>
      </c>
      <c r="D615" s="5">
        <v>335</v>
      </c>
      <c r="E615" s="6">
        <v>30165203000107</v>
      </c>
      <c r="F615" s="5">
        <v>335</v>
      </c>
      <c r="G615" s="7">
        <v>177687274136641</v>
      </c>
      <c r="H615" s="5" t="s">
        <v>89</v>
      </c>
      <c r="I615" s="5">
        <v>3003</v>
      </c>
      <c r="J615" s="5" t="s">
        <v>22</v>
      </c>
      <c r="K615" s="5" t="s">
        <v>23</v>
      </c>
      <c r="L615" s="5" t="s">
        <v>31</v>
      </c>
      <c r="M615" s="5" t="s">
        <v>284</v>
      </c>
      <c r="N615" s="5" t="s">
        <v>53</v>
      </c>
      <c r="O615" s="5">
        <v>128</v>
      </c>
      <c r="P615" s="5"/>
      <c r="Q615" s="5"/>
      <c r="R615" s="8">
        <v>8.1018518518518516E-5</v>
      </c>
      <c r="S615" s="5" t="s">
        <v>37</v>
      </c>
      <c r="T615" t="str">
        <f>IF(Tabela1[[#This Row],[STATUS_NEGOCIO]]="Enviar E-mail",1,"")</f>
        <v/>
      </c>
      <c r="U615" t="str">
        <f>TEXT(Tabela1[[#This Row],[DATA]],"dd/mm/aaaa")</f>
        <v>22/04/2026</v>
      </c>
    </row>
    <row r="616" spans="1:21" x14ac:dyDescent="0.25">
      <c r="A616" s="4">
        <v>46134.532256944447</v>
      </c>
      <c r="B616" s="5" t="s">
        <v>19</v>
      </c>
      <c r="C616" s="5" t="s">
        <v>37</v>
      </c>
      <c r="D616" s="5">
        <v>336</v>
      </c>
      <c r="E616" s="6">
        <v>30168759000149</v>
      </c>
      <c r="F616" s="5">
        <v>336</v>
      </c>
      <c r="G616" s="7">
        <v>177687278736721</v>
      </c>
      <c r="H616" s="5" t="s">
        <v>493</v>
      </c>
      <c r="I616" s="5" t="s">
        <v>52</v>
      </c>
      <c r="J616" s="5" t="s">
        <v>22</v>
      </c>
      <c r="K616" s="5" t="s">
        <v>36</v>
      </c>
      <c r="L616" s="5" t="s">
        <v>36</v>
      </c>
      <c r="M616" s="5" t="s">
        <v>284</v>
      </c>
      <c r="N616" s="5" t="s">
        <v>53</v>
      </c>
      <c r="O616" s="5">
        <v>1</v>
      </c>
      <c r="P616" s="5"/>
      <c r="Q616" s="5"/>
      <c r="R616" s="8">
        <v>0</v>
      </c>
      <c r="S616" s="5" t="s">
        <v>37</v>
      </c>
      <c r="T616" t="str">
        <f>IF(Tabela1[[#This Row],[STATUS_NEGOCIO]]="Enviar E-mail",1,"")</f>
        <v/>
      </c>
      <c r="U616" t="str">
        <f>TEXT(Tabela1[[#This Row],[DATA]],"dd/mm/aaaa")</f>
        <v>22/04/2026</v>
      </c>
    </row>
    <row r="617" spans="1:21" x14ac:dyDescent="0.25">
      <c r="A617" s="4">
        <v>46134.532256944447</v>
      </c>
      <c r="B617" s="5" t="s">
        <v>19</v>
      </c>
      <c r="C617" s="5" t="s">
        <v>37</v>
      </c>
      <c r="D617" s="5">
        <v>337</v>
      </c>
      <c r="E617" s="6">
        <v>30182814000155</v>
      </c>
      <c r="F617" s="5">
        <v>337</v>
      </c>
      <c r="G617" s="7">
        <v>177687278736741</v>
      </c>
      <c r="H617" s="5" t="s">
        <v>494</v>
      </c>
      <c r="I617" s="5">
        <v>3003</v>
      </c>
      <c r="J617" s="5" t="s">
        <v>22</v>
      </c>
      <c r="K617" s="5" t="s">
        <v>23</v>
      </c>
      <c r="L617" s="5" t="s">
        <v>31</v>
      </c>
      <c r="M617" s="5" t="s">
        <v>284</v>
      </c>
      <c r="N617" s="5" t="s">
        <v>53</v>
      </c>
      <c r="O617" s="5">
        <v>128</v>
      </c>
      <c r="P617" s="5"/>
      <c r="Q617" s="5"/>
      <c r="R617" s="8">
        <v>8.1018518518518516E-5</v>
      </c>
      <c r="S617" s="5" t="s">
        <v>37</v>
      </c>
      <c r="T617" t="str">
        <f>IF(Tabela1[[#This Row],[STATUS_NEGOCIO]]="Enviar E-mail",1,"")</f>
        <v/>
      </c>
      <c r="U617" t="str">
        <f>TEXT(Tabela1[[#This Row],[DATA]],"dd/mm/aaaa")</f>
        <v>22/04/2026</v>
      </c>
    </row>
    <row r="618" spans="1:21" x14ac:dyDescent="0.25">
      <c r="A618" s="4">
        <v>46134.532534722224</v>
      </c>
      <c r="B618" s="5" t="s">
        <v>19</v>
      </c>
      <c r="C618" s="5" t="s">
        <v>37</v>
      </c>
      <c r="D618" s="5">
        <v>338</v>
      </c>
      <c r="E618" s="6">
        <v>30220686000197</v>
      </c>
      <c r="F618" s="5">
        <v>338</v>
      </c>
      <c r="G618" s="7">
        <v>177687281136751</v>
      </c>
      <c r="H618" s="5" t="s">
        <v>495</v>
      </c>
      <c r="I618" s="5">
        <v>3003</v>
      </c>
      <c r="J618" s="5" t="s">
        <v>22</v>
      </c>
      <c r="K618" s="5" t="s">
        <v>23</v>
      </c>
      <c r="L618" s="5" t="s">
        <v>31</v>
      </c>
      <c r="M618" s="5" t="s">
        <v>284</v>
      </c>
      <c r="N618" s="5" t="s">
        <v>53</v>
      </c>
      <c r="O618" s="5">
        <v>128</v>
      </c>
      <c r="P618" s="5"/>
      <c r="Q618" s="5"/>
      <c r="R618" s="8">
        <v>8.1018518518518516E-5</v>
      </c>
      <c r="S618" s="5" t="s">
        <v>37</v>
      </c>
      <c r="T618" t="str">
        <f>IF(Tabela1[[#This Row],[STATUS_NEGOCIO]]="Enviar E-mail",1,"")</f>
        <v/>
      </c>
      <c r="U618" t="str">
        <f>TEXT(Tabela1[[#This Row],[DATA]],"dd/mm/aaaa")</f>
        <v>22/04/2026</v>
      </c>
    </row>
    <row r="619" spans="1:21" x14ac:dyDescent="0.25">
      <c r="A619" s="4">
        <v>46134.533067129632</v>
      </c>
      <c r="B619" s="5" t="s">
        <v>19</v>
      </c>
      <c r="C619" s="5" t="s">
        <v>37</v>
      </c>
      <c r="D619" s="5">
        <v>339</v>
      </c>
      <c r="E619" s="6">
        <v>30287967000167</v>
      </c>
      <c r="F619" s="5">
        <v>339</v>
      </c>
      <c r="G619" s="7">
        <v>177687285736961</v>
      </c>
      <c r="H619" s="5" t="s">
        <v>240</v>
      </c>
      <c r="I619" s="5">
        <v>3003</v>
      </c>
      <c r="J619" s="5" t="s">
        <v>22</v>
      </c>
      <c r="K619" s="5" t="s">
        <v>23</v>
      </c>
      <c r="L619" s="5" t="s">
        <v>31</v>
      </c>
      <c r="M619" s="5" t="s">
        <v>284</v>
      </c>
      <c r="N619" s="5" t="s">
        <v>53</v>
      </c>
      <c r="O619" s="5">
        <v>128</v>
      </c>
      <c r="P619" s="5"/>
      <c r="Q619" s="5"/>
      <c r="R619" s="8">
        <v>8.1018518518518516E-5</v>
      </c>
      <c r="S619" s="5" t="s">
        <v>37</v>
      </c>
      <c r="T619" t="str">
        <f>IF(Tabela1[[#This Row],[STATUS_NEGOCIO]]="Enviar E-mail",1,"")</f>
        <v/>
      </c>
      <c r="U619" t="str">
        <f>TEXT(Tabela1[[#This Row],[DATA]],"dd/mm/aaaa")</f>
        <v>22/04/2026</v>
      </c>
    </row>
    <row r="620" spans="1:21" x14ac:dyDescent="0.25">
      <c r="A620" s="4">
        <v>46134.53328703704</v>
      </c>
      <c r="B620" s="5" t="s">
        <v>19</v>
      </c>
      <c r="C620" s="5" t="s">
        <v>37</v>
      </c>
      <c r="D620" s="5">
        <v>340</v>
      </c>
      <c r="E620" s="6">
        <v>30301105000141</v>
      </c>
      <c r="F620" s="5">
        <v>340</v>
      </c>
      <c r="G620" s="7">
        <v>177687287637061</v>
      </c>
      <c r="H620" s="5" t="s">
        <v>496</v>
      </c>
      <c r="I620" s="5">
        <v>3003</v>
      </c>
      <c r="J620" s="5" t="s">
        <v>22</v>
      </c>
      <c r="K620" s="5" t="s">
        <v>23</v>
      </c>
      <c r="L620" s="5" t="s">
        <v>31</v>
      </c>
      <c r="M620" s="5" t="s">
        <v>284</v>
      </c>
      <c r="N620" s="5" t="s">
        <v>53</v>
      </c>
      <c r="O620" s="5">
        <v>128</v>
      </c>
      <c r="P620" s="5"/>
      <c r="Q620" s="5"/>
      <c r="R620" s="8">
        <v>6.9444444444444444E-5</v>
      </c>
      <c r="S620" s="5" t="s">
        <v>37</v>
      </c>
      <c r="T620" t="str">
        <f>IF(Tabela1[[#This Row],[STATUS_NEGOCIO]]="Enviar E-mail",1,"")</f>
        <v/>
      </c>
      <c r="U620" t="str">
        <f>TEXT(Tabela1[[#This Row],[DATA]],"dd/mm/aaaa")</f>
        <v>22/04/2026</v>
      </c>
    </row>
    <row r="621" spans="1:21" x14ac:dyDescent="0.25">
      <c r="A621" s="4">
        <v>46134.533460648148</v>
      </c>
      <c r="B621" s="5" t="s">
        <v>19</v>
      </c>
      <c r="C621" s="5" t="s">
        <v>37</v>
      </c>
      <c r="D621" s="5">
        <v>341</v>
      </c>
      <c r="E621" s="6">
        <v>30410728000152</v>
      </c>
      <c r="F621" s="5">
        <v>341</v>
      </c>
      <c r="G621" s="7">
        <v>177687289137121</v>
      </c>
      <c r="H621" s="5" t="s">
        <v>184</v>
      </c>
      <c r="I621" s="5">
        <v>3003</v>
      </c>
      <c r="J621" s="5" t="s">
        <v>22</v>
      </c>
      <c r="K621" s="5" t="s">
        <v>23</v>
      </c>
      <c r="L621" s="5" t="s">
        <v>31</v>
      </c>
      <c r="M621" s="5" t="s">
        <v>284</v>
      </c>
      <c r="N621" s="5" t="s">
        <v>53</v>
      </c>
      <c r="O621" s="5">
        <v>128</v>
      </c>
      <c r="P621" s="5"/>
      <c r="Q621" s="5"/>
      <c r="R621" s="8">
        <v>6.9444444444444444E-5</v>
      </c>
      <c r="S621" s="5" t="s">
        <v>37</v>
      </c>
      <c r="T621" t="str">
        <f>IF(Tabela1[[#This Row],[STATUS_NEGOCIO]]="Enviar E-mail",1,"")</f>
        <v/>
      </c>
      <c r="U621" t="str">
        <f>TEXT(Tabela1[[#This Row],[DATA]],"dd/mm/aaaa")</f>
        <v>22/04/2026</v>
      </c>
    </row>
    <row r="622" spans="1:21" x14ac:dyDescent="0.25">
      <c r="A622" s="4">
        <v>46134.533958333333</v>
      </c>
      <c r="B622" s="5" t="s">
        <v>19</v>
      </c>
      <c r="C622" s="5" t="s">
        <v>37</v>
      </c>
      <c r="D622" s="5">
        <v>342</v>
      </c>
      <c r="E622" s="6">
        <v>30540991000166</v>
      </c>
      <c r="F622" s="5">
        <v>342</v>
      </c>
      <c r="G622" s="7">
        <v>177687293437261</v>
      </c>
      <c r="H622" s="5" t="s">
        <v>497</v>
      </c>
      <c r="I622" s="5">
        <v>3003</v>
      </c>
      <c r="J622" s="5" t="s">
        <v>22</v>
      </c>
      <c r="K622" s="5" t="s">
        <v>23</v>
      </c>
      <c r="L622" s="5" t="s">
        <v>31</v>
      </c>
      <c r="M622" s="5" t="s">
        <v>284</v>
      </c>
      <c r="N622" s="5" t="s">
        <v>53</v>
      </c>
      <c r="O622" s="5">
        <v>128</v>
      </c>
      <c r="P622" s="5"/>
      <c r="Q622" s="5"/>
      <c r="R622" s="8">
        <v>8.1018518518518516E-5</v>
      </c>
      <c r="S622" s="5" t="s">
        <v>37</v>
      </c>
      <c r="T622" t="str">
        <f>IF(Tabela1[[#This Row],[STATUS_NEGOCIO]]="Enviar E-mail",1,"")</f>
        <v/>
      </c>
      <c r="U622" t="str">
        <f>TEXT(Tabela1[[#This Row],[DATA]],"dd/mm/aaaa")</f>
        <v>22/04/2026</v>
      </c>
    </row>
    <row r="623" spans="1:21" x14ac:dyDescent="0.25">
      <c r="A623" s="4">
        <v>46134.534062500003</v>
      </c>
      <c r="B623" s="5" t="s">
        <v>19</v>
      </c>
      <c r="C623" s="5" t="s">
        <v>37</v>
      </c>
      <c r="D623" s="5">
        <v>343</v>
      </c>
      <c r="E623" s="6">
        <v>30546429000140</v>
      </c>
      <c r="F623" s="5">
        <v>343</v>
      </c>
      <c r="G623" s="7">
        <v>177687294337311</v>
      </c>
      <c r="H623" s="5" t="s">
        <v>498</v>
      </c>
      <c r="I623" s="5">
        <v>3003</v>
      </c>
      <c r="J623" s="5" t="s">
        <v>22</v>
      </c>
      <c r="K623" s="5" t="s">
        <v>23</v>
      </c>
      <c r="L623" s="5" t="s">
        <v>31</v>
      </c>
      <c r="M623" s="5" t="s">
        <v>284</v>
      </c>
      <c r="N623" s="5" t="s">
        <v>53</v>
      </c>
      <c r="O623" s="5">
        <v>128</v>
      </c>
      <c r="P623" s="5"/>
      <c r="Q623" s="5"/>
      <c r="R623" s="8">
        <v>8.1018518518518516E-5</v>
      </c>
      <c r="S623" s="5" t="s">
        <v>37</v>
      </c>
      <c r="T623" t="str">
        <f>IF(Tabela1[[#This Row],[STATUS_NEGOCIO]]="Enviar E-mail",1,"")</f>
        <v/>
      </c>
      <c r="U623" t="str">
        <f>TEXT(Tabela1[[#This Row],[DATA]],"dd/mm/aaaa")</f>
        <v>22/04/2026</v>
      </c>
    </row>
    <row r="624" spans="1:21" x14ac:dyDescent="0.25">
      <c r="A624" s="4">
        <v>46134.534201388888</v>
      </c>
      <c r="B624" s="5" t="s">
        <v>19</v>
      </c>
      <c r="C624" s="5" t="s">
        <v>37</v>
      </c>
      <c r="D624" s="5">
        <v>344</v>
      </c>
      <c r="E624" s="6">
        <v>30548467000131</v>
      </c>
      <c r="F624" s="5">
        <v>344</v>
      </c>
      <c r="G624" s="7">
        <v>177687295537371</v>
      </c>
      <c r="H624" s="5" t="s">
        <v>499</v>
      </c>
      <c r="I624" s="5" t="s">
        <v>52</v>
      </c>
      <c r="J624" s="5" t="s">
        <v>22</v>
      </c>
      <c r="K624" s="5" t="s">
        <v>36</v>
      </c>
      <c r="L624" s="5" t="s">
        <v>36</v>
      </c>
      <c r="M624" s="5" t="s">
        <v>284</v>
      </c>
      <c r="N624" s="5" t="s">
        <v>53</v>
      </c>
      <c r="O624" s="5">
        <v>1</v>
      </c>
      <c r="P624" s="5"/>
      <c r="Q624" s="5"/>
      <c r="R624" s="8">
        <v>0</v>
      </c>
      <c r="S624" s="5" t="s">
        <v>37</v>
      </c>
      <c r="T624" t="str">
        <f>IF(Tabela1[[#This Row],[STATUS_NEGOCIO]]="Enviar E-mail",1,"")</f>
        <v/>
      </c>
      <c r="U624" t="str">
        <f>TEXT(Tabela1[[#This Row],[DATA]],"dd/mm/aaaa")</f>
        <v>22/04/2026</v>
      </c>
    </row>
    <row r="625" spans="1:21" x14ac:dyDescent="0.25">
      <c r="A625" s="4">
        <v>46134.534560185188</v>
      </c>
      <c r="B625" s="5" t="s">
        <v>19</v>
      </c>
      <c r="C625" s="5" t="s">
        <v>37</v>
      </c>
      <c r="D625" s="5">
        <v>345</v>
      </c>
      <c r="E625" s="6">
        <v>30603615000173</v>
      </c>
      <c r="F625" s="5">
        <v>345</v>
      </c>
      <c r="G625" s="7">
        <v>177687298637431</v>
      </c>
      <c r="H625" s="5" t="s">
        <v>500</v>
      </c>
      <c r="I625" s="5">
        <v>3003</v>
      </c>
      <c r="J625" s="5" t="s">
        <v>22</v>
      </c>
      <c r="K625" s="5" t="s">
        <v>23</v>
      </c>
      <c r="L625" s="5" t="s">
        <v>31</v>
      </c>
      <c r="M625" s="5" t="s">
        <v>284</v>
      </c>
      <c r="N625" s="5" t="s">
        <v>53</v>
      </c>
      <c r="O625" s="5">
        <v>128</v>
      </c>
      <c r="P625" s="5"/>
      <c r="Q625" s="5"/>
      <c r="R625" s="8">
        <v>8.1018518518518516E-5</v>
      </c>
      <c r="S625" s="5" t="s">
        <v>37</v>
      </c>
      <c r="T625" t="str">
        <f>IF(Tabela1[[#This Row],[STATUS_NEGOCIO]]="Enviar E-mail",1,"")</f>
        <v/>
      </c>
      <c r="U625" t="str">
        <f>TEXT(Tabela1[[#This Row],[DATA]],"dd/mm/aaaa")</f>
        <v>22/04/2026</v>
      </c>
    </row>
    <row r="626" spans="1:21" x14ac:dyDescent="0.25">
      <c r="A626" s="4">
        <v>46134.534733796296</v>
      </c>
      <c r="B626" s="5" t="s">
        <v>19</v>
      </c>
      <c r="C626" s="5" t="s">
        <v>37</v>
      </c>
      <c r="D626" s="5">
        <v>346</v>
      </c>
      <c r="E626" s="6">
        <v>30704910000116</v>
      </c>
      <c r="F626" s="5">
        <v>346</v>
      </c>
      <c r="G626" s="7">
        <v>177687300137441</v>
      </c>
      <c r="H626" s="5" t="s">
        <v>501</v>
      </c>
      <c r="I626" s="5">
        <v>3003</v>
      </c>
      <c r="J626" s="5" t="s">
        <v>22</v>
      </c>
      <c r="K626" s="5" t="s">
        <v>23</v>
      </c>
      <c r="L626" s="5" t="s">
        <v>31</v>
      </c>
      <c r="M626" s="5" t="s">
        <v>284</v>
      </c>
      <c r="N626" s="5" t="s">
        <v>26</v>
      </c>
      <c r="O626" s="5">
        <v>131</v>
      </c>
      <c r="P626" s="5"/>
      <c r="Q626" s="5"/>
      <c r="R626" s="8">
        <v>8.1018518518518516E-5</v>
      </c>
      <c r="S626" s="5" t="s">
        <v>37</v>
      </c>
      <c r="T626" t="str">
        <f>IF(Tabela1[[#This Row],[STATUS_NEGOCIO]]="Enviar E-mail",1,"")</f>
        <v/>
      </c>
      <c r="U626" t="str">
        <f>TEXT(Tabela1[[#This Row],[DATA]],"dd/mm/aaaa")</f>
        <v>22/04/2026</v>
      </c>
    </row>
    <row r="627" spans="1:21" x14ac:dyDescent="0.25">
      <c r="A627" s="4">
        <v>46134.53497685185</v>
      </c>
      <c r="B627" s="5" t="s">
        <v>19</v>
      </c>
      <c r="C627" s="5" t="s">
        <v>37</v>
      </c>
      <c r="D627" s="5">
        <v>347</v>
      </c>
      <c r="E627" s="6">
        <v>30780625000184</v>
      </c>
      <c r="F627" s="5">
        <v>347</v>
      </c>
      <c r="G627" s="7">
        <v>177687302237531</v>
      </c>
      <c r="H627" s="5" t="s">
        <v>502</v>
      </c>
      <c r="I627" s="5">
        <v>3003</v>
      </c>
      <c r="J627" s="5" t="s">
        <v>22</v>
      </c>
      <c r="K627" s="5" t="s">
        <v>23</v>
      </c>
      <c r="L627" s="5" t="s">
        <v>31</v>
      </c>
      <c r="M627" s="5" t="s">
        <v>284</v>
      </c>
      <c r="N627" s="5" t="s">
        <v>53</v>
      </c>
      <c r="O627" s="5">
        <v>128</v>
      </c>
      <c r="P627" s="5"/>
      <c r="Q627" s="5"/>
      <c r="R627" s="8">
        <v>6.9444444444444444E-5</v>
      </c>
      <c r="S627" s="5" t="s">
        <v>37</v>
      </c>
      <c r="T627" t="str">
        <f>IF(Tabela1[[#This Row],[STATUS_NEGOCIO]]="Enviar E-mail",1,"")</f>
        <v/>
      </c>
      <c r="U627" t="str">
        <f>TEXT(Tabela1[[#This Row],[DATA]],"dd/mm/aaaa")</f>
        <v>22/04/2026</v>
      </c>
    </row>
    <row r="628" spans="1:21" x14ac:dyDescent="0.25">
      <c r="A628" s="4">
        <v>46134.535127314812</v>
      </c>
      <c r="B628" s="5" t="s">
        <v>19</v>
      </c>
      <c r="C628" s="5" t="s">
        <v>37</v>
      </c>
      <c r="D628" s="5">
        <v>348</v>
      </c>
      <c r="E628" s="6">
        <v>30828743000115</v>
      </c>
      <c r="F628" s="5">
        <v>348</v>
      </c>
      <c r="G628" s="7">
        <v>177687303537551</v>
      </c>
      <c r="H628" s="5" t="s">
        <v>503</v>
      </c>
      <c r="I628" s="5">
        <v>3003</v>
      </c>
      <c r="J628" s="5" t="s">
        <v>22</v>
      </c>
      <c r="K628" s="5" t="s">
        <v>23</v>
      </c>
      <c r="L628" s="5" t="s">
        <v>31</v>
      </c>
      <c r="M628" s="5" t="s">
        <v>284</v>
      </c>
      <c r="N628" s="5" t="s">
        <v>53</v>
      </c>
      <c r="O628" s="5">
        <v>147</v>
      </c>
      <c r="P628" s="5"/>
      <c r="Q628" s="5"/>
      <c r="R628" s="8">
        <v>8.1018518518518516E-5</v>
      </c>
      <c r="S628" s="5" t="s">
        <v>37</v>
      </c>
      <c r="T628" t="str">
        <f>IF(Tabela1[[#This Row],[STATUS_NEGOCIO]]="Enviar E-mail",1,"")</f>
        <v/>
      </c>
      <c r="U628" t="str">
        <f>TEXT(Tabela1[[#This Row],[DATA]],"dd/mm/aaaa")</f>
        <v>22/04/2026</v>
      </c>
    </row>
    <row r="629" spans="1:21" x14ac:dyDescent="0.25">
      <c r="A629" s="4">
        <v>46134.535636574074</v>
      </c>
      <c r="B629" s="5" t="s">
        <v>19</v>
      </c>
      <c r="C629" s="5" t="s">
        <v>37</v>
      </c>
      <c r="D629" s="5">
        <v>349</v>
      </c>
      <c r="E629" s="6">
        <v>30905379000140</v>
      </c>
      <c r="F629" s="5">
        <v>349</v>
      </c>
      <c r="G629" s="7">
        <v>177687307937621</v>
      </c>
      <c r="H629" s="5" t="s">
        <v>108</v>
      </c>
      <c r="I629" s="5">
        <v>3003</v>
      </c>
      <c r="J629" s="5" t="s">
        <v>22</v>
      </c>
      <c r="K629" s="5" t="s">
        <v>23</v>
      </c>
      <c r="L629" s="5" t="s">
        <v>31</v>
      </c>
      <c r="M629" s="5" t="s">
        <v>284</v>
      </c>
      <c r="N629" s="5" t="s">
        <v>53</v>
      </c>
      <c r="O629" s="5">
        <v>128</v>
      </c>
      <c r="P629" s="5"/>
      <c r="Q629" s="5"/>
      <c r="R629" s="8">
        <v>6.9444444444444444E-5</v>
      </c>
      <c r="S629" s="5" t="s">
        <v>37</v>
      </c>
      <c r="T629" t="str">
        <f>IF(Tabela1[[#This Row],[STATUS_NEGOCIO]]="Enviar E-mail",1,"")</f>
        <v/>
      </c>
      <c r="U629" t="str">
        <f>TEXT(Tabela1[[#This Row],[DATA]],"dd/mm/aaaa")</f>
        <v>22/04/2026</v>
      </c>
    </row>
    <row r="630" spans="1:21" x14ac:dyDescent="0.25">
      <c r="A630" s="4">
        <v>46134.535775462966</v>
      </c>
      <c r="B630" s="5" t="s">
        <v>19</v>
      </c>
      <c r="C630" s="5" t="s">
        <v>37</v>
      </c>
      <c r="D630" s="5">
        <v>350</v>
      </c>
      <c r="E630" s="6">
        <v>31084270000151</v>
      </c>
      <c r="F630" s="5">
        <v>350</v>
      </c>
      <c r="G630" s="7">
        <v>177687309137631</v>
      </c>
      <c r="H630" s="5" t="s">
        <v>146</v>
      </c>
      <c r="I630" s="5">
        <v>3003</v>
      </c>
      <c r="J630" s="5" t="s">
        <v>22</v>
      </c>
      <c r="K630" s="5" t="s">
        <v>23</v>
      </c>
      <c r="L630" s="5" t="s">
        <v>31</v>
      </c>
      <c r="M630" s="5" t="s">
        <v>284</v>
      </c>
      <c r="N630" s="5" t="s">
        <v>53</v>
      </c>
      <c r="O630" s="5">
        <v>128</v>
      </c>
      <c r="P630" s="5"/>
      <c r="Q630" s="5"/>
      <c r="R630" s="8">
        <v>8.1018518518518516E-5</v>
      </c>
      <c r="S630" s="5" t="s">
        <v>37</v>
      </c>
      <c r="T630" t="str">
        <f>IF(Tabela1[[#This Row],[STATUS_NEGOCIO]]="Enviar E-mail",1,"")</f>
        <v/>
      </c>
      <c r="U630" t="str">
        <f>TEXT(Tabela1[[#This Row],[DATA]],"dd/mm/aaaa")</f>
        <v>22/04/2026</v>
      </c>
    </row>
    <row r="631" spans="1:21" x14ac:dyDescent="0.25">
      <c r="A631" s="4">
        <v>46134.535949074074</v>
      </c>
      <c r="B631" s="5" t="s">
        <v>19</v>
      </c>
      <c r="C631" s="5" t="s">
        <v>37</v>
      </c>
      <c r="D631" s="5">
        <v>351</v>
      </c>
      <c r="E631" s="6">
        <v>31086168000195</v>
      </c>
      <c r="F631" s="5">
        <v>351</v>
      </c>
      <c r="G631" s="7">
        <v>177687310637651</v>
      </c>
      <c r="H631" s="5" t="s">
        <v>222</v>
      </c>
      <c r="I631" s="5" t="s">
        <v>52</v>
      </c>
      <c r="J631" s="5" t="s">
        <v>22</v>
      </c>
      <c r="K631" s="5" t="s">
        <v>36</v>
      </c>
      <c r="L631" s="5" t="s">
        <v>36</v>
      </c>
      <c r="M631" s="5" t="s">
        <v>284</v>
      </c>
      <c r="N631" s="5" t="s">
        <v>53</v>
      </c>
      <c r="O631" s="5">
        <v>1</v>
      </c>
      <c r="P631" s="5"/>
      <c r="Q631" s="5"/>
      <c r="R631" s="8">
        <v>0</v>
      </c>
      <c r="S631" s="5" t="s">
        <v>37</v>
      </c>
      <c r="T631" t="str">
        <f>IF(Tabela1[[#This Row],[STATUS_NEGOCIO]]="Enviar E-mail",1,"")</f>
        <v/>
      </c>
      <c r="U631" t="str">
        <f>TEXT(Tabela1[[#This Row],[DATA]],"dd/mm/aaaa")</f>
        <v>22/04/2026</v>
      </c>
    </row>
    <row r="632" spans="1:21" x14ac:dyDescent="0.25">
      <c r="A632" s="4">
        <v>46134.53597222222</v>
      </c>
      <c r="B632" s="5" t="s">
        <v>19</v>
      </c>
      <c r="C632" s="5" t="s">
        <v>37</v>
      </c>
      <c r="D632" s="5">
        <v>352</v>
      </c>
      <c r="E632" s="6">
        <v>31131246000126</v>
      </c>
      <c r="F632" s="5">
        <v>352</v>
      </c>
      <c r="G632" s="7">
        <v>177687310837671</v>
      </c>
      <c r="H632" s="5" t="s">
        <v>270</v>
      </c>
      <c r="I632" s="5">
        <v>3003</v>
      </c>
      <c r="J632" s="5" t="s">
        <v>22</v>
      </c>
      <c r="K632" s="5" t="s">
        <v>23</v>
      </c>
      <c r="L632" s="5" t="s">
        <v>31</v>
      </c>
      <c r="M632" s="5" t="s">
        <v>284</v>
      </c>
      <c r="N632" s="5" t="s">
        <v>53</v>
      </c>
      <c r="O632" s="5">
        <v>128</v>
      </c>
      <c r="P632" s="5"/>
      <c r="Q632" s="5"/>
      <c r="R632" s="8">
        <v>8.1018518518518516E-5</v>
      </c>
      <c r="S632" s="5" t="s">
        <v>37</v>
      </c>
      <c r="T632" t="str">
        <f>IF(Tabela1[[#This Row],[STATUS_NEGOCIO]]="Enviar E-mail",1,"")</f>
        <v/>
      </c>
      <c r="U632" t="str">
        <f>TEXT(Tabela1[[#This Row],[DATA]],"dd/mm/aaaa")</f>
        <v>22/04/2026</v>
      </c>
    </row>
    <row r="633" spans="1:21" x14ac:dyDescent="0.25">
      <c r="A633" s="4">
        <v>46134.536469907405</v>
      </c>
      <c r="B633" s="5" t="s">
        <v>19</v>
      </c>
      <c r="C633" s="5" t="s">
        <v>37</v>
      </c>
      <c r="D633" s="5">
        <v>353</v>
      </c>
      <c r="E633" s="6">
        <v>31131998000197</v>
      </c>
      <c r="F633" s="5">
        <v>353</v>
      </c>
      <c r="G633" s="7">
        <v>177687315137801</v>
      </c>
      <c r="H633" s="5" t="s">
        <v>124</v>
      </c>
      <c r="I633" s="5">
        <v>3003</v>
      </c>
      <c r="J633" s="5" t="s">
        <v>22</v>
      </c>
      <c r="K633" s="5" t="s">
        <v>23</v>
      </c>
      <c r="L633" s="5" t="s">
        <v>31</v>
      </c>
      <c r="M633" s="5" t="s">
        <v>284</v>
      </c>
      <c r="N633" s="5" t="s">
        <v>53</v>
      </c>
      <c r="O633" s="5">
        <v>128</v>
      </c>
      <c r="P633" s="5"/>
      <c r="Q633" s="5"/>
      <c r="R633" s="8">
        <v>8.1018518518518516E-5</v>
      </c>
      <c r="S633" s="5" t="s">
        <v>37</v>
      </c>
      <c r="T633" t="str">
        <f>IF(Tabela1[[#This Row],[STATUS_NEGOCIO]]="Enviar E-mail",1,"")</f>
        <v/>
      </c>
      <c r="U633" t="str">
        <f>TEXT(Tabela1[[#This Row],[DATA]],"dd/mm/aaaa")</f>
        <v>22/04/2026</v>
      </c>
    </row>
    <row r="634" spans="1:21" x14ac:dyDescent="0.25">
      <c r="A634" s="4">
        <v>46134.536597222221</v>
      </c>
      <c r="B634" s="5" t="s">
        <v>19</v>
      </c>
      <c r="C634" s="5" t="s">
        <v>37</v>
      </c>
      <c r="D634" s="5">
        <v>354</v>
      </c>
      <c r="E634" s="6">
        <v>31142292000120</v>
      </c>
      <c r="F634" s="5">
        <v>354</v>
      </c>
      <c r="G634" s="7">
        <v>177687316237871</v>
      </c>
      <c r="H634" s="5" t="s">
        <v>504</v>
      </c>
      <c r="I634" s="5">
        <v>3003</v>
      </c>
      <c r="J634" s="5" t="s">
        <v>22</v>
      </c>
      <c r="K634" s="5" t="s">
        <v>23</v>
      </c>
      <c r="L634" s="5" t="s">
        <v>31</v>
      </c>
      <c r="M634" s="5" t="s">
        <v>284</v>
      </c>
      <c r="N634" s="5" t="s">
        <v>53</v>
      </c>
      <c r="O634" s="5">
        <v>128</v>
      </c>
      <c r="P634" s="5"/>
      <c r="Q634" s="5"/>
      <c r="R634" s="8">
        <v>8.1018518518518516E-5</v>
      </c>
      <c r="S634" s="5" t="s">
        <v>37</v>
      </c>
      <c r="T634" t="str">
        <f>IF(Tabela1[[#This Row],[STATUS_NEGOCIO]]="Enviar E-mail",1,"")</f>
        <v/>
      </c>
      <c r="U634" t="str">
        <f>TEXT(Tabela1[[#This Row],[DATA]],"dd/mm/aaaa")</f>
        <v>22/04/2026</v>
      </c>
    </row>
    <row r="635" spans="1:21" x14ac:dyDescent="0.25">
      <c r="A635" s="4">
        <v>46134.536828703705</v>
      </c>
      <c r="B635" s="5" t="s">
        <v>19</v>
      </c>
      <c r="C635" s="5" t="s">
        <v>37</v>
      </c>
      <c r="D635" s="5">
        <v>355</v>
      </c>
      <c r="E635" s="6">
        <v>31142572000139</v>
      </c>
      <c r="F635" s="5">
        <v>355</v>
      </c>
      <c r="G635" s="7">
        <v>177687318237941</v>
      </c>
      <c r="H635" s="5" t="s">
        <v>505</v>
      </c>
      <c r="I635" s="5">
        <v>3003</v>
      </c>
      <c r="J635" s="5" t="s">
        <v>22</v>
      </c>
      <c r="K635" s="5" t="s">
        <v>23</v>
      </c>
      <c r="L635" s="5" t="s">
        <v>31</v>
      </c>
      <c r="M635" s="5" t="s">
        <v>284</v>
      </c>
      <c r="N635" s="5" t="s">
        <v>53</v>
      </c>
      <c r="O635" s="5">
        <v>128</v>
      </c>
      <c r="P635" s="5"/>
      <c r="Q635" s="5"/>
      <c r="R635" s="8">
        <v>8.1018518518518516E-5</v>
      </c>
      <c r="S635" s="5" t="s">
        <v>37</v>
      </c>
      <c r="T635" t="str">
        <f>IF(Tabela1[[#This Row],[STATUS_NEGOCIO]]="Enviar E-mail",1,"")</f>
        <v/>
      </c>
      <c r="U635" t="str">
        <f>TEXT(Tabela1[[#This Row],[DATA]],"dd/mm/aaaa")</f>
        <v>22/04/2026</v>
      </c>
    </row>
    <row r="636" spans="1:21" x14ac:dyDescent="0.25">
      <c r="A636" s="4">
        <v>46134.53733796296</v>
      </c>
      <c r="B636" s="5" t="s">
        <v>19</v>
      </c>
      <c r="C636" s="5" t="s">
        <v>37</v>
      </c>
      <c r="D636" s="5">
        <v>356</v>
      </c>
      <c r="E636" s="6">
        <v>31301737000178</v>
      </c>
      <c r="F636" s="5">
        <v>356</v>
      </c>
      <c r="G636" s="7">
        <v>177687322638171</v>
      </c>
      <c r="H636" s="5" t="s">
        <v>159</v>
      </c>
      <c r="I636" s="5">
        <v>3003</v>
      </c>
      <c r="J636" s="5" t="s">
        <v>22</v>
      </c>
      <c r="K636" s="5" t="s">
        <v>23</v>
      </c>
      <c r="L636" s="5" t="s">
        <v>31</v>
      </c>
      <c r="M636" s="5" t="s">
        <v>284</v>
      </c>
      <c r="N636" s="5" t="s">
        <v>53</v>
      </c>
      <c r="O636" s="5">
        <v>147</v>
      </c>
      <c r="P636" s="5"/>
      <c r="Q636" s="5"/>
      <c r="R636" s="8">
        <v>8.1018518518518516E-5</v>
      </c>
      <c r="S636" s="5" t="s">
        <v>37</v>
      </c>
      <c r="T636" t="str">
        <f>IF(Tabela1[[#This Row],[STATUS_NEGOCIO]]="Enviar E-mail",1,"")</f>
        <v/>
      </c>
      <c r="U636" t="str">
        <f>TEXT(Tabela1[[#This Row],[DATA]],"dd/mm/aaaa")</f>
        <v>22/04/2026</v>
      </c>
    </row>
    <row r="637" spans="1:21" x14ac:dyDescent="0.25">
      <c r="A637" s="4">
        <v>46134.537511574075</v>
      </c>
      <c r="B637" s="5" t="s">
        <v>19</v>
      </c>
      <c r="C637" s="5" t="s">
        <v>37</v>
      </c>
      <c r="D637" s="5">
        <v>357</v>
      </c>
      <c r="E637" s="6">
        <v>31307787000162</v>
      </c>
      <c r="F637" s="5">
        <v>357</v>
      </c>
      <c r="G637" s="7">
        <v>177687324138241</v>
      </c>
      <c r="H637" s="5" t="s">
        <v>506</v>
      </c>
      <c r="I637" s="5">
        <v>3003</v>
      </c>
      <c r="J637" s="5" t="s">
        <v>22</v>
      </c>
      <c r="K637" s="5" t="s">
        <v>23</v>
      </c>
      <c r="L637" s="5" t="s">
        <v>31</v>
      </c>
      <c r="M637" s="5" t="s">
        <v>284</v>
      </c>
      <c r="N637" s="5" t="s">
        <v>26</v>
      </c>
      <c r="O637" s="5">
        <v>131</v>
      </c>
      <c r="P637" s="5"/>
      <c r="Q637" s="5"/>
      <c r="R637" s="8">
        <v>1.273148148148148E-4</v>
      </c>
      <c r="S637" s="5" t="s">
        <v>37</v>
      </c>
      <c r="T637" t="str">
        <f>IF(Tabela1[[#This Row],[STATUS_NEGOCIO]]="Enviar E-mail",1,"")</f>
        <v/>
      </c>
      <c r="U637" t="str">
        <f>TEXT(Tabela1[[#This Row],[DATA]],"dd/mm/aaaa")</f>
        <v>22/04/2026</v>
      </c>
    </row>
    <row r="638" spans="1:21" x14ac:dyDescent="0.25">
      <c r="A638" s="4">
        <v>46134.537719907406</v>
      </c>
      <c r="B638" s="5" t="s">
        <v>19</v>
      </c>
      <c r="C638" s="5" t="s">
        <v>37</v>
      </c>
      <c r="D638" s="5">
        <v>358</v>
      </c>
      <c r="E638" s="6">
        <v>31396511000106</v>
      </c>
      <c r="F638" s="5">
        <v>358</v>
      </c>
      <c r="G638" s="7">
        <v>177687325938361</v>
      </c>
      <c r="H638" s="5" t="s">
        <v>507</v>
      </c>
      <c r="I638" s="5">
        <v>3003</v>
      </c>
      <c r="J638" s="5" t="s">
        <v>22</v>
      </c>
      <c r="K638" s="5" t="s">
        <v>23</v>
      </c>
      <c r="L638" s="5" t="s">
        <v>31</v>
      </c>
      <c r="M638" s="5" t="s">
        <v>284</v>
      </c>
      <c r="N638" s="5" t="s">
        <v>53</v>
      </c>
      <c r="O638" s="5">
        <v>128</v>
      </c>
      <c r="P638" s="5"/>
      <c r="Q638" s="5"/>
      <c r="R638" s="8">
        <v>6.9444444444444444E-5</v>
      </c>
      <c r="S638" s="5" t="s">
        <v>37</v>
      </c>
      <c r="T638" t="str">
        <f>IF(Tabela1[[#This Row],[STATUS_NEGOCIO]]="Enviar E-mail",1,"")</f>
        <v/>
      </c>
      <c r="U638" t="str">
        <f>TEXT(Tabela1[[#This Row],[DATA]],"dd/mm/aaaa")</f>
        <v>22/04/2026</v>
      </c>
    </row>
    <row r="639" spans="1:21" x14ac:dyDescent="0.25">
      <c r="A639" s="4">
        <v>46134.537916666668</v>
      </c>
      <c r="B639" s="5" t="s">
        <v>19</v>
      </c>
      <c r="C639" s="5" t="s">
        <v>37</v>
      </c>
      <c r="D639" s="5">
        <v>359</v>
      </c>
      <c r="E639" s="6">
        <v>31441165000122</v>
      </c>
      <c r="F639" s="5">
        <v>359</v>
      </c>
      <c r="G639" s="7">
        <v>177687327638381</v>
      </c>
      <c r="H639" s="5" t="s">
        <v>508</v>
      </c>
      <c r="I639" s="5">
        <v>3003</v>
      </c>
      <c r="J639" s="5" t="s">
        <v>22</v>
      </c>
      <c r="K639" s="5" t="s">
        <v>23</v>
      </c>
      <c r="L639" s="5" t="s">
        <v>31</v>
      </c>
      <c r="M639" s="5" t="s">
        <v>284</v>
      </c>
      <c r="N639" s="5" t="s">
        <v>53</v>
      </c>
      <c r="O639" s="5">
        <v>128</v>
      </c>
      <c r="P639" s="5"/>
      <c r="Q639" s="5"/>
      <c r="R639" s="8">
        <v>6.9444444444444444E-5</v>
      </c>
      <c r="S639" s="5" t="s">
        <v>37</v>
      </c>
      <c r="T639" t="str">
        <f>IF(Tabela1[[#This Row],[STATUS_NEGOCIO]]="Enviar E-mail",1,"")</f>
        <v/>
      </c>
      <c r="U639" t="str">
        <f>TEXT(Tabela1[[#This Row],[DATA]],"dd/mm/aaaa")</f>
        <v>22/04/2026</v>
      </c>
    </row>
    <row r="640" spans="1:21" x14ac:dyDescent="0.25">
      <c r="A640" s="4">
        <v>46134.538078703707</v>
      </c>
      <c r="B640" s="5" t="s">
        <v>19</v>
      </c>
      <c r="C640" s="5" t="s">
        <v>27</v>
      </c>
      <c r="D640" s="5">
        <v>360</v>
      </c>
      <c r="E640" s="6">
        <v>31446867000107</v>
      </c>
      <c r="F640" s="5">
        <v>360</v>
      </c>
      <c r="G640" s="7">
        <v>177687329038401</v>
      </c>
      <c r="H640" s="5" t="s">
        <v>81</v>
      </c>
      <c r="I640" s="5">
        <v>3003</v>
      </c>
      <c r="J640" s="5" t="s">
        <v>22</v>
      </c>
      <c r="K640" s="5" t="s">
        <v>23</v>
      </c>
      <c r="L640" s="5" t="s">
        <v>40</v>
      </c>
      <c r="M640" s="5" t="s">
        <v>284</v>
      </c>
      <c r="N640" s="5" t="s">
        <v>26</v>
      </c>
      <c r="O640" s="5">
        <v>16</v>
      </c>
      <c r="P640" s="5"/>
      <c r="Q640" s="5"/>
      <c r="R640" s="8">
        <v>5.0925925925925921E-4</v>
      </c>
      <c r="S640" s="8">
        <v>4.6296296296296298E-4</v>
      </c>
      <c r="T640">
        <f>IF(Tabela1[[#This Row],[STATUS_NEGOCIO]]="Enviar E-mail",1,"")</f>
        <v>1</v>
      </c>
      <c r="U640" t="str">
        <f>TEXT(Tabela1[[#This Row],[DATA]],"dd/mm/aaaa")</f>
        <v>22/04/2026</v>
      </c>
    </row>
    <row r="641" spans="1:21" x14ac:dyDescent="0.25">
      <c r="A641" s="4">
        <v>46134.538680555554</v>
      </c>
      <c r="B641" s="5" t="s">
        <v>19</v>
      </c>
      <c r="C641" s="5" t="s">
        <v>37</v>
      </c>
      <c r="D641" s="5">
        <v>361</v>
      </c>
      <c r="E641" s="6">
        <v>31591969000108</v>
      </c>
      <c r="F641" s="5">
        <v>361</v>
      </c>
      <c r="G641" s="7">
        <v>177687334238471</v>
      </c>
      <c r="H641" s="5" t="s">
        <v>509</v>
      </c>
      <c r="I641" s="5">
        <v>3003</v>
      </c>
      <c r="J641" s="5" t="s">
        <v>22</v>
      </c>
      <c r="K641" s="5" t="s">
        <v>23</v>
      </c>
      <c r="L641" s="5" t="s">
        <v>31</v>
      </c>
      <c r="M641" s="5" t="s">
        <v>284</v>
      </c>
      <c r="N641" s="5" t="s">
        <v>53</v>
      </c>
      <c r="O641" s="5">
        <v>128</v>
      </c>
      <c r="P641" s="5"/>
      <c r="Q641" s="5"/>
      <c r="R641" s="8">
        <v>8.1018518518518516E-5</v>
      </c>
      <c r="S641" s="5" t="s">
        <v>37</v>
      </c>
      <c r="T641" t="str">
        <f>IF(Tabela1[[#This Row],[STATUS_NEGOCIO]]="Enviar E-mail",1,"")</f>
        <v/>
      </c>
      <c r="U641" t="str">
        <f>TEXT(Tabela1[[#This Row],[DATA]],"dd/mm/aaaa")</f>
        <v>22/04/2026</v>
      </c>
    </row>
    <row r="642" spans="1:21" x14ac:dyDescent="0.25">
      <c r="A642" s="4">
        <v>46134.539004629631</v>
      </c>
      <c r="B642" s="5" t="s">
        <v>19</v>
      </c>
      <c r="C642" s="5" t="s">
        <v>37</v>
      </c>
      <c r="D642" s="5">
        <v>362</v>
      </c>
      <c r="E642" s="6">
        <v>31627306000104</v>
      </c>
      <c r="F642" s="5">
        <v>362</v>
      </c>
      <c r="G642" s="7">
        <v>177687337038491</v>
      </c>
      <c r="H642" s="5" t="s">
        <v>112</v>
      </c>
      <c r="I642" s="5">
        <v>3003</v>
      </c>
      <c r="J642" s="5" t="s">
        <v>22</v>
      </c>
      <c r="K642" s="5" t="s">
        <v>23</v>
      </c>
      <c r="L642" s="5" t="s">
        <v>31</v>
      </c>
      <c r="M642" s="5" t="s">
        <v>284</v>
      </c>
      <c r="N642" s="5" t="s">
        <v>53</v>
      </c>
      <c r="O642" s="5">
        <v>147</v>
      </c>
      <c r="P642" s="5"/>
      <c r="Q642" s="5"/>
      <c r="R642" s="8">
        <v>8.1018518518518516E-5</v>
      </c>
      <c r="S642" s="5" t="s">
        <v>37</v>
      </c>
      <c r="T642" t="str">
        <f>IF(Tabela1[[#This Row],[STATUS_NEGOCIO]]="Enviar E-mail",1,"")</f>
        <v/>
      </c>
      <c r="U642" t="str">
        <f>TEXT(Tabela1[[#This Row],[DATA]],"dd/mm/aaaa")</f>
        <v>22/04/2026</v>
      </c>
    </row>
    <row r="643" spans="1:21" x14ac:dyDescent="0.25">
      <c r="A643" s="4">
        <v>46134.539131944446</v>
      </c>
      <c r="B643" s="5" t="s">
        <v>19</v>
      </c>
      <c r="C643" s="5" t="s">
        <v>37</v>
      </c>
      <c r="D643" s="5">
        <v>363</v>
      </c>
      <c r="E643" s="6">
        <v>31650389000144</v>
      </c>
      <c r="F643" s="5">
        <v>363</v>
      </c>
      <c r="G643" s="7">
        <v>177687338138571</v>
      </c>
      <c r="H643" s="5" t="s">
        <v>510</v>
      </c>
      <c r="I643" s="5">
        <v>3003</v>
      </c>
      <c r="J643" s="5" t="s">
        <v>22</v>
      </c>
      <c r="K643" s="5" t="s">
        <v>23</v>
      </c>
      <c r="L643" s="5" t="s">
        <v>31</v>
      </c>
      <c r="M643" s="5" t="s">
        <v>284</v>
      </c>
      <c r="N643" s="5" t="s">
        <v>26</v>
      </c>
      <c r="O643" s="5">
        <v>131</v>
      </c>
      <c r="P643" s="5"/>
      <c r="Q643" s="5"/>
      <c r="R643" s="8">
        <v>4.6296296296296294E-5</v>
      </c>
      <c r="S643" s="5" t="s">
        <v>37</v>
      </c>
      <c r="T643" t="str">
        <f>IF(Tabela1[[#This Row],[STATUS_NEGOCIO]]="Enviar E-mail",1,"")</f>
        <v/>
      </c>
      <c r="U643" t="str">
        <f>TEXT(Tabela1[[#This Row],[DATA]],"dd/mm/aaaa")</f>
        <v>22/04/2026</v>
      </c>
    </row>
    <row r="644" spans="1:21" x14ac:dyDescent="0.25">
      <c r="A644" s="4">
        <v>46134.539375</v>
      </c>
      <c r="B644" s="5" t="s">
        <v>19</v>
      </c>
      <c r="C644" s="5" t="s">
        <v>37</v>
      </c>
      <c r="D644" s="5">
        <v>364</v>
      </c>
      <c r="E644" s="6">
        <v>31669377000161</v>
      </c>
      <c r="F644" s="5">
        <v>364</v>
      </c>
      <c r="G644" s="7">
        <v>177687340238661</v>
      </c>
      <c r="H644" s="5" t="s">
        <v>511</v>
      </c>
      <c r="I644" s="5" t="s">
        <v>52</v>
      </c>
      <c r="J644" s="5" t="s">
        <v>22</v>
      </c>
      <c r="K644" s="5" t="s">
        <v>36</v>
      </c>
      <c r="L644" s="5" t="s">
        <v>36</v>
      </c>
      <c r="M644" s="5" t="s">
        <v>284</v>
      </c>
      <c r="N644" s="5" t="s">
        <v>53</v>
      </c>
      <c r="O644" s="5">
        <v>1</v>
      </c>
      <c r="P644" s="5"/>
      <c r="Q644" s="5"/>
      <c r="R644" s="8">
        <v>0</v>
      </c>
      <c r="S644" s="5" t="s">
        <v>37</v>
      </c>
      <c r="T644" t="str">
        <f>IF(Tabela1[[#This Row],[STATUS_NEGOCIO]]="Enviar E-mail",1,"")</f>
        <v/>
      </c>
      <c r="U644" t="str">
        <f>TEXT(Tabela1[[#This Row],[DATA]],"dd/mm/aaaa")</f>
        <v>22/04/2026</v>
      </c>
    </row>
    <row r="645" spans="1:21" x14ac:dyDescent="0.25">
      <c r="A645" s="4">
        <v>46134.539386574077</v>
      </c>
      <c r="B645" s="5" t="s">
        <v>19</v>
      </c>
      <c r="C645" s="5" t="s">
        <v>37</v>
      </c>
      <c r="D645" s="5">
        <v>365</v>
      </c>
      <c r="E645" s="6">
        <v>31865488000143</v>
      </c>
      <c r="F645" s="5">
        <v>365</v>
      </c>
      <c r="G645" s="7">
        <v>177687340338681</v>
      </c>
      <c r="H645" s="5" t="s">
        <v>512</v>
      </c>
      <c r="I645" s="5">
        <v>3003</v>
      </c>
      <c r="J645" s="5" t="s">
        <v>22</v>
      </c>
      <c r="K645" s="5" t="s">
        <v>23</v>
      </c>
      <c r="L645" s="5" t="s">
        <v>31</v>
      </c>
      <c r="M645" s="5" t="s">
        <v>284</v>
      </c>
      <c r="N645" s="5" t="s">
        <v>53</v>
      </c>
      <c r="O645" s="5">
        <v>128</v>
      </c>
      <c r="P645" s="5"/>
      <c r="Q645" s="5"/>
      <c r="R645" s="8">
        <v>8.1018518518518516E-5</v>
      </c>
      <c r="S645" s="5" t="s">
        <v>37</v>
      </c>
      <c r="T645" t="str">
        <f>IF(Tabela1[[#This Row],[STATUS_NEGOCIO]]="Enviar E-mail",1,"")</f>
        <v/>
      </c>
      <c r="U645" t="str">
        <f>TEXT(Tabela1[[#This Row],[DATA]],"dd/mm/aaaa")</f>
        <v>22/04/2026</v>
      </c>
    </row>
    <row r="646" spans="1:21" x14ac:dyDescent="0.25">
      <c r="A646" s="4">
        <v>46134.539606481485</v>
      </c>
      <c r="B646" s="5" t="s">
        <v>19</v>
      </c>
      <c r="C646" s="5" t="s">
        <v>37</v>
      </c>
      <c r="D646" s="5">
        <v>366</v>
      </c>
      <c r="E646" s="6">
        <v>31967201000196</v>
      </c>
      <c r="F646" s="5">
        <v>366</v>
      </c>
      <c r="G646" s="7">
        <v>177687342238691</v>
      </c>
      <c r="H646" s="5" t="s">
        <v>513</v>
      </c>
      <c r="I646" s="5">
        <v>3003</v>
      </c>
      <c r="J646" s="5" t="s">
        <v>22</v>
      </c>
      <c r="K646" s="5" t="s">
        <v>23</v>
      </c>
      <c r="L646" s="5" t="s">
        <v>31</v>
      </c>
      <c r="M646" s="5" t="s">
        <v>284</v>
      </c>
      <c r="N646" s="5" t="s">
        <v>53</v>
      </c>
      <c r="O646" s="5">
        <v>128</v>
      </c>
      <c r="P646" s="5"/>
      <c r="Q646" s="5"/>
      <c r="R646" s="8">
        <v>8.1018518518518516E-5</v>
      </c>
      <c r="S646" s="5" t="s">
        <v>37</v>
      </c>
      <c r="T646" t="str">
        <f>IF(Tabela1[[#This Row],[STATUS_NEGOCIO]]="Enviar E-mail",1,"")</f>
        <v/>
      </c>
      <c r="U646" t="str">
        <f>TEXT(Tabela1[[#This Row],[DATA]],"dd/mm/aaaa")</f>
        <v>22/04/2026</v>
      </c>
    </row>
    <row r="647" spans="1:21" x14ac:dyDescent="0.25">
      <c r="A647" s="4">
        <v>46134.539849537039</v>
      </c>
      <c r="B647" s="5" t="s">
        <v>19</v>
      </c>
      <c r="C647" s="5" t="s">
        <v>37</v>
      </c>
      <c r="D647" s="5">
        <v>367</v>
      </c>
      <c r="E647" s="6">
        <v>31969017000185</v>
      </c>
      <c r="F647" s="5">
        <v>367</v>
      </c>
      <c r="G647" s="7">
        <v>177687344338711</v>
      </c>
      <c r="H647" s="5" t="s">
        <v>116</v>
      </c>
      <c r="I647" s="5">
        <v>3003</v>
      </c>
      <c r="J647" s="5" t="s">
        <v>22</v>
      </c>
      <c r="K647" s="5" t="s">
        <v>23</v>
      </c>
      <c r="L647" s="5" t="s">
        <v>31</v>
      </c>
      <c r="M647" s="5" t="s">
        <v>284</v>
      </c>
      <c r="N647" s="5" t="s">
        <v>53</v>
      </c>
      <c r="O647" s="5">
        <v>128</v>
      </c>
      <c r="P647" s="5"/>
      <c r="Q647" s="5"/>
      <c r="R647" s="8">
        <v>8.1018518518518516E-5</v>
      </c>
      <c r="S647" s="5" t="s">
        <v>37</v>
      </c>
      <c r="T647" t="str">
        <f>IF(Tabela1[[#This Row],[STATUS_NEGOCIO]]="Enviar E-mail",1,"")</f>
        <v/>
      </c>
      <c r="U647" t="str">
        <f>TEXT(Tabela1[[#This Row],[DATA]],"dd/mm/aaaa")</f>
        <v>22/04/2026</v>
      </c>
    </row>
    <row r="648" spans="1:21" x14ac:dyDescent="0.25">
      <c r="A648" s="4">
        <v>46134.539953703701</v>
      </c>
      <c r="B648" s="5" t="s">
        <v>19</v>
      </c>
      <c r="C648" s="5" t="s">
        <v>27</v>
      </c>
      <c r="D648" s="5">
        <v>368</v>
      </c>
      <c r="E648" s="6">
        <v>32020943000172</v>
      </c>
      <c r="F648" s="5">
        <v>368</v>
      </c>
      <c r="G648" s="7">
        <v>177687345238731</v>
      </c>
      <c r="H648" s="5" t="s">
        <v>514</v>
      </c>
      <c r="I648" s="5">
        <v>3003</v>
      </c>
      <c r="J648" s="5" t="s">
        <v>22</v>
      </c>
      <c r="K648" s="5" t="s">
        <v>23</v>
      </c>
      <c r="L648" s="5" t="s">
        <v>265</v>
      </c>
      <c r="M648" s="5" t="s">
        <v>284</v>
      </c>
      <c r="N648" s="5" t="s">
        <v>26</v>
      </c>
      <c r="O648" s="5">
        <v>16</v>
      </c>
      <c r="P648" s="5"/>
      <c r="Q648" s="5"/>
      <c r="R648" s="8">
        <v>1.0416666666666667E-4</v>
      </c>
      <c r="S648" s="8">
        <v>4.6296296296296294E-5</v>
      </c>
      <c r="T648" t="str">
        <f>IF(Tabela1[[#This Row],[STATUS_NEGOCIO]]="Enviar E-mail",1,"")</f>
        <v/>
      </c>
      <c r="U648" t="str">
        <f>TEXT(Tabela1[[#This Row],[DATA]],"dd/mm/aaaa")</f>
        <v>22/04/2026</v>
      </c>
    </row>
    <row r="649" spans="1:21" x14ac:dyDescent="0.25">
      <c r="A649" s="4">
        <v>46134.540150462963</v>
      </c>
      <c r="B649" s="5" t="s">
        <v>19</v>
      </c>
      <c r="C649" s="5" t="s">
        <v>37</v>
      </c>
      <c r="D649" s="5">
        <v>369</v>
      </c>
      <c r="E649" s="6">
        <v>32121837000185</v>
      </c>
      <c r="F649" s="5">
        <v>369</v>
      </c>
      <c r="G649" s="7">
        <v>177687346938761</v>
      </c>
      <c r="H649" s="5" t="s">
        <v>515</v>
      </c>
      <c r="I649" s="5">
        <v>3003</v>
      </c>
      <c r="J649" s="5" t="s">
        <v>22</v>
      </c>
      <c r="K649" s="5" t="s">
        <v>23</v>
      </c>
      <c r="L649" s="5" t="s">
        <v>31</v>
      </c>
      <c r="M649" s="5" t="s">
        <v>284</v>
      </c>
      <c r="N649" s="5" t="s">
        <v>26</v>
      </c>
      <c r="O649" s="5">
        <v>131</v>
      </c>
      <c r="P649" s="5"/>
      <c r="Q649" s="5"/>
      <c r="R649" s="8">
        <v>1.1574074074074075E-4</v>
      </c>
      <c r="S649" s="5" t="s">
        <v>37</v>
      </c>
      <c r="T649" t="str">
        <f>IF(Tabela1[[#This Row],[STATUS_NEGOCIO]]="Enviar E-mail",1,"")</f>
        <v/>
      </c>
      <c r="U649" t="str">
        <f>TEXT(Tabela1[[#This Row],[DATA]],"dd/mm/aaaa")</f>
        <v>22/04/2026</v>
      </c>
    </row>
    <row r="650" spans="1:21" x14ac:dyDescent="0.25">
      <c r="A650" s="4">
        <v>46134.540370370371</v>
      </c>
      <c r="B650" s="5" t="s">
        <v>19</v>
      </c>
      <c r="C650" s="5" t="s">
        <v>37</v>
      </c>
      <c r="D650" s="5">
        <v>370</v>
      </c>
      <c r="E650" s="6">
        <v>32256448000167</v>
      </c>
      <c r="F650" s="5">
        <v>370</v>
      </c>
      <c r="G650" s="7">
        <v>177687348838831</v>
      </c>
      <c r="H650" s="5" t="s">
        <v>516</v>
      </c>
      <c r="I650" s="5">
        <v>3003</v>
      </c>
      <c r="J650" s="5" t="s">
        <v>22</v>
      </c>
      <c r="K650" s="5" t="s">
        <v>23</v>
      </c>
      <c r="L650" s="5" t="s">
        <v>31</v>
      </c>
      <c r="M650" s="5" t="s">
        <v>284</v>
      </c>
      <c r="N650" s="5" t="s">
        <v>53</v>
      </c>
      <c r="O650" s="5">
        <v>128</v>
      </c>
      <c r="P650" s="5"/>
      <c r="Q650" s="5"/>
      <c r="R650" s="8">
        <v>8.1018518518518516E-5</v>
      </c>
      <c r="S650" s="5" t="s">
        <v>37</v>
      </c>
      <c r="T650" t="str">
        <f>IF(Tabela1[[#This Row],[STATUS_NEGOCIO]]="Enviar E-mail",1,"")</f>
        <v/>
      </c>
      <c r="U650" t="str">
        <f>TEXT(Tabela1[[#This Row],[DATA]],"dd/mm/aaaa")</f>
        <v>22/04/2026</v>
      </c>
    </row>
    <row r="651" spans="1:21" x14ac:dyDescent="0.25">
      <c r="A651" s="4">
        <v>46134.540486111109</v>
      </c>
      <c r="B651" s="5" t="s">
        <v>19</v>
      </c>
      <c r="C651" s="5" t="s">
        <v>37</v>
      </c>
      <c r="D651" s="5">
        <v>371</v>
      </c>
      <c r="E651" s="6">
        <v>32258196000105</v>
      </c>
      <c r="F651" s="5">
        <v>371</v>
      </c>
      <c r="G651" s="7">
        <v>177687349838891</v>
      </c>
      <c r="H651" s="5" t="s">
        <v>517</v>
      </c>
      <c r="I651" s="5">
        <v>3003</v>
      </c>
      <c r="J651" s="5" t="s">
        <v>22</v>
      </c>
      <c r="K651" s="5" t="s">
        <v>23</v>
      </c>
      <c r="L651" s="5" t="s">
        <v>31</v>
      </c>
      <c r="M651" s="5" t="s">
        <v>284</v>
      </c>
      <c r="N651" s="5" t="s">
        <v>53</v>
      </c>
      <c r="O651" s="5">
        <v>128</v>
      </c>
      <c r="P651" s="5"/>
      <c r="Q651" s="5"/>
      <c r="R651" s="8">
        <v>8.1018518518518516E-5</v>
      </c>
      <c r="S651" s="5" t="s">
        <v>37</v>
      </c>
      <c r="T651" t="str">
        <f>IF(Tabela1[[#This Row],[STATUS_NEGOCIO]]="Enviar E-mail",1,"")</f>
        <v/>
      </c>
      <c r="U651" t="str">
        <f>TEXT(Tabela1[[#This Row],[DATA]],"dd/mm/aaaa")</f>
        <v>22/04/2026</v>
      </c>
    </row>
    <row r="652" spans="1:21" x14ac:dyDescent="0.25">
      <c r="A652" s="4">
        <v>46134.541064814817</v>
      </c>
      <c r="B652" s="5" t="s">
        <v>19</v>
      </c>
      <c r="C652" s="5" t="s">
        <v>37</v>
      </c>
      <c r="D652" s="5">
        <v>372</v>
      </c>
      <c r="E652" s="6">
        <v>32303404000140</v>
      </c>
      <c r="F652" s="5">
        <v>372</v>
      </c>
      <c r="G652" s="7">
        <v>177687354839051</v>
      </c>
      <c r="H652" s="5" t="s">
        <v>518</v>
      </c>
      <c r="I652" s="5">
        <v>3003</v>
      </c>
      <c r="J652" s="5" t="s">
        <v>22</v>
      </c>
      <c r="K652" s="5" t="s">
        <v>23</v>
      </c>
      <c r="L652" s="5" t="s">
        <v>31</v>
      </c>
      <c r="M652" s="5" t="s">
        <v>284</v>
      </c>
      <c r="N652" s="5" t="s">
        <v>53</v>
      </c>
      <c r="O652" s="5">
        <v>128</v>
      </c>
      <c r="P652" s="5"/>
      <c r="Q652" s="5"/>
      <c r="R652" s="8">
        <v>8.1018518518518516E-5</v>
      </c>
      <c r="S652" s="5" t="s">
        <v>37</v>
      </c>
      <c r="T652" t="str">
        <f>IF(Tabela1[[#This Row],[STATUS_NEGOCIO]]="Enviar E-mail",1,"")</f>
        <v/>
      </c>
      <c r="U652" t="str">
        <f>TEXT(Tabela1[[#This Row],[DATA]],"dd/mm/aaaa")</f>
        <v>22/04/2026</v>
      </c>
    </row>
    <row r="653" spans="1:21" x14ac:dyDescent="0.25">
      <c r="A653" s="4">
        <v>46134.541064814817</v>
      </c>
      <c r="B653" s="5" t="s">
        <v>19</v>
      </c>
      <c r="C653" s="5" t="s">
        <v>37</v>
      </c>
      <c r="D653" s="5">
        <v>373</v>
      </c>
      <c r="E653" s="6">
        <v>32333337000107</v>
      </c>
      <c r="F653" s="5">
        <v>373</v>
      </c>
      <c r="G653" s="7">
        <v>177687354839061</v>
      </c>
      <c r="H653" s="5" t="s">
        <v>38</v>
      </c>
      <c r="I653" s="5">
        <v>3003</v>
      </c>
      <c r="J653" s="5" t="s">
        <v>22</v>
      </c>
      <c r="K653" s="5" t="s">
        <v>23</v>
      </c>
      <c r="L653" s="5" t="s">
        <v>31</v>
      </c>
      <c r="M653" s="5" t="s">
        <v>284</v>
      </c>
      <c r="N653" s="5" t="s">
        <v>53</v>
      </c>
      <c r="O653" s="5">
        <v>128</v>
      </c>
      <c r="P653" s="5"/>
      <c r="Q653" s="5"/>
      <c r="R653" s="8">
        <v>8.1018518518518516E-5</v>
      </c>
      <c r="S653" s="5" t="s">
        <v>37</v>
      </c>
      <c r="T653" t="str">
        <f>IF(Tabela1[[#This Row],[STATUS_NEGOCIO]]="Enviar E-mail",1,"")</f>
        <v/>
      </c>
      <c r="U653" t="str">
        <f>TEXT(Tabela1[[#This Row],[DATA]],"dd/mm/aaaa")</f>
        <v>22/04/2026</v>
      </c>
    </row>
    <row r="654" spans="1:21" x14ac:dyDescent="0.25">
      <c r="A654" s="4">
        <v>46134.541064814817</v>
      </c>
      <c r="B654" s="5" t="s">
        <v>19</v>
      </c>
      <c r="C654" s="5" t="s">
        <v>37</v>
      </c>
      <c r="D654" s="5">
        <v>374</v>
      </c>
      <c r="E654" s="6">
        <v>32514234000143</v>
      </c>
      <c r="F654" s="5">
        <v>374</v>
      </c>
      <c r="G654" s="7">
        <v>177687354839071</v>
      </c>
      <c r="H654" s="5" t="s">
        <v>278</v>
      </c>
      <c r="I654" s="5">
        <v>3003</v>
      </c>
      <c r="J654" s="5" t="s">
        <v>22</v>
      </c>
      <c r="K654" s="5" t="s">
        <v>23</v>
      </c>
      <c r="L654" s="5" t="s">
        <v>31</v>
      </c>
      <c r="M654" s="5" t="s">
        <v>284</v>
      </c>
      <c r="N654" s="5" t="s">
        <v>53</v>
      </c>
      <c r="O654" s="5">
        <v>128</v>
      </c>
      <c r="P654" s="5"/>
      <c r="Q654" s="5"/>
      <c r="R654" s="8">
        <v>8.1018518518518516E-5</v>
      </c>
      <c r="S654" s="5" t="s">
        <v>37</v>
      </c>
      <c r="T654" t="str">
        <f>IF(Tabela1[[#This Row],[STATUS_NEGOCIO]]="Enviar E-mail",1,"")</f>
        <v/>
      </c>
      <c r="U654" t="str">
        <f>TEXT(Tabela1[[#This Row],[DATA]],"dd/mm/aaaa")</f>
        <v>22/04/2026</v>
      </c>
    </row>
    <row r="655" spans="1:21" x14ac:dyDescent="0.25">
      <c r="A655" s="4">
        <v>46134.541562500002</v>
      </c>
      <c r="B655" s="5" t="s">
        <v>19</v>
      </c>
      <c r="C655" s="5" t="s">
        <v>37</v>
      </c>
      <c r="D655" s="5">
        <v>375</v>
      </c>
      <c r="E655" s="6">
        <v>32579807000117</v>
      </c>
      <c r="F655" s="5">
        <v>375</v>
      </c>
      <c r="G655" s="7">
        <v>177687359139161</v>
      </c>
      <c r="H655" s="5" t="s">
        <v>519</v>
      </c>
      <c r="I655" s="5">
        <v>3003</v>
      </c>
      <c r="J655" s="5" t="s">
        <v>22</v>
      </c>
      <c r="K655" s="5" t="s">
        <v>23</v>
      </c>
      <c r="L655" s="5" t="s">
        <v>31</v>
      </c>
      <c r="M655" s="5" t="s">
        <v>284</v>
      </c>
      <c r="N655" s="5" t="s">
        <v>53</v>
      </c>
      <c r="O655" s="5">
        <v>128</v>
      </c>
      <c r="P655" s="5"/>
      <c r="Q655" s="5"/>
      <c r="R655" s="8">
        <v>6.9444444444444444E-5</v>
      </c>
      <c r="S655" s="5" t="s">
        <v>37</v>
      </c>
      <c r="T655" t="str">
        <f>IF(Tabela1[[#This Row],[STATUS_NEGOCIO]]="Enviar E-mail",1,"")</f>
        <v/>
      </c>
      <c r="U655" t="str">
        <f>TEXT(Tabela1[[#This Row],[DATA]],"dd/mm/aaaa")</f>
        <v>22/04/2026</v>
      </c>
    </row>
    <row r="656" spans="1:21" x14ac:dyDescent="0.25">
      <c r="A656" s="4">
        <v>46134.583391203705</v>
      </c>
      <c r="B656" s="5" t="s">
        <v>19</v>
      </c>
      <c r="C656" s="5" t="s">
        <v>37</v>
      </c>
      <c r="D656" s="5">
        <v>376</v>
      </c>
      <c r="E656" s="6">
        <v>32599342000166</v>
      </c>
      <c r="F656" s="5">
        <v>376</v>
      </c>
      <c r="G656" s="7">
        <v>177687720544181</v>
      </c>
      <c r="H656" s="5" t="s">
        <v>520</v>
      </c>
      <c r="I656" s="5">
        <v>3003</v>
      </c>
      <c r="J656" s="5" t="s">
        <v>22</v>
      </c>
      <c r="K656" s="5" t="s">
        <v>23</v>
      </c>
      <c r="L656" s="5" t="s">
        <v>31</v>
      </c>
      <c r="M656" s="5" t="s">
        <v>284</v>
      </c>
      <c r="N656" s="5" t="s">
        <v>53</v>
      </c>
      <c r="O656" s="5">
        <v>128</v>
      </c>
      <c r="P656" s="5"/>
      <c r="Q656" s="5"/>
      <c r="R656" s="8">
        <v>8.1018518518518516E-5</v>
      </c>
      <c r="S656" s="5" t="s">
        <v>37</v>
      </c>
      <c r="T656" t="str">
        <f>IF(Tabela1[[#This Row],[STATUS_NEGOCIO]]="Enviar E-mail",1,"")</f>
        <v/>
      </c>
      <c r="U656" t="str">
        <f>TEXT(Tabela1[[#This Row],[DATA]],"dd/mm/aaaa")</f>
        <v>22/04/2026</v>
      </c>
    </row>
    <row r="657" spans="1:21" x14ac:dyDescent="0.25">
      <c r="A657" s="4">
        <v>46134.583391203705</v>
      </c>
      <c r="B657" s="5" t="s">
        <v>19</v>
      </c>
      <c r="C657" s="5" t="s">
        <v>37</v>
      </c>
      <c r="D657" s="5">
        <v>377</v>
      </c>
      <c r="E657" s="6">
        <v>32956821000192</v>
      </c>
      <c r="F657" s="5">
        <v>377</v>
      </c>
      <c r="G657" s="7">
        <v>177687720544191</v>
      </c>
      <c r="H657" s="5" t="s">
        <v>521</v>
      </c>
      <c r="I657" s="5">
        <v>3003</v>
      </c>
      <c r="J657" s="5" t="s">
        <v>22</v>
      </c>
      <c r="K657" s="5" t="s">
        <v>23</v>
      </c>
      <c r="L657" s="5" t="s">
        <v>31</v>
      </c>
      <c r="M657" s="5" t="s">
        <v>284</v>
      </c>
      <c r="N657" s="5" t="s">
        <v>53</v>
      </c>
      <c r="O657" s="5">
        <v>128</v>
      </c>
      <c r="P657" s="5"/>
      <c r="Q657" s="5"/>
      <c r="R657" s="8">
        <v>6.9444444444444444E-5</v>
      </c>
      <c r="S657" s="5" t="s">
        <v>37</v>
      </c>
      <c r="T657" t="str">
        <f>IF(Tabela1[[#This Row],[STATUS_NEGOCIO]]="Enviar E-mail",1,"")</f>
        <v/>
      </c>
      <c r="U657" t="str">
        <f>TEXT(Tabela1[[#This Row],[DATA]],"dd/mm/aaaa")</f>
        <v>22/04/2026</v>
      </c>
    </row>
    <row r="658" spans="1:21" x14ac:dyDescent="0.25">
      <c r="A658" s="4">
        <v>46134.583391203705</v>
      </c>
      <c r="B658" s="5" t="s">
        <v>19</v>
      </c>
      <c r="C658" s="5" t="s">
        <v>37</v>
      </c>
      <c r="D658" s="5">
        <v>378</v>
      </c>
      <c r="E658" s="6">
        <v>32968396000151</v>
      </c>
      <c r="F658" s="5">
        <v>378</v>
      </c>
      <c r="G658" s="7">
        <v>177687720544201</v>
      </c>
      <c r="H658" s="5" t="s">
        <v>522</v>
      </c>
      <c r="I658" s="5">
        <v>3003</v>
      </c>
      <c r="J658" s="5" t="s">
        <v>22</v>
      </c>
      <c r="K658" s="5" t="s">
        <v>23</v>
      </c>
      <c r="L658" s="5" t="s">
        <v>31</v>
      </c>
      <c r="M658" s="5" t="s">
        <v>284</v>
      </c>
      <c r="N658" s="5" t="s">
        <v>53</v>
      </c>
      <c r="O658" s="5">
        <v>128</v>
      </c>
      <c r="P658" s="5"/>
      <c r="Q658" s="5"/>
      <c r="R658" s="8">
        <v>8.1018518518518516E-5</v>
      </c>
      <c r="S658" s="5" t="s">
        <v>37</v>
      </c>
      <c r="T658" t="str">
        <f>IF(Tabela1[[#This Row],[STATUS_NEGOCIO]]="Enviar E-mail",1,"")</f>
        <v/>
      </c>
      <c r="U658" t="str">
        <f>TEXT(Tabela1[[#This Row],[DATA]],"dd/mm/aaaa")</f>
        <v>22/04/2026</v>
      </c>
    </row>
    <row r="659" spans="1:21" x14ac:dyDescent="0.25">
      <c r="A659" s="4">
        <v>46134.583749999998</v>
      </c>
      <c r="B659" s="5" t="s">
        <v>19</v>
      </c>
      <c r="C659" s="5" t="s">
        <v>37</v>
      </c>
      <c r="D659" s="5">
        <v>379</v>
      </c>
      <c r="E659" s="6">
        <v>33045782000134</v>
      </c>
      <c r="F659" s="5">
        <v>379</v>
      </c>
      <c r="G659" s="7">
        <v>177687723644341</v>
      </c>
      <c r="H659" s="5" t="s">
        <v>523</v>
      </c>
      <c r="I659" s="5" t="s">
        <v>52</v>
      </c>
      <c r="J659" s="5" t="s">
        <v>22</v>
      </c>
      <c r="K659" s="5" t="s">
        <v>36</v>
      </c>
      <c r="L659" s="5" t="s">
        <v>36</v>
      </c>
      <c r="M659" s="5" t="s">
        <v>284</v>
      </c>
      <c r="N659" s="5" t="s">
        <v>53</v>
      </c>
      <c r="O659" s="5">
        <v>19</v>
      </c>
      <c r="P659" s="5"/>
      <c r="Q659" s="5"/>
      <c r="R659" s="8">
        <v>0</v>
      </c>
      <c r="S659" s="5" t="s">
        <v>37</v>
      </c>
      <c r="T659" t="str">
        <f>IF(Tabela1[[#This Row],[STATUS_NEGOCIO]]="Enviar E-mail",1,"")</f>
        <v/>
      </c>
      <c r="U659" t="str">
        <f>TEXT(Tabela1[[#This Row],[DATA]],"dd/mm/aaaa")</f>
        <v>22/04/2026</v>
      </c>
    </row>
    <row r="660" spans="1:21" x14ac:dyDescent="0.25">
      <c r="A660" s="4">
        <v>46134.584444444445</v>
      </c>
      <c r="B660" s="5" t="s">
        <v>19</v>
      </c>
      <c r="C660" s="5" t="s">
        <v>37</v>
      </c>
      <c r="D660" s="5">
        <v>380</v>
      </c>
      <c r="E660" s="6">
        <v>33117243000163</v>
      </c>
      <c r="F660" s="5">
        <v>380</v>
      </c>
      <c r="G660" s="7">
        <v>177687729644571</v>
      </c>
      <c r="H660" s="5" t="s">
        <v>276</v>
      </c>
      <c r="I660" s="5">
        <v>3003</v>
      </c>
      <c r="J660" s="5" t="s">
        <v>22</v>
      </c>
      <c r="K660" s="5" t="s">
        <v>23</v>
      </c>
      <c r="L660" s="5" t="s">
        <v>31</v>
      </c>
      <c r="M660" s="5" t="s">
        <v>284</v>
      </c>
      <c r="N660" s="5" t="s">
        <v>53</v>
      </c>
      <c r="O660" s="5">
        <v>128</v>
      </c>
      <c r="P660" s="5"/>
      <c r="Q660" s="5"/>
      <c r="R660" s="8">
        <v>8.1018518518518516E-5</v>
      </c>
      <c r="S660" s="5" t="s">
        <v>37</v>
      </c>
      <c r="T660" t="str">
        <f>IF(Tabela1[[#This Row],[STATUS_NEGOCIO]]="Enviar E-mail",1,"")</f>
        <v/>
      </c>
      <c r="U660" t="str">
        <f>TEXT(Tabela1[[#This Row],[DATA]],"dd/mm/aaaa")</f>
        <v>22/04/2026</v>
      </c>
    </row>
    <row r="661" spans="1:21" x14ac:dyDescent="0.25">
      <c r="A661" s="4">
        <v>46134.584953703707</v>
      </c>
      <c r="B661" s="5" t="s">
        <v>19</v>
      </c>
      <c r="C661" s="5" t="s">
        <v>37</v>
      </c>
      <c r="D661" s="5">
        <v>381</v>
      </c>
      <c r="E661" s="6">
        <v>33208034000125</v>
      </c>
      <c r="F661" s="5">
        <v>381</v>
      </c>
      <c r="G661" s="7">
        <v>177687734044671</v>
      </c>
      <c r="H661" s="5" t="s">
        <v>524</v>
      </c>
      <c r="I661" s="5">
        <v>3003</v>
      </c>
      <c r="J661" s="5" t="s">
        <v>22</v>
      </c>
      <c r="K661" s="5" t="s">
        <v>23</v>
      </c>
      <c r="L661" s="5" t="s">
        <v>31</v>
      </c>
      <c r="M661" s="5" t="s">
        <v>284</v>
      </c>
      <c r="N661" s="5" t="s">
        <v>26</v>
      </c>
      <c r="O661" s="5">
        <v>131</v>
      </c>
      <c r="P661" s="5"/>
      <c r="Q661" s="5"/>
      <c r="R661" s="8">
        <v>8.1018518518518516E-5</v>
      </c>
      <c r="S661" s="5" t="s">
        <v>37</v>
      </c>
      <c r="T661" t="str">
        <f>IF(Tabela1[[#This Row],[STATUS_NEGOCIO]]="Enviar E-mail",1,"")</f>
        <v/>
      </c>
      <c r="U661" t="str">
        <f>TEXT(Tabela1[[#This Row],[DATA]],"dd/mm/aaaa")</f>
        <v>22/04/2026</v>
      </c>
    </row>
    <row r="662" spans="1:21" x14ac:dyDescent="0.25">
      <c r="A662" s="4">
        <v>46134.585219907407</v>
      </c>
      <c r="B662" s="5" t="s">
        <v>19</v>
      </c>
      <c r="C662" s="5" t="s">
        <v>37</v>
      </c>
      <c r="D662" s="5">
        <v>382</v>
      </c>
      <c r="E662" s="6">
        <v>33208174000101</v>
      </c>
      <c r="F662" s="5">
        <v>382</v>
      </c>
      <c r="G662" s="7">
        <v>177687736344771</v>
      </c>
      <c r="H662" s="5" t="s">
        <v>525</v>
      </c>
      <c r="I662" s="5">
        <v>3003</v>
      </c>
      <c r="J662" s="5" t="s">
        <v>22</v>
      </c>
      <c r="K662" s="5" t="s">
        <v>23</v>
      </c>
      <c r="L662" s="5" t="s">
        <v>31</v>
      </c>
      <c r="M662" s="5" t="s">
        <v>284</v>
      </c>
      <c r="N662" s="5" t="s">
        <v>53</v>
      </c>
      <c r="O662" s="5">
        <v>128</v>
      </c>
      <c r="P662" s="5"/>
      <c r="Q662" s="5"/>
      <c r="R662" s="8">
        <v>8.1018518518518516E-5</v>
      </c>
      <c r="S662" s="5" t="s">
        <v>37</v>
      </c>
      <c r="T662" t="str">
        <f>IF(Tabela1[[#This Row],[STATUS_NEGOCIO]]="Enviar E-mail",1,"")</f>
        <v/>
      </c>
      <c r="U662" t="str">
        <f>TEXT(Tabela1[[#This Row],[DATA]],"dd/mm/aaaa")</f>
        <v>22/04/2026</v>
      </c>
    </row>
    <row r="663" spans="1:21" x14ac:dyDescent="0.25">
      <c r="A663" s="4">
        <v>46134.585601851853</v>
      </c>
      <c r="B663" s="5" t="s">
        <v>19</v>
      </c>
      <c r="C663" s="5" t="s">
        <v>37</v>
      </c>
      <c r="D663" s="5">
        <v>383</v>
      </c>
      <c r="E663" s="6">
        <v>33242199000113</v>
      </c>
      <c r="F663" s="5">
        <v>383</v>
      </c>
      <c r="G663" s="7">
        <v>177687739644901</v>
      </c>
      <c r="H663" s="5" t="s">
        <v>526</v>
      </c>
      <c r="I663" s="5">
        <v>3003</v>
      </c>
      <c r="J663" s="5" t="s">
        <v>22</v>
      </c>
      <c r="K663" s="5" t="s">
        <v>23</v>
      </c>
      <c r="L663" s="5" t="s">
        <v>31</v>
      </c>
      <c r="M663" s="5" t="s">
        <v>284</v>
      </c>
      <c r="N663" s="5" t="s">
        <v>53</v>
      </c>
      <c r="O663" s="5">
        <v>128</v>
      </c>
      <c r="P663" s="5"/>
      <c r="Q663" s="5"/>
      <c r="R663" s="8">
        <v>8.1018518518518516E-5</v>
      </c>
      <c r="S663" s="5" t="s">
        <v>37</v>
      </c>
      <c r="T663" t="str">
        <f>IF(Tabela1[[#This Row],[STATUS_NEGOCIO]]="Enviar E-mail",1,"")</f>
        <v/>
      </c>
      <c r="U663" t="str">
        <f>TEXT(Tabela1[[#This Row],[DATA]],"dd/mm/aaaa")</f>
        <v>22/04/2026</v>
      </c>
    </row>
    <row r="664" spans="1:21" x14ac:dyDescent="0.25">
      <c r="A664" s="4">
        <v>46134.585833333331</v>
      </c>
      <c r="B664" s="5" t="s">
        <v>19</v>
      </c>
      <c r="C664" s="5" t="s">
        <v>37</v>
      </c>
      <c r="D664" s="5">
        <v>384</v>
      </c>
      <c r="E664" s="6">
        <v>33262916000179</v>
      </c>
      <c r="F664" s="5">
        <v>384</v>
      </c>
      <c r="G664" s="7">
        <v>177687741644981</v>
      </c>
      <c r="H664" s="5" t="s">
        <v>244</v>
      </c>
      <c r="I664" s="5">
        <v>3003</v>
      </c>
      <c r="J664" s="5" t="s">
        <v>22</v>
      </c>
      <c r="K664" s="5" t="s">
        <v>23</v>
      </c>
      <c r="L664" s="5" t="s">
        <v>31</v>
      </c>
      <c r="M664" s="5" t="s">
        <v>284</v>
      </c>
      <c r="N664" s="5" t="s">
        <v>53</v>
      </c>
      <c r="O664" s="5">
        <v>128</v>
      </c>
      <c r="P664" s="5"/>
      <c r="Q664" s="5"/>
      <c r="R664" s="8">
        <v>8.1018518518518516E-5</v>
      </c>
      <c r="S664" s="5" t="s">
        <v>37</v>
      </c>
      <c r="T664" t="str">
        <f>IF(Tabela1[[#This Row],[STATUS_NEGOCIO]]="Enviar E-mail",1,"")</f>
        <v/>
      </c>
      <c r="U664" t="str">
        <f>TEXT(Tabela1[[#This Row],[DATA]],"dd/mm/aaaa")</f>
        <v>22/04/2026</v>
      </c>
    </row>
    <row r="665" spans="1:21" x14ac:dyDescent="0.25">
      <c r="A665" s="4">
        <v>46134.5862037037</v>
      </c>
      <c r="B665" s="5" t="s">
        <v>19</v>
      </c>
      <c r="C665" s="5" t="s">
        <v>37</v>
      </c>
      <c r="D665" s="5">
        <v>385</v>
      </c>
      <c r="E665" s="6">
        <v>33472846000183</v>
      </c>
      <c r="F665" s="5">
        <v>385</v>
      </c>
      <c r="G665" s="7">
        <v>177687744845171</v>
      </c>
      <c r="H665" s="5" t="s">
        <v>527</v>
      </c>
      <c r="I665" s="5" t="s">
        <v>52</v>
      </c>
      <c r="J665" s="5" t="s">
        <v>22</v>
      </c>
      <c r="K665" s="5" t="s">
        <v>36</v>
      </c>
      <c r="L665" s="5" t="s">
        <v>36</v>
      </c>
      <c r="M665" s="5" t="s">
        <v>284</v>
      </c>
      <c r="N665" s="5" t="s">
        <v>53</v>
      </c>
      <c r="O665" s="5">
        <v>19</v>
      </c>
      <c r="P665" s="5"/>
      <c r="Q665" s="5"/>
      <c r="R665" s="8">
        <v>0</v>
      </c>
      <c r="S665" s="5" t="s">
        <v>37</v>
      </c>
      <c r="T665" t="str">
        <f>IF(Tabela1[[#This Row],[STATUS_NEGOCIO]]="Enviar E-mail",1,"")</f>
        <v/>
      </c>
      <c r="U665" t="str">
        <f>TEXT(Tabela1[[#This Row],[DATA]],"dd/mm/aaaa")</f>
        <v>22/04/2026</v>
      </c>
    </row>
    <row r="666" spans="1:21" x14ac:dyDescent="0.25">
      <c r="A666" s="4">
        <v>46134.586759259262</v>
      </c>
      <c r="B666" s="5" t="s">
        <v>19</v>
      </c>
      <c r="C666" s="5" t="s">
        <v>37</v>
      </c>
      <c r="D666" s="5">
        <v>386</v>
      </c>
      <c r="E666" s="6">
        <v>33524117000123</v>
      </c>
      <c r="F666" s="5">
        <v>386</v>
      </c>
      <c r="G666" s="7">
        <v>177687749645331</v>
      </c>
      <c r="H666" s="5" t="s">
        <v>168</v>
      </c>
      <c r="I666" s="5">
        <v>3003</v>
      </c>
      <c r="J666" s="5" t="s">
        <v>22</v>
      </c>
      <c r="K666" s="5" t="s">
        <v>23</v>
      </c>
      <c r="L666" s="5" t="s">
        <v>31</v>
      </c>
      <c r="M666" s="5" t="s">
        <v>284</v>
      </c>
      <c r="N666" s="5" t="s">
        <v>53</v>
      </c>
      <c r="O666" s="5">
        <v>128</v>
      </c>
      <c r="P666" s="5"/>
      <c r="Q666" s="5"/>
      <c r="R666" s="8">
        <v>8.1018518518518516E-5</v>
      </c>
      <c r="S666" s="5" t="s">
        <v>37</v>
      </c>
      <c r="T666" t="str">
        <f>IF(Tabela1[[#This Row],[STATUS_NEGOCIO]]="Enviar E-mail",1,"")</f>
        <v/>
      </c>
      <c r="U666" t="str">
        <f>TEXT(Tabela1[[#This Row],[DATA]],"dd/mm/aaaa")</f>
        <v>22/04/2026</v>
      </c>
    </row>
    <row r="667" spans="1:21" x14ac:dyDescent="0.25">
      <c r="A667" s="4">
        <v>46134.587256944447</v>
      </c>
      <c r="B667" s="5" t="s">
        <v>19</v>
      </c>
      <c r="C667" s="5" t="s">
        <v>37</v>
      </c>
      <c r="D667" s="5">
        <v>387</v>
      </c>
      <c r="E667" s="6">
        <v>33524950000174</v>
      </c>
      <c r="F667" s="5">
        <v>387</v>
      </c>
      <c r="G667" s="7">
        <v>177687753945351</v>
      </c>
      <c r="H667" s="5" t="s">
        <v>104</v>
      </c>
      <c r="I667" s="5">
        <v>3003</v>
      </c>
      <c r="J667" s="5" t="s">
        <v>22</v>
      </c>
      <c r="K667" s="5" t="s">
        <v>23</v>
      </c>
      <c r="L667" s="5" t="s">
        <v>31</v>
      </c>
      <c r="M667" s="5" t="s">
        <v>284</v>
      </c>
      <c r="N667" s="5" t="s">
        <v>53</v>
      </c>
      <c r="O667" s="5">
        <v>128</v>
      </c>
      <c r="P667" s="5"/>
      <c r="Q667" s="5"/>
      <c r="R667" s="8">
        <v>8.1018518518518516E-5</v>
      </c>
      <c r="S667" s="5" t="s">
        <v>37</v>
      </c>
      <c r="T667" t="str">
        <f>IF(Tabela1[[#This Row],[STATUS_NEGOCIO]]="Enviar E-mail",1,"")</f>
        <v/>
      </c>
      <c r="U667" t="str">
        <f>TEXT(Tabela1[[#This Row],[DATA]],"dd/mm/aaaa")</f>
        <v>22/04/2026</v>
      </c>
    </row>
    <row r="668" spans="1:21" x14ac:dyDescent="0.25">
      <c r="A668" s="4">
        <v>46134.587418981479</v>
      </c>
      <c r="B668" s="5" t="s">
        <v>19</v>
      </c>
      <c r="C668" s="5" t="s">
        <v>37</v>
      </c>
      <c r="D668" s="5">
        <v>388</v>
      </c>
      <c r="E668" s="6">
        <v>33833660000102</v>
      </c>
      <c r="F668" s="5">
        <v>388</v>
      </c>
      <c r="G668" s="7">
        <v>177687755345371</v>
      </c>
      <c r="H668" s="5" t="s">
        <v>155</v>
      </c>
      <c r="I668" s="5">
        <v>3003</v>
      </c>
      <c r="J668" s="5" t="s">
        <v>22</v>
      </c>
      <c r="K668" s="5" t="s">
        <v>23</v>
      </c>
      <c r="L668" s="5" t="s">
        <v>31</v>
      </c>
      <c r="M668" s="5" t="s">
        <v>284</v>
      </c>
      <c r="N668" s="5" t="s">
        <v>53</v>
      </c>
      <c r="O668" s="5">
        <v>147</v>
      </c>
      <c r="P668" s="5"/>
      <c r="Q668" s="5"/>
      <c r="R668" s="8">
        <v>8.1018518518518516E-5</v>
      </c>
      <c r="S668" s="5" t="s">
        <v>37</v>
      </c>
      <c r="T668" t="str">
        <f>IF(Tabela1[[#This Row],[STATUS_NEGOCIO]]="Enviar E-mail",1,"")</f>
        <v/>
      </c>
      <c r="U668" t="str">
        <f>TEXT(Tabela1[[#This Row],[DATA]],"dd/mm/aaaa")</f>
        <v>22/04/2026</v>
      </c>
    </row>
    <row r="669" spans="1:21" x14ac:dyDescent="0.25">
      <c r="A669" s="4">
        <v>46134.587546296294</v>
      </c>
      <c r="B669" s="5" t="s">
        <v>19</v>
      </c>
      <c r="C669" s="5" t="s">
        <v>37</v>
      </c>
      <c r="D669" s="5">
        <v>389</v>
      </c>
      <c r="E669" s="6">
        <v>33863778000183</v>
      </c>
      <c r="F669" s="5">
        <v>389</v>
      </c>
      <c r="G669" s="7">
        <v>177687756445391</v>
      </c>
      <c r="H669" s="5" t="s">
        <v>528</v>
      </c>
      <c r="I669" s="5" t="s">
        <v>52</v>
      </c>
      <c r="J669" s="5" t="s">
        <v>22</v>
      </c>
      <c r="K669" s="5" t="s">
        <v>36</v>
      </c>
      <c r="L669" s="5" t="s">
        <v>36</v>
      </c>
      <c r="M669" s="5" t="s">
        <v>284</v>
      </c>
      <c r="N669" s="5" t="s">
        <v>53</v>
      </c>
      <c r="O669" s="5">
        <v>19</v>
      </c>
      <c r="P669" s="5"/>
      <c r="Q669" s="5"/>
      <c r="R669" s="8">
        <v>0</v>
      </c>
      <c r="S669" s="5" t="s">
        <v>37</v>
      </c>
      <c r="T669" t="str">
        <f>IF(Tabela1[[#This Row],[STATUS_NEGOCIO]]="Enviar E-mail",1,"")</f>
        <v/>
      </c>
      <c r="U669" t="str">
        <f>TEXT(Tabela1[[#This Row],[DATA]],"dd/mm/aaaa")</f>
        <v>22/04/2026</v>
      </c>
    </row>
    <row r="670" spans="1:21" x14ac:dyDescent="0.25">
      <c r="A670" s="4">
        <v>46134.588113425925</v>
      </c>
      <c r="B670" s="5" t="s">
        <v>19</v>
      </c>
      <c r="C670" s="5" t="s">
        <v>37</v>
      </c>
      <c r="D670" s="5">
        <v>390</v>
      </c>
      <c r="E670" s="6">
        <v>33880863000150</v>
      </c>
      <c r="F670" s="5">
        <v>390</v>
      </c>
      <c r="G670" s="7">
        <v>177687761345451</v>
      </c>
      <c r="H670" s="5" t="s">
        <v>153</v>
      </c>
      <c r="I670" s="5">
        <v>3003</v>
      </c>
      <c r="J670" s="5" t="s">
        <v>22</v>
      </c>
      <c r="K670" s="5" t="s">
        <v>23</v>
      </c>
      <c r="L670" s="5" t="s">
        <v>31</v>
      </c>
      <c r="M670" s="5" t="s">
        <v>284</v>
      </c>
      <c r="N670" s="5" t="s">
        <v>53</v>
      </c>
      <c r="O670" s="5">
        <v>128</v>
      </c>
      <c r="P670" s="5"/>
      <c r="Q670" s="5"/>
      <c r="R670" s="8">
        <v>8.1018518518518516E-5</v>
      </c>
      <c r="S670" s="5" t="s">
        <v>37</v>
      </c>
      <c r="T670" t="str">
        <f>IF(Tabela1[[#This Row],[STATUS_NEGOCIO]]="Enviar E-mail",1,"")</f>
        <v/>
      </c>
      <c r="U670" t="str">
        <f>TEXT(Tabela1[[#This Row],[DATA]],"dd/mm/aaaa")</f>
        <v>22/04/2026</v>
      </c>
    </row>
    <row r="671" spans="1:21" x14ac:dyDescent="0.25">
      <c r="A671" s="4">
        <v>46134.588391203702</v>
      </c>
      <c r="B671" s="5" t="s">
        <v>19</v>
      </c>
      <c r="C671" s="5" t="s">
        <v>37</v>
      </c>
      <c r="D671" s="5">
        <v>391</v>
      </c>
      <c r="E671" s="6">
        <v>33889341000119</v>
      </c>
      <c r="F671" s="5">
        <v>391</v>
      </c>
      <c r="G671" s="7">
        <v>177687763745461</v>
      </c>
      <c r="H671" s="5" t="s">
        <v>200</v>
      </c>
      <c r="I671" s="5">
        <v>3003</v>
      </c>
      <c r="J671" s="5" t="s">
        <v>22</v>
      </c>
      <c r="K671" s="5" t="s">
        <v>23</v>
      </c>
      <c r="L671" s="5" t="s">
        <v>31</v>
      </c>
      <c r="M671" s="5" t="s">
        <v>284</v>
      </c>
      <c r="N671" s="5" t="s">
        <v>53</v>
      </c>
      <c r="O671" s="5">
        <v>128</v>
      </c>
      <c r="P671" s="5"/>
      <c r="Q671" s="5"/>
      <c r="R671" s="8">
        <v>8.1018518518518516E-5</v>
      </c>
      <c r="S671" s="5" t="s">
        <v>37</v>
      </c>
      <c r="T671" t="str">
        <f>IF(Tabela1[[#This Row],[STATUS_NEGOCIO]]="Enviar E-mail",1,"")</f>
        <v/>
      </c>
      <c r="U671" t="str">
        <f>TEXT(Tabela1[[#This Row],[DATA]],"dd/mm/aaaa")</f>
        <v>22/04/2026</v>
      </c>
    </row>
    <row r="672" spans="1:21" x14ac:dyDescent="0.25">
      <c r="A672" s="4">
        <v>46134.588854166665</v>
      </c>
      <c r="B672" s="5" t="s">
        <v>19</v>
      </c>
      <c r="C672" s="5" t="s">
        <v>37</v>
      </c>
      <c r="D672" s="5">
        <v>392</v>
      </c>
      <c r="E672" s="6">
        <v>33979964000182</v>
      </c>
      <c r="F672" s="5">
        <v>392</v>
      </c>
      <c r="G672" s="7">
        <v>177687767745541</v>
      </c>
      <c r="H672" s="5" t="s">
        <v>529</v>
      </c>
      <c r="I672" s="5">
        <v>3003</v>
      </c>
      <c r="J672" s="5" t="s">
        <v>22</v>
      </c>
      <c r="K672" s="5" t="s">
        <v>23</v>
      </c>
      <c r="L672" s="5" t="s">
        <v>31</v>
      </c>
      <c r="M672" s="5" t="s">
        <v>284</v>
      </c>
      <c r="N672" s="5" t="s">
        <v>53</v>
      </c>
      <c r="O672" s="5">
        <v>128</v>
      </c>
      <c r="P672" s="5"/>
      <c r="Q672" s="5"/>
      <c r="R672" s="8">
        <v>8.1018518518518516E-5</v>
      </c>
      <c r="S672" s="5" t="s">
        <v>37</v>
      </c>
      <c r="T672" t="str">
        <f>IF(Tabela1[[#This Row],[STATUS_NEGOCIO]]="Enviar E-mail",1,"")</f>
        <v/>
      </c>
      <c r="U672" t="str">
        <f>TEXT(Tabela1[[#This Row],[DATA]],"dd/mm/aaaa")</f>
        <v>22/04/2026</v>
      </c>
    </row>
    <row r="673" spans="1:21" x14ac:dyDescent="0.25">
      <c r="A673" s="4">
        <v>46134.589016203703</v>
      </c>
      <c r="B673" s="5" t="s">
        <v>19</v>
      </c>
      <c r="C673" s="5" t="s">
        <v>37</v>
      </c>
      <c r="D673" s="5">
        <v>393</v>
      </c>
      <c r="E673" s="6">
        <v>34005108000199</v>
      </c>
      <c r="F673" s="5">
        <v>393</v>
      </c>
      <c r="G673" s="7">
        <v>177687769145561</v>
      </c>
      <c r="H673" s="5" t="s">
        <v>530</v>
      </c>
      <c r="I673" s="5">
        <v>3003</v>
      </c>
      <c r="J673" s="5" t="s">
        <v>22</v>
      </c>
      <c r="K673" s="5" t="s">
        <v>23</v>
      </c>
      <c r="L673" s="5" t="s">
        <v>31</v>
      </c>
      <c r="M673" s="5" t="s">
        <v>284</v>
      </c>
      <c r="N673" s="5" t="s">
        <v>53</v>
      </c>
      <c r="O673" s="5">
        <v>128</v>
      </c>
      <c r="P673" s="5"/>
      <c r="Q673" s="5"/>
      <c r="R673" s="8">
        <v>8.1018518518518516E-5</v>
      </c>
      <c r="S673" s="5" t="s">
        <v>37</v>
      </c>
      <c r="T673" t="str">
        <f>IF(Tabela1[[#This Row],[STATUS_NEGOCIO]]="Enviar E-mail",1,"")</f>
        <v/>
      </c>
      <c r="U673" t="str">
        <f>TEXT(Tabela1[[#This Row],[DATA]],"dd/mm/aaaa")</f>
        <v>22/04/2026</v>
      </c>
    </row>
    <row r="674" spans="1:21" x14ac:dyDescent="0.25">
      <c r="A674" s="4">
        <v>46134.589166666665</v>
      </c>
      <c r="B674" s="5" t="s">
        <v>19</v>
      </c>
      <c r="C674" s="5" t="s">
        <v>37</v>
      </c>
      <c r="D674" s="5">
        <v>394</v>
      </c>
      <c r="E674" s="6">
        <v>34050567000194</v>
      </c>
      <c r="F674" s="5">
        <v>394</v>
      </c>
      <c r="G674" s="7">
        <v>177687770445681</v>
      </c>
      <c r="H674" s="5" t="s">
        <v>531</v>
      </c>
      <c r="I674" s="5">
        <v>3003</v>
      </c>
      <c r="J674" s="5" t="s">
        <v>22</v>
      </c>
      <c r="K674" s="5" t="s">
        <v>23</v>
      </c>
      <c r="L674" s="5" t="s">
        <v>31</v>
      </c>
      <c r="M674" s="5" t="s">
        <v>284</v>
      </c>
      <c r="N674" s="5" t="s">
        <v>53</v>
      </c>
      <c r="O674" s="5">
        <v>128</v>
      </c>
      <c r="P674" s="5"/>
      <c r="Q674" s="5"/>
      <c r="R674" s="8">
        <v>8.1018518518518516E-5</v>
      </c>
      <c r="S674" s="5" t="s">
        <v>37</v>
      </c>
      <c r="T674" t="str">
        <f>IF(Tabela1[[#This Row],[STATUS_NEGOCIO]]="Enviar E-mail",1,"")</f>
        <v/>
      </c>
      <c r="U674" t="str">
        <f>TEXT(Tabela1[[#This Row],[DATA]],"dd/mm/aaaa")</f>
        <v>22/04/2026</v>
      </c>
    </row>
    <row r="675" spans="1:21" x14ac:dyDescent="0.25">
      <c r="A675" s="4">
        <v>46134.589282407411</v>
      </c>
      <c r="B675" s="5" t="s">
        <v>19</v>
      </c>
      <c r="C675" s="5" t="s">
        <v>37</v>
      </c>
      <c r="D675" s="5">
        <v>395</v>
      </c>
      <c r="E675" s="6">
        <v>34058701000101</v>
      </c>
      <c r="F675" s="5">
        <v>395</v>
      </c>
      <c r="G675" s="7">
        <v>177687771445701</v>
      </c>
      <c r="H675" s="5" t="s">
        <v>532</v>
      </c>
      <c r="I675" s="5">
        <v>3003</v>
      </c>
      <c r="J675" s="5" t="s">
        <v>22</v>
      </c>
      <c r="K675" s="5" t="s">
        <v>23</v>
      </c>
      <c r="L675" s="5" t="s">
        <v>31</v>
      </c>
      <c r="M675" s="5" t="s">
        <v>284</v>
      </c>
      <c r="N675" s="5" t="s">
        <v>53</v>
      </c>
      <c r="O675" s="5">
        <v>128</v>
      </c>
      <c r="P675" s="5"/>
      <c r="Q675" s="5"/>
      <c r="R675" s="8">
        <v>8.1018518518518516E-5</v>
      </c>
      <c r="S675" s="5" t="s">
        <v>37</v>
      </c>
      <c r="T675" t="str">
        <f>IF(Tabela1[[#This Row],[STATUS_NEGOCIO]]="Enviar E-mail",1,"")</f>
        <v/>
      </c>
      <c r="U675" t="str">
        <f>TEXT(Tabela1[[#This Row],[DATA]],"dd/mm/aaaa")</f>
        <v>22/04/2026</v>
      </c>
    </row>
    <row r="676" spans="1:21" x14ac:dyDescent="0.25">
      <c r="A676" s="4">
        <v>46134.589467592596</v>
      </c>
      <c r="B676" s="5" t="s">
        <v>19</v>
      </c>
      <c r="C676" s="5" t="s">
        <v>37</v>
      </c>
      <c r="D676" s="5">
        <v>396</v>
      </c>
      <c r="E676" s="6">
        <v>34413663000150</v>
      </c>
      <c r="F676" s="5">
        <v>396</v>
      </c>
      <c r="G676" s="7">
        <v>177687773045841</v>
      </c>
      <c r="H676" s="5" t="s">
        <v>45</v>
      </c>
      <c r="I676" s="5">
        <v>3003</v>
      </c>
      <c r="J676" s="5" t="s">
        <v>22</v>
      </c>
      <c r="K676" s="5" t="s">
        <v>23</v>
      </c>
      <c r="L676" s="5" t="s">
        <v>31</v>
      </c>
      <c r="M676" s="5" t="s">
        <v>284</v>
      </c>
      <c r="N676" s="5" t="s">
        <v>53</v>
      </c>
      <c r="O676" s="5">
        <v>128</v>
      </c>
      <c r="P676" s="5"/>
      <c r="Q676" s="5"/>
      <c r="R676" s="8">
        <v>8.1018518518518516E-5</v>
      </c>
      <c r="S676" s="5" t="s">
        <v>37</v>
      </c>
      <c r="T676" t="str">
        <f>IF(Tabela1[[#This Row],[STATUS_NEGOCIO]]="Enviar E-mail",1,"")</f>
        <v/>
      </c>
      <c r="U676" t="str">
        <f>TEXT(Tabela1[[#This Row],[DATA]],"dd/mm/aaaa")</f>
        <v>22/04/2026</v>
      </c>
    </row>
    <row r="677" spans="1:21" x14ac:dyDescent="0.25">
      <c r="A677" s="4">
        <v>46134.589780092596</v>
      </c>
      <c r="B677" s="5" t="s">
        <v>19</v>
      </c>
      <c r="C677" s="5" t="s">
        <v>37</v>
      </c>
      <c r="D677" s="5">
        <v>397</v>
      </c>
      <c r="E677" s="6">
        <v>34484975000154</v>
      </c>
      <c r="F677" s="5">
        <v>397</v>
      </c>
      <c r="G677" s="7">
        <v>177687775745911</v>
      </c>
      <c r="H677" s="5" t="s">
        <v>173</v>
      </c>
      <c r="I677" s="5">
        <v>3003</v>
      </c>
      <c r="J677" s="5" t="s">
        <v>22</v>
      </c>
      <c r="K677" s="5" t="s">
        <v>23</v>
      </c>
      <c r="L677" s="5" t="s">
        <v>31</v>
      </c>
      <c r="M677" s="5" t="s">
        <v>284</v>
      </c>
      <c r="N677" s="5" t="s">
        <v>53</v>
      </c>
      <c r="O677" s="5">
        <v>128</v>
      </c>
      <c r="P677" s="5"/>
      <c r="Q677" s="5"/>
      <c r="R677" s="8">
        <v>8.1018518518518516E-5</v>
      </c>
      <c r="S677" s="5" t="s">
        <v>37</v>
      </c>
      <c r="T677" t="str">
        <f>IF(Tabela1[[#This Row],[STATUS_NEGOCIO]]="Enviar E-mail",1,"")</f>
        <v/>
      </c>
      <c r="U677" t="str">
        <f>TEXT(Tabela1[[#This Row],[DATA]],"dd/mm/aaaa")</f>
        <v>22/04/2026</v>
      </c>
    </row>
    <row r="678" spans="1:21" x14ac:dyDescent="0.25">
      <c r="A678" s="4">
        <v>46134.589907407404</v>
      </c>
      <c r="B678" s="5" t="s">
        <v>19</v>
      </c>
      <c r="C678" s="5" t="s">
        <v>37</v>
      </c>
      <c r="D678" s="5">
        <v>398</v>
      </c>
      <c r="E678" s="6">
        <v>34851161000100</v>
      </c>
      <c r="F678" s="5">
        <v>398</v>
      </c>
      <c r="G678" s="7">
        <v>177687776845941</v>
      </c>
      <c r="H678" s="5" t="s">
        <v>533</v>
      </c>
      <c r="I678" s="5">
        <v>3003</v>
      </c>
      <c r="J678" s="5" t="s">
        <v>22</v>
      </c>
      <c r="K678" s="5" t="s">
        <v>23</v>
      </c>
      <c r="L678" s="5" t="s">
        <v>31</v>
      </c>
      <c r="M678" s="5" t="s">
        <v>284</v>
      </c>
      <c r="N678" s="5" t="s">
        <v>53</v>
      </c>
      <c r="O678" s="5">
        <v>128</v>
      </c>
      <c r="P678" s="5"/>
      <c r="Q678" s="5"/>
      <c r="R678" s="8">
        <v>8.1018518518518516E-5</v>
      </c>
      <c r="S678" s="5" t="s">
        <v>37</v>
      </c>
      <c r="T678" t="str">
        <f>IF(Tabela1[[#This Row],[STATUS_NEGOCIO]]="Enviar E-mail",1,"")</f>
        <v/>
      </c>
      <c r="U678" t="str">
        <f>TEXT(Tabela1[[#This Row],[DATA]],"dd/mm/aaaa")</f>
        <v>22/04/2026</v>
      </c>
    </row>
    <row r="679" spans="1:21" x14ac:dyDescent="0.25">
      <c r="A679" s="4">
        <v>46134.590150462966</v>
      </c>
      <c r="B679" s="5" t="s">
        <v>19</v>
      </c>
      <c r="C679" s="5" t="s">
        <v>37</v>
      </c>
      <c r="D679" s="5">
        <v>399</v>
      </c>
      <c r="E679" s="6">
        <v>34978275000116</v>
      </c>
      <c r="F679" s="5">
        <v>399</v>
      </c>
      <c r="G679" s="7">
        <v>177687778945971</v>
      </c>
      <c r="H679" s="5" t="s">
        <v>77</v>
      </c>
      <c r="I679" s="5">
        <v>3003</v>
      </c>
      <c r="J679" s="5" t="s">
        <v>22</v>
      </c>
      <c r="K679" s="5" t="s">
        <v>23</v>
      </c>
      <c r="L679" s="5" t="s">
        <v>31</v>
      </c>
      <c r="M679" s="5" t="s">
        <v>284</v>
      </c>
      <c r="N679" s="5" t="s">
        <v>53</v>
      </c>
      <c r="O679" s="5">
        <v>128</v>
      </c>
      <c r="P679" s="5"/>
      <c r="Q679" s="5"/>
      <c r="R679" s="8">
        <v>8.1018518518518516E-5</v>
      </c>
      <c r="S679" s="5" t="s">
        <v>37</v>
      </c>
      <c r="T679" t="str">
        <f>IF(Tabela1[[#This Row],[STATUS_NEGOCIO]]="Enviar E-mail",1,"")</f>
        <v/>
      </c>
      <c r="U679" t="str">
        <f>TEXT(Tabela1[[#This Row],[DATA]],"dd/mm/aaaa")</f>
        <v>22/04/2026</v>
      </c>
    </row>
    <row r="680" spans="1:21" x14ac:dyDescent="0.25">
      <c r="A680" s="4">
        <v>46134.590451388889</v>
      </c>
      <c r="B680" s="5" t="s">
        <v>19</v>
      </c>
      <c r="C680" s="5" t="s">
        <v>37</v>
      </c>
      <c r="D680" s="5">
        <v>400</v>
      </c>
      <c r="E680" s="6">
        <v>35055430000195</v>
      </c>
      <c r="F680" s="5">
        <v>400</v>
      </c>
      <c r="G680" s="7">
        <v>177687781546051</v>
      </c>
      <c r="H680" s="5" t="s">
        <v>534</v>
      </c>
      <c r="I680" s="5">
        <v>3003</v>
      </c>
      <c r="J680" s="5" t="s">
        <v>22</v>
      </c>
      <c r="K680" s="5" t="s">
        <v>23</v>
      </c>
      <c r="L680" s="5" t="s">
        <v>31</v>
      </c>
      <c r="M680" s="5" t="s">
        <v>284</v>
      </c>
      <c r="N680" s="5" t="s">
        <v>53</v>
      </c>
      <c r="O680" s="5">
        <v>128</v>
      </c>
      <c r="P680" s="5"/>
      <c r="Q680" s="5"/>
      <c r="R680" s="8">
        <v>8.1018518518518516E-5</v>
      </c>
      <c r="S680" s="5" t="s">
        <v>37</v>
      </c>
      <c r="T680" t="str">
        <f>IF(Tabela1[[#This Row],[STATUS_NEGOCIO]]="Enviar E-mail",1,"")</f>
        <v/>
      </c>
      <c r="U680" t="str">
        <f>TEXT(Tabela1[[#This Row],[DATA]],"dd/mm/aaaa")</f>
        <v>22/04/2026</v>
      </c>
    </row>
    <row r="681" spans="1:21" x14ac:dyDescent="0.25">
      <c r="A681" s="4">
        <v>46134.590983796297</v>
      </c>
      <c r="B681" s="5" t="s">
        <v>19</v>
      </c>
      <c r="C681" s="5" t="s">
        <v>20</v>
      </c>
      <c r="D681" s="5">
        <v>401</v>
      </c>
      <c r="E681" s="6">
        <v>35152881000140</v>
      </c>
      <c r="F681" s="5">
        <v>401</v>
      </c>
      <c r="G681" s="7">
        <v>177687786146321</v>
      </c>
      <c r="H681" s="5" t="s">
        <v>120</v>
      </c>
      <c r="I681" s="5">
        <v>3003</v>
      </c>
      <c r="J681" s="5" t="s">
        <v>22</v>
      </c>
      <c r="K681" s="5" t="s">
        <v>23</v>
      </c>
      <c r="L681" s="5" t="s">
        <v>95</v>
      </c>
      <c r="M681" s="5" t="s">
        <v>284</v>
      </c>
      <c r="N681" s="5" t="s">
        <v>26</v>
      </c>
      <c r="O681" s="5">
        <v>16</v>
      </c>
      <c r="P681" s="5"/>
      <c r="Q681" s="5"/>
      <c r="R681" s="8">
        <v>3.9351851851851852E-4</v>
      </c>
      <c r="S681" s="8">
        <v>3.4722222222222224E-4</v>
      </c>
      <c r="T681" t="str">
        <f>IF(Tabela1[[#This Row],[STATUS_NEGOCIO]]="Enviar E-mail",1,"")</f>
        <v/>
      </c>
      <c r="U681" t="str">
        <f>TEXT(Tabela1[[#This Row],[DATA]],"dd/mm/aaaa")</f>
        <v>22/04/2026</v>
      </c>
    </row>
    <row r="682" spans="1:21" x14ac:dyDescent="0.25">
      <c r="A682" s="4">
        <v>46134.591435185182</v>
      </c>
      <c r="B682" s="5" t="s">
        <v>19</v>
      </c>
      <c r="C682" s="5" t="s">
        <v>37</v>
      </c>
      <c r="D682" s="5">
        <v>402</v>
      </c>
      <c r="E682" s="6">
        <v>35700816000102</v>
      </c>
      <c r="F682" s="5">
        <v>402</v>
      </c>
      <c r="G682" s="7">
        <v>177687790046551</v>
      </c>
      <c r="H682" s="5" t="s">
        <v>535</v>
      </c>
      <c r="I682" s="5" t="s">
        <v>52</v>
      </c>
      <c r="J682" s="5" t="s">
        <v>22</v>
      </c>
      <c r="K682" s="5" t="s">
        <v>36</v>
      </c>
      <c r="L682" s="5" t="s">
        <v>36</v>
      </c>
      <c r="M682" s="5" t="s">
        <v>284</v>
      </c>
      <c r="N682" s="5" t="s">
        <v>53</v>
      </c>
      <c r="O682" s="5">
        <v>19</v>
      </c>
      <c r="P682" s="5"/>
      <c r="Q682" s="5"/>
      <c r="R682" s="8">
        <v>0</v>
      </c>
      <c r="S682" s="5" t="s">
        <v>37</v>
      </c>
      <c r="T682" t="str">
        <f>IF(Tabela1[[#This Row],[STATUS_NEGOCIO]]="Enviar E-mail",1,"")</f>
        <v/>
      </c>
      <c r="U682" t="str">
        <f>TEXT(Tabela1[[#This Row],[DATA]],"dd/mm/aaaa")</f>
        <v>22/04/2026</v>
      </c>
    </row>
    <row r="683" spans="1:21" x14ac:dyDescent="0.25">
      <c r="A683" s="4">
        <v>46134.592002314814</v>
      </c>
      <c r="B683" s="5" t="s">
        <v>19</v>
      </c>
      <c r="C683" s="5" t="s">
        <v>37</v>
      </c>
      <c r="D683" s="5">
        <v>403</v>
      </c>
      <c r="E683" s="6">
        <v>35765734000146</v>
      </c>
      <c r="F683" s="5">
        <v>403</v>
      </c>
      <c r="G683" s="7">
        <v>177687794946731</v>
      </c>
      <c r="H683" s="5" t="s">
        <v>536</v>
      </c>
      <c r="I683" s="5">
        <v>3003</v>
      </c>
      <c r="J683" s="5" t="s">
        <v>22</v>
      </c>
      <c r="K683" s="5" t="s">
        <v>23</v>
      </c>
      <c r="L683" s="5" t="s">
        <v>31</v>
      </c>
      <c r="M683" s="5" t="s">
        <v>284</v>
      </c>
      <c r="N683" s="5" t="s">
        <v>53</v>
      </c>
      <c r="O683" s="5">
        <v>128</v>
      </c>
      <c r="P683" s="5"/>
      <c r="Q683" s="5"/>
      <c r="R683" s="8">
        <v>8.1018518518518516E-5</v>
      </c>
      <c r="S683" s="5" t="s">
        <v>37</v>
      </c>
      <c r="T683" t="str">
        <f>IF(Tabela1[[#This Row],[STATUS_NEGOCIO]]="Enviar E-mail",1,"")</f>
        <v/>
      </c>
      <c r="U683" t="str">
        <f>TEXT(Tabela1[[#This Row],[DATA]],"dd/mm/aaaa")</f>
        <v>22/04/2026</v>
      </c>
    </row>
    <row r="684" spans="1:21" x14ac:dyDescent="0.25">
      <c r="A684" s="4">
        <v>46134.592106481483</v>
      </c>
      <c r="B684" s="5" t="s">
        <v>19</v>
      </c>
      <c r="C684" s="5" t="s">
        <v>37</v>
      </c>
      <c r="D684" s="5">
        <v>404</v>
      </c>
      <c r="E684" s="6">
        <v>35872118000194</v>
      </c>
      <c r="F684" s="5">
        <v>404</v>
      </c>
      <c r="G684" s="7">
        <v>177687795846811</v>
      </c>
      <c r="H684" s="5" t="s">
        <v>537</v>
      </c>
      <c r="I684" s="5">
        <v>3003</v>
      </c>
      <c r="J684" s="5" t="s">
        <v>22</v>
      </c>
      <c r="K684" s="5" t="s">
        <v>23</v>
      </c>
      <c r="L684" s="5" t="s">
        <v>31</v>
      </c>
      <c r="M684" s="5" t="s">
        <v>284</v>
      </c>
      <c r="N684" s="5" t="s">
        <v>53</v>
      </c>
      <c r="O684" s="5">
        <v>128</v>
      </c>
      <c r="P684" s="5"/>
      <c r="Q684" s="5"/>
      <c r="R684" s="8">
        <v>8.1018518518518516E-5</v>
      </c>
      <c r="S684" s="5" t="s">
        <v>37</v>
      </c>
      <c r="T684" t="str">
        <f>IF(Tabela1[[#This Row],[STATUS_NEGOCIO]]="Enviar E-mail",1,"")</f>
        <v/>
      </c>
      <c r="U684" t="str">
        <f>TEXT(Tabela1[[#This Row],[DATA]],"dd/mm/aaaa")</f>
        <v>22/04/2026</v>
      </c>
    </row>
    <row r="685" spans="1:21" x14ac:dyDescent="0.25">
      <c r="A685" s="4">
        <v>46134.592233796298</v>
      </c>
      <c r="B685" s="5" t="s">
        <v>19</v>
      </c>
      <c r="C685" s="5" t="s">
        <v>37</v>
      </c>
      <c r="D685" s="5">
        <v>405</v>
      </c>
      <c r="E685" s="6">
        <v>35981385000108</v>
      </c>
      <c r="F685" s="5">
        <v>405</v>
      </c>
      <c r="G685" s="7">
        <v>177687796946901</v>
      </c>
      <c r="H685" s="5" t="s">
        <v>76</v>
      </c>
      <c r="I685" s="5">
        <v>3003</v>
      </c>
      <c r="J685" s="5" t="s">
        <v>22</v>
      </c>
      <c r="K685" s="5" t="s">
        <v>23</v>
      </c>
      <c r="L685" s="5" t="s">
        <v>31</v>
      </c>
      <c r="M685" s="5" t="s">
        <v>284</v>
      </c>
      <c r="N685" s="5" t="s">
        <v>53</v>
      </c>
      <c r="O685" s="5">
        <v>128</v>
      </c>
      <c r="P685" s="5"/>
      <c r="Q685" s="5"/>
      <c r="R685" s="8">
        <v>8.1018518518518516E-5</v>
      </c>
      <c r="S685" s="5" t="s">
        <v>37</v>
      </c>
      <c r="T685" t="str">
        <f>IF(Tabela1[[#This Row],[STATUS_NEGOCIO]]="Enviar E-mail",1,"")</f>
        <v/>
      </c>
      <c r="U685" t="str">
        <f>TEXT(Tabela1[[#This Row],[DATA]],"dd/mm/aaaa")</f>
        <v>22/04/2026</v>
      </c>
    </row>
    <row r="686" spans="1:21" x14ac:dyDescent="0.25">
      <c r="A686" s="4">
        <v>46134.592569444445</v>
      </c>
      <c r="B686" s="5" t="s">
        <v>19</v>
      </c>
      <c r="C686" s="5" t="s">
        <v>37</v>
      </c>
      <c r="D686" s="5">
        <v>406</v>
      </c>
      <c r="E686" s="6">
        <v>35982209000182</v>
      </c>
      <c r="F686" s="5">
        <v>406</v>
      </c>
      <c r="G686" s="7">
        <v>177687799846951</v>
      </c>
      <c r="H686" s="5" t="s">
        <v>204</v>
      </c>
      <c r="I686" s="5">
        <v>3003</v>
      </c>
      <c r="J686" s="5" t="s">
        <v>22</v>
      </c>
      <c r="K686" s="5" t="s">
        <v>23</v>
      </c>
      <c r="L686" s="5" t="s">
        <v>31</v>
      </c>
      <c r="M686" s="5" t="s">
        <v>284</v>
      </c>
      <c r="N686" s="5" t="s">
        <v>53</v>
      </c>
      <c r="O686" s="5">
        <v>128</v>
      </c>
      <c r="P686" s="5"/>
      <c r="Q686" s="5"/>
      <c r="R686" s="8">
        <v>8.1018518518518516E-5</v>
      </c>
      <c r="S686" s="5" t="s">
        <v>37</v>
      </c>
      <c r="T686" t="str">
        <f>IF(Tabela1[[#This Row],[STATUS_NEGOCIO]]="Enviar E-mail",1,"")</f>
        <v/>
      </c>
      <c r="U686" t="str">
        <f>TEXT(Tabela1[[#This Row],[DATA]],"dd/mm/aaaa")</f>
        <v>22/04/2026</v>
      </c>
    </row>
    <row r="687" spans="1:21" x14ac:dyDescent="0.25">
      <c r="A687" s="4">
        <v>46134.592731481483</v>
      </c>
      <c r="B687" s="5" t="s">
        <v>19</v>
      </c>
      <c r="C687" s="5" t="s">
        <v>27</v>
      </c>
      <c r="D687" s="5">
        <v>407</v>
      </c>
      <c r="E687" s="6">
        <v>36073112000110</v>
      </c>
      <c r="F687" s="5">
        <v>407</v>
      </c>
      <c r="G687" s="7">
        <v>177687801247011</v>
      </c>
      <c r="H687" s="5" t="s">
        <v>538</v>
      </c>
      <c r="I687" s="5">
        <v>3003</v>
      </c>
      <c r="J687" s="5" t="s">
        <v>22</v>
      </c>
      <c r="K687" s="5" t="s">
        <v>23</v>
      </c>
      <c r="L687" s="5" t="s">
        <v>219</v>
      </c>
      <c r="M687" s="5" t="s">
        <v>284</v>
      </c>
      <c r="N687" s="5" t="s">
        <v>26</v>
      </c>
      <c r="O687" s="5">
        <v>16</v>
      </c>
      <c r="P687" s="5"/>
      <c r="Q687" s="5"/>
      <c r="R687" s="8">
        <v>1.7361111111111112E-4</v>
      </c>
      <c r="S687" s="8">
        <v>1.1574074074074075E-4</v>
      </c>
      <c r="T687" t="str">
        <f>IF(Tabela1[[#This Row],[STATUS_NEGOCIO]]="Enviar E-mail",1,"")</f>
        <v/>
      </c>
      <c r="U687" t="str">
        <f>TEXT(Tabela1[[#This Row],[DATA]],"dd/mm/aaaa")</f>
        <v>22/04/2026</v>
      </c>
    </row>
    <row r="688" spans="1:21" x14ac:dyDescent="0.25">
      <c r="A688" s="4">
        <v>46134.592986111114</v>
      </c>
      <c r="B688" s="5" t="s">
        <v>19</v>
      </c>
      <c r="C688" s="5" t="s">
        <v>37</v>
      </c>
      <c r="D688" s="5">
        <v>408</v>
      </c>
      <c r="E688" s="6">
        <v>36085439000101</v>
      </c>
      <c r="F688" s="5">
        <v>408</v>
      </c>
      <c r="G688" s="7">
        <v>177687803447041</v>
      </c>
      <c r="H688" s="5" t="s">
        <v>539</v>
      </c>
      <c r="I688" s="5">
        <v>3003</v>
      </c>
      <c r="J688" s="5" t="s">
        <v>22</v>
      </c>
      <c r="K688" s="5" t="s">
        <v>23</v>
      </c>
      <c r="L688" s="5" t="s">
        <v>31</v>
      </c>
      <c r="M688" s="5" t="s">
        <v>284</v>
      </c>
      <c r="N688" s="5" t="s">
        <v>53</v>
      </c>
      <c r="O688" s="5">
        <v>128</v>
      </c>
      <c r="P688" s="5"/>
      <c r="Q688" s="5"/>
      <c r="R688" s="8">
        <v>3.4722222222222222E-5</v>
      </c>
      <c r="S688" s="5" t="s">
        <v>37</v>
      </c>
      <c r="T688" t="str">
        <f>IF(Tabela1[[#This Row],[STATUS_NEGOCIO]]="Enviar E-mail",1,"")</f>
        <v/>
      </c>
      <c r="U688" t="str">
        <f>TEXT(Tabela1[[#This Row],[DATA]],"dd/mm/aaaa")</f>
        <v>22/04/2026</v>
      </c>
    </row>
    <row r="689" spans="1:21" x14ac:dyDescent="0.25">
      <c r="A689" s="4">
        <v>46134.593148148146</v>
      </c>
      <c r="B689" s="5" t="s">
        <v>19</v>
      </c>
      <c r="C689" s="5" t="s">
        <v>37</v>
      </c>
      <c r="D689" s="5">
        <v>409</v>
      </c>
      <c r="E689" s="6">
        <v>36158632000125</v>
      </c>
      <c r="F689" s="5">
        <v>409</v>
      </c>
      <c r="G689" s="7">
        <v>177687804847061</v>
      </c>
      <c r="H689" s="5" t="s">
        <v>166</v>
      </c>
      <c r="I689" s="5">
        <v>3003</v>
      </c>
      <c r="J689" s="5" t="s">
        <v>22</v>
      </c>
      <c r="K689" s="5" t="s">
        <v>23</v>
      </c>
      <c r="L689" s="5" t="s">
        <v>31</v>
      </c>
      <c r="M689" s="5" t="s">
        <v>284</v>
      </c>
      <c r="N689" s="5" t="s">
        <v>53</v>
      </c>
      <c r="O689" s="5">
        <v>128</v>
      </c>
      <c r="P689" s="5"/>
      <c r="Q689" s="5"/>
      <c r="R689" s="8">
        <v>8.1018518518518516E-5</v>
      </c>
      <c r="S689" s="5" t="s">
        <v>37</v>
      </c>
      <c r="T689" t="str">
        <f>IF(Tabela1[[#This Row],[STATUS_NEGOCIO]]="Enviar E-mail",1,"")</f>
        <v/>
      </c>
      <c r="U689" t="str">
        <f>TEXT(Tabela1[[#This Row],[DATA]],"dd/mm/aaaa")</f>
        <v>22/04/2026</v>
      </c>
    </row>
    <row r="690" spans="1:21" x14ac:dyDescent="0.25">
      <c r="A690" s="4">
        <v>46134.593321759261</v>
      </c>
      <c r="B690" s="5" t="s">
        <v>19</v>
      </c>
      <c r="C690" s="5" t="s">
        <v>37</v>
      </c>
      <c r="D690" s="5">
        <v>410</v>
      </c>
      <c r="E690" s="6">
        <v>36204923000102</v>
      </c>
      <c r="F690" s="5">
        <v>410</v>
      </c>
      <c r="G690" s="7">
        <v>177687806347081</v>
      </c>
      <c r="H690" s="5" t="s">
        <v>540</v>
      </c>
      <c r="I690" s="5">
        <v>3003</v>
      </c>
      <c r="J690" s="5" t="s">
        <v>22</v>
      </c>
      <c r="K690" s="5" t="s">
        <v>23</v>
      </c>
      <c r="L690" s="5" t="s">
        <v>31</v>
      </c>
      <c r="M690" s="5" t="s">
        <v>284</v>
      </c>
      <c r="N690" s="5" t="s">
        <v>53</v>
      </c>
      <c r="O690" s="5">
        <v>128</v>
      </c>
      <c r="P690" s="5"/>
      <c r="Q690" s="5"/>
      <c r="R690" s="8">
        <v>8.1018518518518516E-5</v>
      </c>
      <c r="S690" s="5" t="s">
        <v>37</v>
      </c>
      <c r="T690" t="str">
        <f>IF(Tabela1[[#This Row],[STATUS_NEGOCIO]]="Enviar E-mail",1,"")</f>
        <v/>
      </c>
      <c r="U690" t="str">
        <f>TEXT(Tabela1[[#This Row],[DATA]],"dd/mm/aaaa")</f>
        <v>22/04/2026</v>
      </c>
    </row>
    <row r="691" spans="1:21" x14ac:dyDescent="0.25">
      <c r="A691" s="4">
        <v>46134.593831018516</v>
      </c>
      <c r="B691" s="5" t="s">
        <v>19</v>
      </c>
      <c r="C691" s="5" t="s">
        <v>37</v>
      </c>
      <c r="D691" s="5">
        <v>411</v>
      </c>
      <c r="E691" s="6">
        <v>36264719000187</v>
      </c>
      <c r="F691" s="5">
        <v>411</v>
      </c>
      <c r="G691" s="7">
        <v>177687810747131</v>
      </c>
      <c r="H691" s="5" t="s">
        <v>541</v>
      </c>
      <c r="I691" s="5">
        <v>3003</v>
      </c>
      <c r="J691" s="5" t="s">
        <v>22</v>
      </c>
      <c r="K691" s="5" t="s">
        <v>23</v>
      </c>
      <c r="L691" s="5" t="s">
        <v>31</v>
      </c>
      <c r="M691" s="5" t="s">
        <v>284</v>
      </c>
      <c r="N691" s="5" t="s">
        <v>53</v>
      </c>
      <c r="O691" s="5">
        <v>128</v>
      </c>
      <c r="P691" s="5"/>
      <c r="Q691" s="5"/>
      <c r="R691" s="8">
        <v>8.1018518518518516E-5</v>
      </c>
      <c r="S691" s="5" t="s">
        <v>37</v>
      </c>
      <c r="T691" t="str">
        <f>IF(Tabela1[[#This Row],[STATUS_NEGOCIO]]="Enviar E-mail",1,"")</f>
        <v/>
      </c>
      <c r="U691" t="str">
        <f>TEXT(Tabela1[[#This Row],[DATA]],"dd/mm/aaaa")</f>
        <v>22/04/2026</v>
      </c>
    </row>
    <row r="692" spans="1:21" x14ac:dyDescent="0.25">
      <c r="A692" s="4">
        <v>46134.594340277778</v>
      </c>
      <c r="B692" s="5" t="s">
        <v>19</v>
      </c>
      <c r="C692" s="5" t="s">
        <v>20</v>
      </c>
      <c r="D692" s="5">
        <v>412</v>
      </c>
      <c r="E692" s="6">
        <v>36287621000145</v>
      </c>
      <c r="F692" s="5">
        <v>412</v>
      </c>
      <c r="G692" s="7">
        <v>177687815147411</v>
      </c>
      <c r="H692" s="5" t="s">
        <v>542</v>
      </c>
      <c r="I692" s="5">
        <v>3003</v>
      </c>
      <c r="J692" s="5" t="s">
        <v>22</v>
      </c>
      <c r="K692" s="5" t="s">
        <v>23</v>
      </c>
      <c r="L692" s="5" t="s">
        <v>40</v>
      </c>
      <c r="M692" s="5" t="s">
        <v>284</v>
      </c>
      <c r="N692" s="5" t="s">
        <v>32</v>
      </c>
      <c r="O692" s="5">
        <v>16</v>
      </c>
      <c r="P692" s="5"/>
      <c r="Q692" s="5"/>
      <c r="R692" s="8">
        <v>2.5694444444444445E-3</v>
      </c>
      <c r="S692" s="8">
        <v>2.5115740740740741E-3</v>
      </c>
      <c r="T692">
        <f>IF(Tabela1[[#This Row],[STATUS_NEGOCIO]]="Enviar E-mail",1,"")</f>
        <v>1</v>
      </c>
      <c r="U692" t="str">
        <f>TEXT(Tabela1[[#This Row],[DATA]],"dd/mm/aaaa")</f>
        <v>22/04/2026</v>
      </c>
    </row>
    <row r="693" spans="1:21" x14ac:dyDescent="0.25">
      <c r="A693" s="4">
        <v>46134.597037037034</v>
      </c>
      <c r="B693" s="5" t="s">
        <v>19</v>
      </c>
      <c r="C693" s="5" t="s">
        <v>37</v>
      </c>
      <c r="D693" s="5">
        <v>414</v>
      </c>
      <c r="E693" s="6">
        <v>36481984000117</v>
      </c>
      <c r="F693" s="5">
        <v>414</v>
      </c>
      <c r="G693" s="7">
        <v>177687838447911</v>
      </c>
      <c r="H693" s="5" t="s">
        <v>543</v>
      </c>
      <c r="I693" s="5">
        <v>3003</v>
      </c>
      <c r="J693" s="5" t="s">
        <v>22</v>
      </c>
      <c r="K693" s="5" t="s">
        <v>23</v>
      </c>
      <c r="L693" s="5" t="s">
        <v>31</v>
      </c>
      <c r="M693" s="5" t="s">
        <v>284</v>
      </c>
      <c r="N693" s="5" t="s">
        <v>53</v>
      </c>
      <c r="O693" s="5">
        <v>128</v>
      </c>
      <c r="P693" s="5"/>
      <c r="Q693" s="5"/>
      <c r="R693" s="8">
        <v>5.7870370370370373E-5</v>
      </c>
      <c r="S693" s="5" t="s">
        <v>37</v>
      </c>
      <c r="T693" t="str">
        <f>IF(Tabela1[[#This Row],[STATUS_NEGOCIO]]="Enviar E-mail",1,"")</f>
        <v/>
      </c>
      <c r="U693" t="str">
        <f>TEXT(Tabela1[[#This Row],[DATA]],"dd/mm/aaaa")</f>
        <v>22/04/2026</v>
      </c>
    </row>
    <row r="694" spans="1:21" x14ac:dyDescent="0.25">
      <c r="A694" s="4">
        <v>46134.597037037034</v>
      </c>
      <c r="B694" s="5" t="s">
        <v>19</v>
      </c>
      <c r="C694" s="5" t="s">
        <v>37</v>
      </c>
      <c r="D694" s="5">
        <v>415</v>
      </c>
      <c r="E694" s="6">
        <v>36509446000193</v>
      </c>
      <c r="F694" s="5">
        <v>415</v>
      </c>
      <c r="G694" s="7">
        <v>177687838447921</v>
      </c>
      <c r="H694" s="5" t="s">
        <v>544</v>
      </c>
      <c r="I694" s="5">
        <v>3003</v>
      </c>
      <c r="J694" s="5" t="s">
        <v>22</v>
      </c>
      <c r="K694" s="5" t="s">
        <v>23</v>
      </c>
      <c r="L694" s="5" t="s">
        <v>31</v>
      </c>
      <c r="M694" s="5" t="s">
        <v>284</v>
      </c>
      <c r="N694" s="5" t="s">
        <v>53</v>
      </c>
      <c r="O694" s="5">
        <v>128</v>
      </c>
      <c r="P694" s="5"/>
      <c r="Q694" s="5"/>
      <c r="R694" s="8">
        <v>8.1018518518518516E-5</v>
      </c>
      <c r="S694" s="5" t="s">
        <v>37</v>
      </c>
      <c r="T694" t="str">
        <f>IF(Tabela1[[#This Row],[STATUS_NEGOCIO]]="Enviar E-mail",1,"")</f>
        <v/>
      </c>
      <c r="U694" t="str">
        <f>TEXT(Tabela1[[#This Row],[DATA]],"dd/mm/aaaa")</f>
        <v>22/04/2026</v>
      </c>
    </row>
    <row r="695" spans="1:21" x14ac:dyDescent="0.25">
      <c r="A695" s="4">
        <v>46134.597037037034</v>
      </c>
      <c r="B695" s="5" t="s">
        <v>19</v>
      </c>
      <c r="C695" s="5" t="s">
        <v>37</v>
      </c>
      <c r="D695" s="5">
        <v>416</v>
      </c>
      <c r="E695" s="6">
        <v>36541506000155</v>
      </c>
      <c r="F695" s="5">
        <v>416</v>
      </c>
      <c r="G695" s="7">
        <v>177687838447931</v>
      </c>
      <c r="H695" s="5" t="s">
        <v>227</v>
      </c>
      <c r="I695" s="5" t="s">
        <v>52</v>
      </c>
      <c r="J695" s="5" t="s">
        <v>22</v>
      </c>
      <c r="K695" s="5" t="s">
        <v>36</v>
      </c>
      <c r="L695" s="5" t="s">
        <v>36</v>
      </c>
      <c r="M695" s="5" t="s">
        <v>284</v>
      </c>
      <c r="N695" s="5" t="s">
        <v>53</v>
      </c>
      <c r="O695" s="5">
        <v>1</v>
      </c>
      <c r="P695" s="5"/>
      <c r="Q695" s="5"/>
      <c r="R695" s="8">
        <v>0</v>
      </c>
      <c r="S695" s="5" t="s">
        <v>37</v>
      </c>
      <c r="T695" t="str">
        <f>IF(Tabela1[[#This Row],[STATUS_NEGOCIO]]="Enviar E-mail",1,"")</f>
        <v/>
      </c>
      <c r="U695" t="str">
        <f>TEXT(Tabela1[[#This Row],[DATA]],"dd/mm/aaaa")</f>
        <v>22/04/2026</v>
      </c>
    </row>
    <row r="696" spans="1:21" x14ac:dyDescent="0.25">
      <c r="A696" s="4">
        <v>46134.597037037034</v>
      </c>
      <c r="B696" s="5" t="s">
        <v>19</v>
      </c>
      <c r="C696" s="5" t="s">
        <v>37</v>
      </c>
      <c r="D696" s="5">
        <v>417</v>
      </c>
      <c r="E696" s="6">
        <v>36565794000188</v>
      </c>
      <c r="F696" s="5">
        <v>417</v>
      </c>
      <c r="G696" s="7">
        <v>177687838447941</v>
      </c>
      <c r="H696" s="5" t="s">
        <v>545</v>
      </c>
      <c r="I696" s="5">
        <v>3003</v>
      </c>
      <c r="J696" s="5" t="s">
        <v>22</v>
      </c>
      <c r="K696" s="5" t="s">
        <v>23</v>
      </c>
      <c r="L696" s="5" t="s">
        <v>31</v>
      </c>
      <c r="M696" s="5" t="s">
        <v>284</v>
      </c>
      <c r="N696" s="5" t="s">
        <v>53</v>
      </c>
      <c r="O696" s="5">
        <v>128</v>
      </c>
      <c r="P696" s="5"/>
      <c r="Q696" s="5"/>
      <c r="R696" s="8">
        <v>8.1018518518518516E-5</v>
      </c>
      <c r="S696" s="5" t="s">
        <v>37</v>
      </c>
      <c r="T696" t="str">
        <f>IF(Tabela1[[#This Row],[STATUS_NEGOCIO]]="Enviar E-mail",1,"")</f>
        <v/>
      </c>
      <c r="U696" t="str">
        <f>TEXT(Tabela1[[#This Row],[DATA]],"dd/mm/aaaa")</f>
        <v>22/04/2026</v>
      </c>
    </row>
    <row r="697" spans="1:21" x14ac:dyDescent="0.25">
      <c r="A697" s="4">
        <v>46134.597037037034</v>
      </c>
      <c r="B697" s="5" t="s">
        <v>19</v>
      </c>
      <c r="C697" s="5" t="s">
        <v>37</v>
      </c>
      <c r="D697" s="5">
        <v>418</v>
      </c>
      <c r="E697" s="6">
        <v>36567717000167</v>
      </c>
      <c r="F697" s="5">
        <v>418</v>
      </c>
      <c r="G697" s="7">
        <v>177687838447951</v>
      </c>
      <c r="H697" s="5" t="s">
        <v>546</v>
      </c>
      <c r="I697" s="5">
        <v>3003</v>
      </c>
      <c r="J697" s="5" t="s">
        <v>22</v>
      </c>
      <c r="K697" s="5" t="s">
        <v>23</v>
      </c>
      <c r="L697" s="5" t="s">
        <v>31</v>
      </c>
      <c r="M697" s="5" t="s">
        <v>284</v>
      </c>
      <c r="N697" s="5" t="s">
        <v>53</v>
      </c>
      <c r="O697" s="5">
        <v>128</v>
      </c>
      <c r="P697" s="5"/>
      <c r="Q697" s="5"/>
      <c r="R697" s="8">
        <v>8.1018518518518516E-5</v>
      </c>
      <c r="S697" s="5" t="s">
        <v>37</v>
      </c>
      <c r="T697" t="str">
        <f>IF(Tabela1[[#This Row],[STATUS_NEGOCIO]]="Enviar E-mail",1,"")</f>
        <v/>
      </c>
      <c r="U697" t="str">
        <f>TEXT(Tabela1[[#This Row],[DATA]],"dd/mm/aaaa")</f>
        <v>22/04/2026</v>
      </c>
    </row>
    <row r="698" spans="1:21" x14ac:dyDescent="0.25">
      <c r="A698" s="4">
        <v>46134.597048611111</v>
      </c>
      <c r="B698" s="5" t="s">
        <v>19</v>
      </c>
      <c r="C698" s="5" t="s">
        <v>37</v>
      </c>
      <c r="D698" s="5">
        <v>419</v>
      </c>
      <c r="E698" s="6">
        <v>36572501000190</v>
      </c>
      <c r="F698" s="5">
        <v>419</v>
      </c>
      <c r="G698" s="7">
        <v>177687838547961</v>
      </c>
      <c r="H698" s="5" t="s">
        <v>547</v>
      </c>
      <c r="I698" s="5">
        <v>3003</v>
      </c>
      <c r="J698" s="5" t="s">
        <v>22</v>
      </c>
      <c r="K698" s="5" t="s">
        <v>23</v>
      </c>
      <c r="L698" s="5" t="s">
        <v>31</v>
      </c>
      <c r="M698" s="5" t="s">
        <v>284</v>
      </c>
      <c r="N698" s="5" t="s">
        <v>53</v>
      </c>
      <c r="O698" s="5">
        <v>128</v>
      </c>
      <c r="P698" s="5"/>
      <c r="Q698" s="5"/>
      <c r="R698" s="8">
        <v>6.9444444444444444E-5</v>
      </c>
      <c r="S698" s="5" t="s">
        <v>37</v>
      </c>
      <c r="T698" t="str">
        <f>IF(Tabela1[[#This Row],[STATUS_NEGOCIO]]="Enviar E-mail",1,"")</f>
        <v/>
      </c>
      <c r="U698" t="str">
        <f>TEXT(Tabela1[[#This Row],[DATA]],"dd/mm/aaaa")</f>
        <v>22/04/2026</v>
      </c>
    </row>
    <row r="699" spans="1:21" x14ac:dyDescent="0.25">
      <c r="A699" s="4">
        <v>46134.597557870373</v>
      </c>
      <c r="B699" s="5" t="s">
        <v>19</v>
      </c>
      <c r="C699" s="5" t="s">
        <v>37</v>
      </c>
      <c r="D699" s="5">
        <v>420</v>
      </c>
      <c r="E699" s="6">
        <v>36936004000123</v>
      </c>
      <c r="F699" s="5">
        <v>420</v>
      </c>
      <c r="G699" s="7">
        <v>177687842948191</v>
      </c>
      <c r="H699" s="5" t="s">
        <v>548</v>
      </c>
      <c r="I699" s="5">
        <v>3003</v>
      </c>
      <c r="J699" s="5" t="s">
        <v>22</v>
      </c>
      <c r="K699" s="5" t="s">
        <v>23</v>
      </c>
      <c r="L699" s="5" t="s">
        <v>31</v>
      </c>
      <c r="M699" s="5" t="s">
        <v>284</v>
      </c>
      <c r="N699" s="5" t="s">
        <v>53</v>
      </c>
      <c r="O699" s="5">
        <v>128</v>
      </c>
      <c r="P699" s="5"/>
      <c r="Q699" s="5"/>
      <c r="R699" s="8">
        <v>8.1018518518518516E-5</v>
      </c>
      <c r="S699" s="5" t="s">
        <v>37</v>
      </c>
      <c r="T699" t="str">
        <f>IF(Tabela1[[#This Row],[STATUS_NEGOCIO]]="Enviar E-mail",1,"")</f>
        <v/>
      </c>
      <c r="U699" t="str">
        <f>TEXT(Tabela1[[#This Row],[DATA]],"dd/mm/aaaa")</f>
        <v>22/04/2026</v>
      </c>
    </row>
    <row r="700" spans="1:21" x14ac:dyDescent="0.25">
      <c r="A700" s="4">
        <v>46134.597870370373</v>
      </c>
      <c r="B700" s="5" t="s">
        <v>19</v>
      </c>
      <c r="C700" s="5" t="s">
        <v>37</v>
      </c>
      <c r="D700" s="5">
        <v>421</v>
      </c>
      <c r="E700" s="6">
        <v>37285492000119</v>
      </c>
      <c r="F700" s="5">
        <v>421</v>
      </c>
      <c r="G700" s="7">
        <v>177687845648211</v>
      </c>
      <c r="H700" s="5" t="s">
        <v>275</v>
      </c>
      <c r="I700" s="5">
        <v>3003</v>
      </c>
      <c r="J700" s="5" t="s">
        <v>22</v>
      </c>
      <c r="K700" s="5" t="s">
        <v>23</v>
      </c>
      <c r="L700" s="5" t="s">
        <v>31</v>
      </c>
      <c r="M700" s="5" t="s">
        <v>284</v>
      </c>
      <c r="N700" s="5" t="s">
        <v>53</v>
      </c>
      <c r="O700" s="5">
        <v>128</v>
      </c>
      <c r="P700" s="5"/>
      <c r="Q700" s="5"/>
      <c r="R700" s="8">
        <v>8.1018518518518516E-5</v>
      </c>
      <c r="S700" s="5" t="s">
        <v>37</v>
      </c>
      <c r="T700" t="str">
        <f>IF(Tabela1[[#This Row],[STATUS_NEGOCIO]]="Enviar E-mail",1,"")</f>
        <v/>
      </c>
      <c r="U700" t="str">
        <f>TEXT(Tabela1[[#This Row],[DATA]],"dd/mm/aaaa")</f>
        <v>22/04/2026</v>
      </c>
    </row>
    <row r="701" spans="1:21" x14ac:dyDescent="0.25">
      <c r="A701" s="4">
        <v>46134.598171296297</v>
      </c>
      <c r="B701" s="5" t="s">
        <v>19</v>
      </c>
      <c r="C701" s="5" t="s">
        <v>37</v>
      </c>
      <c r="D701" s="5">
        <v>422</v>
      </c>
      <c r="E701" s="6">
        <v>37407191000110</v>
      </c>
      <c r="F701" s="5">
        <v>422</v>
      </c>
      <c r="G701" s="7">
        <v>177687848248231</v>
      </c>
      <c r="H701" s="5" t="s">
        <v>549</v>
      </c>
      <c r="I701" s="5" t="s">
        <v>52</v>
      </c>
      <c r="J701" s="5" t="s">
        <v>22</v>
      </c>
      <c r="K701" s="5" t="s">
        <v>36</v>
      </c>
      <c r="L701" s="5" t="s">
        <v>36</v>
      </c>
      <c r="M701" s="5" t="s">
        <v>284</v>
      </c>
      <c r="N701" s="5" t="s">
        <v>53</v>
      </c>
      <c r="O701" s="5">
        <v>19</v>
      </c>
      <c r="P701" s="5"/>
      <c r="Q701" s="5"/>
      <c r="R701" s="8">
        <v>0</v>
      </c>
      <c r="S701" s="5" t="s">
        <v>37</v>
      </c>
      <c r="T701" t="str">
        <f>IF(Tabela1[[#This Row],[STATUS_NEGOCIO]]="Enviar E-mail",1,"")</f>
        <v/>
      </c>
      <c r="U701" t="str">
        <f>TEXT(Tabela1[[#This Row],[DATA]],"dd/mm/aaaa")</f>
        <v>22/04/2026</v>
      </c>
    </row>
    <row r="702" spans="1:21" x14ac:dyDescent="0.25">
      <c r="A702" s="4">
        <v>46134.598738425928</v>
      </c>
      <c r="B702" s="5" t="s">
        <v>19</v>
      </c>
      <c r="C702" s="5" t="s">
        <v>27</v>
      </c>
      <c r="D702" s="5">
        <v>423</v>
      </c>
      <c r="E702" s="6">
        <v>37540163000177</v>
      </c>
      <c r="F702" s="5">
        <v>423</v>
      </c>
      <c r="G702" s="7">
        <v>177687853148371</v>
      </c>
      <c r="H702" s="5" t="s">
        <v>550</v>
      </c>
      <c r="I702" s="5">
        <v>3003</v>
      </c>
      <c r="J702" s="5" t="s">
        <v>22</v>
      </c>
      <c r="K702" s="5" t="s">
        <v>23</v>
      </c>
      <c r="L702" s="5" t="s">
        <v>265</v>
      </c>
      <c r="M702" s="5" t="s">
        <v>284</v>
      </c>
      <c r="N702" s="5" t="s">
        <v>26</v>
      </c>
      <c r="O702" s="5">
        <v>16</v>
      </c>
      <c r="P702" s="5"/>
      <c r="Q702" s="5"/>
      <c r="R702" s="8">
        <v>9.2592592592592588E-5</v>
      </c>
      <c r="S702" s="8">
        <v>2.3148148148148147E-5</v>
      </c>
      <c r="T702" t="str">
        <f>IF(Tabela1[[#This Row],[STATUS_NEGOCIO]]="Enviar E-mail",1,"")</f>
        <v/>
      </c>
      <c r="U702" t="str">
        <f>TEXT(Tabela1[[#This Row],[DATA]],"dd/mm/aaaa")</f>
        <v>22/04/2026</v>
      </c>
    </row>
    <row r="703" spans="1:21" x14ac:dyDescent="0.25">
      <c r="A703" s="4">
        <v>46134.598969907405</v>
      </c>
      <c r="B703" s="5" t="s">
        <v>19</v>
      </c>
      <c r="C703" s="5" t="s">
        <v>37</v>
      </c>
      <c r="D703" s="5">
        <v>424</v>
      </c>
      <c r="E703" s="6">
        <v>37676685000109</v>
      </c>
      <c r="F703" s="5">
        <v>424</v>
      </c>
      <c r="G703" s="7">
        <v>177687855148491</v>
      </c>
      <c r="H703" s="5" t="s">
        <v>551</v>
      </c>
      <c r="I703" s="5">
        <v>3003</v>
      </c>
      <c r="J703" s="5" t="s">
        <v>22</v>
      </c>
      <c r="K703" s="5" t="s">
        <v>23</v>
      </c>
      <c r="L703" s="5" t="s">
        <v>31</v>
      </c>
      <c r="M703" s="5" t="s">
        <v>284</v>
      </c>
      <c r="N703" s="5" t="s">
        <v>53</v>
      </c>
      <c r="O703" s="5">
        <v>128</v>
      </c>
      <c r="P703" s="5"/>
      <c r="Q703" s="5"/>
      <c r="R703" s="8">
        <v>8.1018518518518516E-5</v>
      </c>
      <c r="S703" s="5" t="s">
        <v>37</v>
      </c>
      <c r="T703" t="str">
        <f>IF(Tabela1[[#This Row],[STATUS_NEGOCIO]]="Enviar E-mail",1,"")</f>
        <v/>
      </c>
      <c r="U703" t="str">
        <f>TEXT(Tabela1[[#This Row],[DATA]],"dd/mm/aaaa")</f>
        <v>22/04/2026</v>
      </c>
    </row>
    <row r="704" spans="1:21" x14ac:dyDescent="0.25">
      <c r="A704" s="4">
        <v>46134.599189814813</v>
      </c>
      <c r="B704" s="5" t="s">
        <v>19</v>
      </c>
      <c r="C704" s="5" t="s">
        <v>37</v>
      </c>
      <c r="D704" s="5">
        <v>425</v>
      </c>
      <c r="E704" s="6">
        <v>37785014000178</v>
      </c>
      <c r="F704" s="5">
        <v>425</v>
      </c>
      <c r="G704" s="7">
        <v>177687857048511</v>
      </c>
      <c r="H704" s="5" t="s">
        <v>552</v>
      </c>
      <c r="I704" s="5">
        <v>3003</v>
      </c>
      <c r="J704" s="5" t="s">
        <v>22</v>
      </c>
      <c r="K704" s="5" t="s">
        <v>23</v>
      </c>
      <c r="L704" s="5" t="s">
        <v>31</v>
      </c>
      <c r="M704" s="5" t="s">
        <v>284</v>
      </c>
      <c r="N704" s="5" t="s">
        <v>53</v>
      </c>
      <c r="O704" s="5">
        <v>128</v>
      </c>
      <c r="P704" s="5"/>
      <c r="Q704" s="5"/>
      <c r="R704" s="8">
        <v>6.9444444444444444E-5</v>
      </c>
      <c r="S704" s="5" t="s">
        <v>37</v>
      </c>
      <c r="T704" t="str">
        <f>IF(Tabela1[[#This Row],[STATUS_NEGOCIO]]="Enviar E-mail",1,"")</f>
        <v/>
      </c>
      <c r="U704" t="str">
        <f>TEXT(Tabela1[[#This Row],[DATA]],"dd/mm/aaaa")</f>
        <v>22/04/2026</v>
      </c>
    </row>
    <row r="705" spans="1:21" x14ac:dyDescent="0.25">
      <c r="A705" s="4">
        <v>46134.599421296298</v>
      </c>
      <c r="B705" s="5" t="s">
        <v>19</v>
      </c>
      <c r="C705" s="5" t="s">
        <v>37</v>
      </c>
      <c r="D705" s="5">
        <v>426</v>
      </c>
      <c r="E705" s="6">
        <v>37961934000108</v>
      </c>
      <c r="F705" s="5">
        <v>426</v>
      </c>
      <c r="G705" s="7">
        <v>177687859048531</v>
      </c>
      <c r="H705" s="5" t="s">
        <v>553</v>
      </c>
      <c r="I705" s="5">
        <v>3003</v>
      </c>
      <c r="J705" s="5" t="s">
        <v>22</v>
      </c>
      <c r="K705" s="5" t="s">
        <v>23</v>
      </c>
      <c r="L705" s="5" t="s">
        <v>31</v>
      </c>
      <c r="M705" s="5" t="s">
        <v>284</v>
      </c>
      <c r="N705" s="5" t="s">
        <v>53</v>
      </c>
      <c r="O705" s="5">
        <v>128</v>
      </c>
      <c r="P705" s="5"/>
      <c r="Q705" s="5"/>
      <c r="R705" s="8">
        <v>8.1018518518518516E-5</v>
      </c>
      <c r="S705" s="5" t="s">
        <v>37</v>
      </c>
      <c r="T705" t="str">
        <f>IF(Tabela1[[#This Row],[STATUS_NEGOCIO]]="Enviar E-mail",1,"")</f>
        <v/>
      </c>
      <c r="U705" t="str">
        <f>TEXT(Tabela1[[#This Row],[DATA]],"dd/mm/aaaa")</f>
        <v>22/04/2026</v>
      </c>
    </row>
    <row r="706" spans="1:21" x14ac:dyDescent="0.25">
      <c r="A706" s="4">
        <v>46134.599699074075</v>
      </c>
      <c r="B706" s="5" t="s">
        <v>19</v>
      </c>
      <c r="C706" s="5" t="s">
        <v>37</v>
      </c>
      <c r="D706" s="5">
        <v>427</v>
      </c>
      <c r="E706" s="6">
        <v>38253250000106</v>
      </c>
      <c r="F706" s="5">
        <v>427</v>
      </c>
      <c r="G706" s="7">
        <v>177687861448611</v>
      </c>
      <c r="H706" s="5" t="s">
        <v>199</v>
      </c>
      <c r="I706" s="5">
        <v>3003</v>
      </c>
      <c r="J706" s="5" t="s">
        <v>22</v>
      </c>
      <c r="K706" s="5" t="s">
        <v>23</v>
      </c>
      <c r="L706" s="5" t="s">
        <v>31</v>
      </c>
      <c r="M706" s="5" t="s">
        <v>284</v>
      </c>
      <c r="N706" s="5" t="s">
        <v>53</v>
      </c>
      <c r="O706" s="5">
        <v>128</v>
      </c>
      <c r="P706" s="5"/>
      <c r="Q706" s="5"/>
      <c r="R706" s="8">
        <v>6.9444444444444444E-5</v>
      </c>
      <c r="S706" s="5" t="s">
        <v>37</v>
      </c>
      <c r="T706" t="str">
        <f>IF(Tabela1[[#This Row],[STATUS_NEGOCIO]]="Enviar E-mail",1,"")</f>
        <v/>
      </c>
      <c r="U706" t="str">
        <f>TEXT(Tabela1[[#This Row],[DATA]],"dd/mm/aaaa")</f>
        <v>22/04/2026</v>
      </c>
    </row>
    <row r="707" spans="1:21" x14ac:dyDescent="0.25">
      <c r="A707" s="4">
        <v>46134.599861111114</v>
      </c>
      <c r="B707" s="5" t="s">
        <v>19</v>
      </c>
      <c r="C707" s="5" t="s">
        <v>37</v>
      </c>
      <c r="D707" s="5">
        <v>428</v>
      </c>
      <c r="E707" s="6">
        <v>38327906000198</v>
      </c>
      <c r="F707" s="5">
        <v>428</v>
      </c>
      <c r="G707" s="7">
        <v>177687862848681</v>
      </c>
      <c r="H707" s="5" t="s">
        <v>554</v>
      </c>
      <c r="I707" s="5">
        <v>3003</v>
      </c>
      <c r="J707" s="5" t="s">
        <v>22</v>
      </c>
      <c r="K707" s="5" t="s">
        <v>23</v>
      </c>
      <c r="L707" s="5" t="s">
        <v>31</v>
      </c>
      <c r="M707" s="5" t="s">
        <v>284</v>
      </c>
      <c r="N707" s="5" t="s">
        <v>53</v>
      </c>
      <c r="O707" s="5">
        <v>128</v>
      </c>
      <c r="P707" s="5"/>
      <c r="Q707" s="5"/>
      <c r="R707" s="8">
        <v>8.1018518518518516E-5</v>
      </c>
      <c r="S707" s="5" t="s">
        <v>37</v>
      </c>
      <c r="T707" t="str">
        <f>IF(Tabela1[[#This Row],[STATUS_NEGOCIO]]="Enviar E-mail",1,"")</f>
        <v/>
      </c>
      <c r="U707" t="str">
        <f>TEXT(Tabela1[[#This Row],[DATA]],"dd/mm/aaaa")</f>
        <v>22/04/2026</v>
      </c>
    </row>
    <row r="708" spans="1:21" x14ac:dyDescent="0.25">
      <c r="A708" s="4">
        <v>46134.600358796299</v>
      </c>
      <c r="B708" s="5" t="s">
        <v>19</v>
      </c>
      <c r="C708" s="5" t="s">
        <v>37</v>
      </c>
      <c r="D708" s="5">
        <v>429</v>
      </c>
      <c r="E708" s="6">
        <v>38456890000113</v>
      </c>
      <c r="F708" s="5">
        <v>429</v>
      </c>
      <c r="G708" s="7">
        <v>177687867148761</v>
      </c>
      <c r="H708" s="5" t="s">
        <v>555</v>
      </c>
      <c r="I708" s="5">
        <v>3003</v>
      </c>
      <c r="J708" s="5" t="s">
        <v>22</v>
      </c>
      <c r="K708" s="5" t="s">
        <v>23</v>
      </c>
      <c r="L708" s="5" t="s">
        <v>31</v>
      </c>
      <c r="M708" s="5" t="s">
        <v>284</v>
      </c>
      <c r="N708" s="5" t="s">
        <v>53</v>
      </c>
      <c r="O708" s="5">
        <v>147</v>
      </c>
      <c r="P708" s="5"/>
      <c r="Q708" s="5"/>
      <c r="R708" s="8">
        <v>8.1018518518518516E-5</v>
      </c>
      <c r="S708" s="5" t="s">
        <v>37</v>
      </c>
      <c r="T708" t="str">
        <f>IF(Tabela1[[#This Row],[STATUS_NEGOCIO]]="Enviar E-mail",1,"")</f>
        <v/>
      </c>
      <c r="U708" t="str">
        <f>TEXT(Tabela1[[#This Row],[DATA]],"dd/mm/aaaa")</f>
        <v>22/04/2026</v>
      </c>
    </row>
    <row r="709" spans="1:21" x14ac:dyDescent="0.25">
      <c r="A709" s="4">
        <v>46134.600543981483</v>
      </c>
      <c r="B709" s="5" t="s">
        <v>19</v>
      </c>
      <c r="C709" s="5" t="s">
        <v>37</v>
      </c>
      <c r="D709" s="5">
        <v>430</v>
      </c>
      <c r="E709" s="6">
        <v>39210513000162</v>
      </c>
      <c r="F709" s="5">
        <v>430</v>
      </c>
      <c r="G709" s="7">
        <v>177687868748791</v>
      </c>
      <c r="H709" s="5" t="s">
        <v>556</v>
      </c>
      <c r="I709" s="5">
        <v>3003</v>
      </c>
      <c r="J709" s="5" t="s">
        <v>22</v>
      </c>
      <c r="K709" s="5" t="s">
        <v>23</v>
      </c>
      <c r="L709" s="5" t="s">
        <v>31</v>
      </c>
      <c r="M709" s="5" t="s">
        <v>284</v>
      </c>
      <c r="N709" s="5" t="s">
        <v>53</v>
      </c>
      <c r="O709" s="5">
        <v>128</v>
      </c>
      <c r="P709" s="5"/>
      <c r="Q709" s="5"/>
      <c r="R709" s="8">
        <v>8.1018518518518516E-5</v>
      </c>
      <c r="S709" s="5" t="s">
        <v>37</v>
      </c>
      <c r="T709" t="str">
        <f>IF(Tabela1[[#This Row],[STATUS_NEGOCIO]]="Enviar E-mail",1,"")</f>
        <v/>
      </c>
      <c r="U709" t="str">
        <f>TEXT(Tabela1[[#This Row],[DATA]],"dd/mm/aaaa")</f>
        <v>22/04/2026</v>
      </c>
    </row>
    <row r="710" spans="1:21" x14ac:dyDescent="0.25">
      <c r="A710" s="4">
        <v>46134.600717592592</v>
      </c>
      <c r="B710" s="5" t="s">
        <v>19</v>
      </c>
      <c r="C710" s="5" t="s">
        <v>37</v>
      </c>
      <c r="D710" s="5">
        <v>431</v>
      </c>
      <c r="E710" s="6">
        <v>39214150000133</v>
      </c>
      <c r="F710" s="5">
        <v>431</v>
      </c>
      <c r="G710" s="7">
        <v>177687870248871</v>
      </c>
      <c r="H710" s="5" t="s">
        <v>557</v>
      </c>
      <c r="I710" s="5">
        <v>3003</v>
      </c>
      <c r="J710" s="5" t="s">
        <v>22</v>
      </c>
      <c r="K710" s="5" t="s">
        <v>23</v>
      </c>
      <c r="L710" s="5" t="s">
        <v>31</v>
      </c>
      <c r="M710" s="5" t="s">
        <v>284</v>
      </c>
      <c r="N710" s="5" t="s">
        <v>53</v>
      </c>
      <c r="O710" s="5">
        <v>128</v>
      </c>
      <c r="P710" s="5"/>
      <c r="Q710" s="5"/>
      <c r="R710" s="8">
        <v>8.1018518518518516E-5</v>
      </c>
      <c r="S710" s="5" t="s">
        <v>37</v>
      </c>
      <c r="T710" t="str">
        <f>IF(Tabela1[[#This Row],[STATUS_NEGOCIO]]="Enviar E-mail",1,"")</f>
        <v/>
      </c>
      <c r="U710" t="str">
        <f>TEXT(Tabela1[[#This Row],[DATA]],"dd/mm/aaaa")</f>
        <v>22/04/2026</v>
      </c>
    </row>
    <row r="711" spans="1:21" x14ac:dyDescent="0.25">
      <c r="A711" s="4">
        <v>46134.600914351853</v>
      </c>
      <c r="B711" s="5" t="s">
        <v>19</v>
      </c>
      <c r="C711" s="5" t="s">
        <v>37</v>
      </c>
      <c r="D711" s="5">
        <v>432</v>
      </c>
      <c r="E711" s="6">
        <v>39216809000190</v>
      </c>
      <c r="F711" s="5">
        <v>432</v>
      </c>
      <c r="G711" s="7">
        <v>177687871948891</v>
      </c>
      <c r="H711" s="5" t="s">
        <v>558</v>
      </c>
      <c r="I711" s="5">
        <v>3003</v>
      </c>
      <c r="J711" s="5" t="s">
        <v>22</v>
      </c>
      <c r="K711" s="5" t="s">
        <v>23</v>
      </c>
      <c r="L711" s="5" t="s">
        <v>31</v>
      </c>
      <c r="M711" s="5" t="s">
        <v>284</v>
      </c>
      <c r="N711" s="5" t="s">
        <v>53</v>
      </c>
      <c r="O711" s="5">
        <v>128</v>
      </c>
      <c r="P711" s="5"/>
      <c r="Q711" s="5"/>
      <c r="R711" s="8">
        <v>8.1018518518518516E-5</v>
      </c>
      <c r="S711" s="5" t="s">
        <v>37</v>
      </c>
      <c r="T711" t="str">
        <f>IF(Tabela1[[#This Row],[STATUS_NEGOCIO]]="Enviar E-mail",1,"")</f>
        <v/>
      </c>
      <c r="U711" t="str">
        <f>TEXT(Tabela1[[#This Row],[DATA]],"dd/mm/aaaa")</f>
        <v>22/04/2026</v>
      </c>
    </row>
    <row r="712" spans="1:21" x14ac:dyDescent="0.25">
      <c r="A712" s="4">
        <v>46134.601111111115</v>
      </c>
      <c r="B712" s="5" t="s">
        <v>19</v>
      </c>
      <c r="C712" s="5" t="s">
        <v>37</v>
      </c>
      <c r="D712" s="5">
        <v>7</v>
      </c>
      <c r="E712" s="6">
        <v>451332000192</v>
      </c>
      <c r="F712" s="5">
        <v>7</v>
      </c>
      <c r="G712" s="7">
        <v>177687873648921</v>
      </c>
      <c r="H712" s="5" t="s">
        <v>257</v>
      </c>
      <c r="I712" s="5">
        <v>3003</v>
      </c>
      <c r="J712" s="5" t="s">
        <v>22</v>
      </c>
      <c r="K712" s="5" t="s">
        <v>23</v>
      </c>
      <c r="L712" s="5" t="s">
        <v>31</v>
      </c>
      <c r="M712" s="5" t="s">
        <v>284</v>
      </c>
      <c r="N712" s="5" t="s">
        <v>53</v>
      </c>
      <c r="O712" s="5">
        <v>128</v>
      </c>
      <c r="P712" s="5"/>
      <c r="Q712" s="5"/>
      <c r="R712" s="8">
        <v>8.1018518518518516E-5</v>
      </c>
      <c r="S712" s="5" t="s">
        <v>37</v>
      </c>
      <c r="T712" t="str">
        <f>IF(Tabela1[[#This Row],[STATUS_NEGOCIO]]="Enviar E-mail",1,"")</f>
        <v/>
      </c>
      <c r="U712" t="str">
        <f>TEXT(Tabela1[[#This Row],[DATA]],"dd/mm/aaaa")</f>
        <v>22/04/2026</v>
      </c>
    </row>
    <row r="713" spans="1:21" x14ac:dyDescent="0.25">
      <c r="A713" s="4">
        <v>46134.601354166669</v>
      </c>
      <c r="B713" s="5" t="s">
        <v>19</v>
      </c>
      <c r="C713" s="5" t="s">
        <v>37</v>
      </c>
      <c r="D713" s="5">
        <v>13</v>
      </c>
      <c r="E713" s="6">
        <v>1056628000171</v>
      </c>
      <c r="F713" s="5">
        <v>13</v>
      </c>
      <c r="G713" s="7">
        <v>177687875748941</v>
      </c>
      <c r="H713" s="5" t="s">
        <v>262</v>
      </c>
      <c r="I713" s="5">
        <v>3003</v>
      </c>
      <c r="J713" s="5" t="s">
        <v>22</v>
      </c>
      <c r="K713" s="5" t="s">
        <v>23</v>
      </c>
      <c r="L713" s="5" t="s">
        <v>31</v>
      </c>
      <c r="M713" s="5" t="s">
        <v>284</v>
      </c>
      <c r="N713" s="5" t="s">
        <v>53</v>
      </c>
      <c r="O713" s="5">
        <v>128</v>
      </c>
      <c r="P713" s="5"/>
      <c r="Q713" s="5"/>
      <c r="R713" s="8">
        <v>8.1018518518518516E-5</v>
      </c>
      <c r="S713" s="5" t="s">
        <v>37</v>
      </c>
      <c r="T713" t="str">
        <f>IF(Tabela1[[#This Row],[STATUS_NEGOCIO]]="Enviar E-mail",1,"")</f>
        <v/>
      </c>
      <c r="U713" t="str">
        <f>TEXT(Tabela1[[#This Row],[DATA]],"dd/mm/aaaa")</f>
        <v>22/04/2026</v>
      </c>
    </row>
    <row r="714" spans="1:21" x14ac:dyDescent="0.25">
      <c r="A714" s="4">
        <v>46134.601770833331</v>
      </c>
      <c r="B714" s="5" t="s">
        <v>19</v>
      </c>
      <c r="C714" s="5" t="s">
        <v>37</v>
      </c>
      <c r="D714" s="5">
        <v>17</v>
      </c>
      <c r="E714" s="6">
        <v>1340549000198</v>
      </c>
      <c r="F714" s="5">
        <v>17</v>
      </c>
      <c r="G714" s="7">
        <v>177687879349021</v>
      </c>
      <c r="H714" s="5" t="s">
        <v>281</v>
      </c>
      <c r="I714" s="5" t="s">
        <v>52</v>
      </c>
      <c r="J714" s="5" t="s">
        <v>22</v>
      </c>
      <c r="K714" s="5" t="s">
        <v>36</v>
      </c>
      <c r="L714" s="5" t="s">
        <v>36</v>
      </c>
      <c r="M714" s="5" t="s">
        <v>284</v>
      </c>
      <c r="N714" s="5" t="s">
        <v>53</v>
      </c>
      <c r="O714" s="5">
        <v>19</v>
      </c>
      <c r="P714" s="5"/>
      <c r="Q714" s="5"/>
      <c r="R714" s="8">
        <v>0</v>
      </c>
      <c r="S714" s="5" t="s">
        <v>37</v>
      </c>
      <c r="T714" t="str">
        <f>IF(Tabela1[[#This Row],[STATUS_NEGOCIO]]="Enviar E-mail",1,"")</f>
        <v/>
      </c>
      <c r="U714" t="str">
        <f>TEXT(Tabela1[[#This Row],[DATA]],"dd/mm/aaaa")</f>
        <v>22/04/2026</v>
      </c>
    </row>
    <row r="715" spans="1:21" x14ac:dyDescent="0.25">
      <c r="A715" s="4">
        <v>46134.602326388886</v>
      </c>
      <c r="B715" s="5" t="s">
        <v>19</v>
      </c>
      <c r="C715" s="5" t="s">
        <v>37</v>
      </c>
      <c r="D715" s="5">
        <v>18</v>
      </c>
      <c r="E715" s="6">
        <v>1387961000163</v>
      </c>
      <c r="F715" s="5">
        <v>18</v>
      </c>
      <c r="G715" s="7">
        <v>177687884149101</v>
      </c>
      <c r="H715" s="5" t="s">
        <v>267</v>
      </c>
      <c r="I715" s="5">
        <v>3003</v>
      </c>
      <c r="J715" s="5" t="s">
        <v>22</v>
      </c>
      <c r="K715" s="5" t="s">
        <v>23</v>
      </c>
      <c r="L715" s="5" t="s">
        <v>31</v>
      </c>
      <c r="M715" s="5" t="s">
        <v>284</v>
      </c>
      <c r="N715" s="5" t="s">
        <v>53</v>
      </c>
      <c r="O715" s="5">
        <v>128</v>
      </c>
      <c r="P715" s="5"/>
      <c r="Q715" s="5"/>
      <c r="R715" s="8">
        <v>8.1018518518518516E-5</v>
      </c>
      <c r="S715" s="5" t="s">
        <v>37</v>
      </c>
      <c r="T715" t="str">
        <f>IF(Tabela1[[#This Row],[STATUS_NEGOCIO]]="Enviar E-mail",1,"")</f>
        <v/>
      </c>
      <c r="U715" t="str">
        <f>TEXT(Tabela1[[#This Row],[DATA]],"dd/mm/aaaa")</f>
        <v>22/04/2026</v>
      </c>
    </row>
    <row r="716" spans="1:21" x14ac:dyDescent="0.25">
      <c r="A716" s="4">
        <v>46134.602754629632</v>
      </c>
      <c r="B716" s="5" t="s">
        <v>19</v>
      </c>
      <c r="C716" s="5" t="s">
        <v>37</v>
      </c>
      <c r="D716" s="5">
        <v>19</v>
      </c>
      <c r="E716" s="6">
        <v>1399122000165</v>
      </c>
      <c r="F716" s="5">
        <v>19</v>
      </c>
      <c r="G716" s="7">
        <v>177687887849191</v>
      </c>
      <c r="H716" s="5" t="s">
        <v>285</v>
      </c>
      <c r="I716" s="5" t="s">
        <v>52</v>
      </c>
      <c r="J716" s="5" t="s">
        <v>22</v>
      </c>
      <c r="K716" s="5" t="s">
        <v>62</v>
      </c>
      <c r="L716" s="5" t="s">
        <v>62</v>
      </c>
      <c r="M716" s="5" t="s">
        <v>284</v>
      </c>
      <c r="N716" s="5" t="s">
        <v>53</v>
      </c>
      <c r="O716" s="5">
        <v>17</v>
      </c>
      <c r="P716" s="5"/>
      <c r="Q716" s="5"/>
      <c r="R716" s="8">
        <v>0</v>
      </c>
      <c r="S716" s="5" t="s">
        <v>37</v>
      </c>
      <c r="T716" t="str">
        <f>IF(Tabela1[[#This Row],[STATUS_NEGOCIO]]="Enviar E-mail",1,"")</f>
        <v/>
      </c>
      <c r="U716" t="str">
        <f>TEXT(Tabela1[[#This Row],[DATA]],"dd/mm/aaaa")</f>
        <v>22/04/2026</v>
      </c>
    </row>
    <row r="717" spans="1:21" x14ac:dyDescent="0.25">
      <c r="A717" s="4">
        <v>46134.602800925924</v>
      </c>
      <c r="B717" s="5" t="s">
        <v>19</v>
      </c>
      <c r="C717" s="5" t="s">
        <v>37</v>
      </c>
      <c r="D717" s="5">
        <v>22</v>
      </c>
      <c r="E717" s="6">
        <v>1632895000140</v>
      </c>
      <c r="F717" s="5">
        <v>22</v>
      </c>
      <c r="G717" s="7">
        <v>177687888249211</v>
      </c>
      <c r="H717" s="5" t="s">
        <v>287</v>
      </c>
      <c r="I717" s="5">
        <v>3003</v>
      </c>
      <c r="J717" s="5" t="s">
        <v>22</v>
      </c>
      <c r="K717" s="5" t="s">
        <v>23</v>
      </c>
      <c r="L717" s="5" t="s">
        <v>31</v>
      </c>
      <c r="M717" s="5" t="s">
        <v>284</v>
      </c>
      <c r="N717" s="5" t="s">
        <v>53</v>
      </c>
      <c r="O717" s="5">
        <v>128</v>
      </c>
      <c r="P717" s="5"/>
      <c r="Q717" s="5"/>
      <c r="R717" s="8">
        <v>8.1018518518518516E-5</v>
      </c>
      <c r="S717" s="5" t="s">
        <v>37</v>
      </c>
      <c r="T717" t="str">
        <f>IF(Tabela1[[#This Row],[STATUS_NEGOCIO]]="Enviar E-mail",1,"")</f>
        <v/>
      </c>
      <c r="U717" t="str">
        <f>TEXT(Tabela1[[#This Row],[DATA]],"dd/mm/aaaa")</f>
        <v>22/04/2026</v>
      </c>
    </row>
    <row r="718" spans="1:21" x14ac:dyDescent="0.25">
      <c r="A718" s="4">
        <v>46134.603055555555</v>
      </c>
      <c r="B718" s="5" t="s">
        <v>19</v>
      </c>
      <c r="C718" s="5" t="s">
        <v>37</v>
      </c>
      <c r="D718" s="5">
        <v>23</v>
      </c>
      <c r="E718" s="6">
        <v>1721269000120</v>
      </c>
      <c r="F718" s="5">
        <v>23</v>
      </c>
      <c r="G718" s="7">
        <v>177687890449221</v>
      </c>
      <c r="H718" s="5" t="s">
        <v>288</v>
      </c>
      <c r="I718" s="5">
        <v>3003</v>
      </c>
      <c r="J718" s="5" t="s">
        <v>22</v>
      </c>
      <c r="K718" s="5" t="s">
        <v>23</v>
      </c>
      <c r="L718" s="5" t="s">
        <v>31</v>
      </c>
      <c r="M718" s="5" t="s">
        <v>284</v>
      </c>
      <c r="N718" s="5" t="s">
        <v>26</v>
      </c>
      <c r="O718" s="5">
        <v>131</v>
      </c>
      <c r="P718" s="5"/>
      <c r="Q718" s="5"/>
      <c r="R718" s="8">
        <v>9.2592592592592588E-5</v>
      </c>
      <c r="S718" s="5" t="s">
        <v>37</v>
      </c>
      <c r="T718" t="str">
        <f>IF(Tabela1[[#This Row],[STATUS_NEGOCIO]]="Enviar E-mail",1,"")</f>
        <v/>
      </c>
      <c r="U718" t="str">
        <f>TEXT(Tabela1[[#This Row],[DATA]],"dd/mm/aaaa")</f>
        <v>22/04/2026</v>
      </c>
    </row>
    <row r="719" spans="1:21" x14ac:dyDescent="0.25">
      <c r="A719" s="4">
        <v>46134.603217592594</v>
      </c>
      <c r="B719" s="5" t="s">
        <v>19</v>
      </c>
      <c r="C719" s="5" t="s">
        <v>37</v>
      </c>
      <c r="D719" s="5">
        <v>28</v>
      </c>
      <c r="E719" s="6">
        <v>1978794000125</v>
      </c>
      <c r="F719" s="5">
        <v>28</v>
      </c>
      <c r="G719" s="7">
        <v>177687891849311</v>
      </c>
      <c r="H719" s="5" t="s">
        <v>292</v>
      </c>
      <c r="I719" s="5">
        <v>3003</v>
      </c>
      <c r="J719" s="5" t="s">
        <v>22</v>
      </c>
      <c r="K719" s="5" t="s">
        <v>23</v>
      </c>
      <c r="L719" s="5" t="s">
        <v>31</v>
      </c>
      <c r="M719" s="5" t="s">
        <v>284</v>
      </c>
      <c r="N719" s="5" t="s">
        <v>53</v>
      </c>
      <c r="O719" s="5">
        <v>128</v>
      </c>
      <c r="P719" s="5"/>
      <c r="Q719" s="5"/>
      <c r="R719" s="8">
        <v>8.1018518518518516E-5</v>
      </c>
      <c r="S719" s="5" t="s">
        <v>37</v>
      </c>
      <c r="T719" t="str">
        <f>IF(Tabela1[[#This Row],[STATUS_NEGOCIO]]="Enviar E-mail",1,"")</f>
        <v/>
      </c>
      <c r="U719" t="str">
        <f>TEXT(Tabela1[[#This Row],[DATA]],"dd/mm/aaaa")</f>
        <v>22/04/2026</v>
      </c>
    </row>
    <row r="720" spans="1:21" x14ac:dyDescent="0.25">
      <c r="A720" s="4">
        <v>46134.603715277779</v>
      </c>
      <c r="B720" s="5" t="s">
        <v>19</v>
      </c>
      <c r="C720" s="5" t="s">
        <v>37</v>
      </c>
      <c r="D720" s="5">
        <v>32</v>
      </c>
      <c r="E720" s="6">
        <v>2113776000143</v>
      </c>
      <c r="F720" s="5">
        <v>32</v>
      </c>
      <c r="G720" s="7">
        <v>177687896149521</v>
      </c>
      <c r="H720" s="5" t="s">
        <v>294</v>
      </c>
      <c r="I720" s="5">
        <v>3003</v>
      </c>
      <c r="J720" s="5" t="s">
        <v>22</v>
      </c>
      <c r="K720" s="5" t="s">
        <v>23</v>
      </c>
      <c r="L720" s="5" t="s">
        <v>31</v>
      </c>
      <c r="M720" s="5" t="s">
        <v>284</v>
      </c>
      <c r="N720" s="5" t="s">
        <v>53</v>
      </c>
      <c r="O720" s="5">
        <v>128</v>
      </c>
      <c r="P720" s="5"/>
      <c r="Q720" s="5"/>
      <c r="R720" s="8">
        <v>8.1018518518518516E-5</v>
      </c>
      <c r="S720" s="5" t="s">
        <v>37</v>
      </c>
      <c r="T720" t="str">
        <f>IF(Tabela1[[#This Row],[STATUS_NEGOCIO]]="Enviar E-mail",1,"")</f>
        <v/>
      </c>
      <c r="U720" t="str">
        <f>TEXT(Tabela1[[#This Row],[DATA]],"dd/mm/aaaa")</f>
        <v>22/04/2026</v>
      </c>
    </row>
    <row r="721" spans="1:21" x14ac:dyDescent="0.25">
      <c r="A721" s="4">
        <v>46134.603981481479</v>
      </c>
      <c r="B721" s="5" t="s">
        <v>19</v>
      </c>
      <c r="C721" s="5" t="s">
        <v>37</v>
      </c>
      <c r="D721" s="5">
        <v>33</v>
      </c>
      <c r="E721" s="6">
        <v>2148473000166</v>
      </c>
      <c r="F721" s="5">
        <v>33</v>
      </c>
      <c r="G721" s="7">
        <v>177687898449581</v>
      </c>
      <c r="H721" s="5" t="s">
        <v>283</v>
      </c>
      <c r="I721" s="5">
        <v>3003</v>
      </c>
      <c r="J721" s="5" t="s">
        <v>22</v>
      </c>
      <c r="K721" s="5" t="s">
        <v>23</v>
      </c>
      <c r="L721" s="5" t="s">
        <v>31</v>
      </c>
      <c r="M721" s="5" t="s">
        <v>284</v>
      </c>
      <c r="N721" s="5" t="s">
        <v>53</v>
      </c>
      <c r="O721" s="5">
        <v>128</v>
      </c>
      <c r="P721" s="5"/>
      <c r="Q721" s="5"/>
      <c r="R721" s="8">
        <v>8.1018518518518516E-5</v>
      </c>
      <c r="S721" s="5" t="s">
        <v>37</v>
      </c>
      <c r="T721" t="str">
        <f>IF(Tabela1[[#This Row],[STATUS_NEGOCIO]]="Enviar E-mail",1,"")</f>
        <v/>
      </c>
      <c r="U721" t="str">
        <f>TEXT(Tabela1[[#This Row],[DATA]],"dd/mm/aaaa")</f>
        <v>22/04/2026</v>
      </c>
    </row>
    <row r="722" spans="1:21" x14ac:dyDescent="0.25">
      <c r="A722" s="4">
        <v>46134.604363425926</v>
      </c>
      <c r="B722" s="5" t="s">
        <v>19</v>
      </c>
      <c r="C722" s="5" t="s">
        <v>37</v>
      </c>
      <c r="D722" s="5">
        <v>35</v>
      </c>
      <c r="E722" s="6">
        <v>2326459000105</v>
      </c>
      <c r="F722" s="5">
        <v>35</v>
      </c>
      <c r="G722" s="7">
        <v>177687901749731</v>
      </c>
      <c r="H722" s="5" t="s">
        <v>295</v>
      </c>
      <c r="I722" s="5">
        <v>3003</v>
      </c>
      <c r="J722" s="5" t="s">
        <v>22</v>
      </c>
      <c r="K722" s="5" t="s">
        <v>23</v>
      </c>
      <c r="L722" s="5" t="s">
        <v>31</v>
      </c>
      <c r="M722" s="5" t="s">
        <v>284</v>
      </c>
      <c r="N722" s="5" t="s">
        <v>53</v>
      </c>
      <c r="O722" s="5">
        <v>128</v>
      </c>
      <c r="P722" s="5"/>
      <c r="Q722" s="5"/>
      <c r="R722" s="8">
        <v>8.1018518518518516E-5</v>
      </c>
      <c r="S722" s="5" t="s">
        <v>37</v>
      </c>
      <c r="T722" t="str">
        <f>IF(Tabela1[[#This Row],[STATUS_NEGOCIO]]="Enviar E-mail",1,"")</f>
        <v/>
      </c>
      <c r="U722" t="str">
        <f>TEXT(Tabela1[[#This Row],[DATA]],"dd/mm/aaaa")</f>
        <v>22/04/2026</v>
      </c>
    </row>
    <row r="723" spans="1:21" x14ac:dyDescent="0.25">
      <c r="A723" s="4">
        <v>46134.604756944442</v>
      </c>
      <c r="B723" s="5" t="s">
        <v>19</v>
      </c>
      <c r="C723" s="5" t="s">
        <v>37</v>
      </c>
      <c r="D723" s="5">
        <v>39</v>
      </c>
      <c r="E723" s="6">
        <v>2510074000101</v>
      </c>
      <c r="F723" s="5">
        <v>39</v>
      </c>
      <c r="G723" s="7">
        <v>177687905149881</v>
      </c>
      <c r="H723" s="5" t="s">
        <v>299</v>
      </c>
      <c r="I723" s="5">
        <v>3003</v>
      </c>
      <c r="J723" s="5" t="s">
        <v>22</v>
      </c>
      <c r="K723" s="5" t="s">
        <v>23</v>
      </c>
      <c r="L723" s="5" t="s">
        <v>31</v>
      </c>
      <c r="M723" s="5" t="s">
        <v>284</v>
      </c>
      <c r="N723" s="5" t="s">
        <v>53</v>
      </c>
      <c r="O723" s="5">
        <v>131</v>
      </c>
      <c r="P723" s="5"/>
      <c r="Q723" s="5"/>
      <c r="R723" s="8">
        <v>4.6296296296296294E-5</v>
      </c>
      <c r="S723" s="5" t="s">
        <v>37</v>
      </c>
      <c r="T723" t="str">
        <f>IF(Tabela1[[#This Row],[STATUS_NEGOCIO]]="Enviar E-mail",1,"")</f>
        <v/>
      </c>
      <c r="U723" t="str">
        <f>TEXT(Tabela1[[#This Row],[DATA]],"dd/mm/aaaa")</f>
        <v>22/04/2026</v>
      </c>
    </row>
    <row r="724" spans="1:21" x14ac:dyDescent="0.25">
      <c r="A724" s="4">
        <v>46134.605150462965</v>
      </c>
      <c r="B724" s="5" t="s">
        <v>19</v>
      </c>
      <c r="C724" s="5" t="s">
        <v>37</v>
      </c>
      <c r="D724" s="5">
        <v>40</v>
      </c>
      <c r="E724" s="6">
        <v>2604580000151</v>
      </c>
      <c r="F724" s="5">
        <v>40</v>
      </c>
      <c r="G724" s="7">
        <v>177687908549981</v>
      </c>
      <c r="H724" s="5" t="s">
        <v>300</v>
      </c>
      <c r="I724" s="5" t="s">
        <v>52</v>
      </c>
      <c r="J724" s="5" t="s">
        <v>22</v>
      </c>
      <c r="K724" s="5" t="s">
        <v>36</v>
      </c>
      <c r="L724" s="5" t="s">
        <v>36</v>
      </c>
      <c r="M724" s="5" t="s">
        <v>284</v>
      </c>
      <c r="N724" s="5" t="s">
        <v>53</v>
      </c>
      <c r="O724" s="5">
        <v>19</v>
      </c>
      <c r="P724" s="5"/>
      <c r="Q724" s="5"/>
      <c r="R724" s="8">
        <v>0</v>
      </c>
      <c r="S724" s="5" t="s">
        <v>37</v>
      </c>
      <c r="T724" t="str">
        <f>IF(Tabela1[[#This Row],[STATUS_NEGOCIO]]="Enviar E-mail",1,"")</f>
        <v/>
      </c>
      <c r="U724" t="str">
        <f>TEXT(Tabela1[[#This Row],[DATA]],"dd/mm/aaaa")</f>
        <v>22/04/2026</v>
      </c>
    </row>
    <row r="725" spans="1:21" x14ac:dyDescent="0.25">
      <c r="A725" s="4">
        <v>46134.605729166666</v>
      </c>
      <c r="B725" s="5" t="s">
        <v>19</v>
      </c>
      <c r="C725" s="5" t="s">
        <v>37</v>
      </c>
      <c r="D725" s="5">
        <v>41</v>
      </c>
      <c r="E725" s="6">
        <v>2605792000153</v>
      </c>
      <c r="F725" s="5">
        <v>41</v>
      </c>
      <c r="G725" s="7">
        <v>177687913550101</v>
      </c>
      <c r="H725" s="5" t="s">
        <v>183</v>
      </c>
      <c r="I725" s="5">
        <v>3003</v>
      </c>
      <c r="J725" s="5" t="s">
        <v>22</v>
      </c>
      <c r="K725" s="5" t="s">
        <v>23</v>
      </c>
      <c r="L725" s="5" t="s">
        <v>31</v>
      </c>
      <c r="M725" s="5" t="s">
        <v>284</v>
      </c>
      <c r="N725" s="5" t="s">
        <v>53</v>
      </c>
      <c r="O725" s="5">
        <v>128</v>
      </c>
      <c r="P725" s="5"/>
      <c r="Q725" s="5"/>
      <c r="R725" s="8">
        <v>8.1018518518518516E-5</v>
      </c>
      <c r="S725" s="5" t="s">
        <v>37</v>
      </c>
      <c r="T725" t="str">
        <f>IF(Tabela1[[#This Row],[STATUS_NEGOCIO]]="Enviar E-mail",1,"")</f>
        <v/>
      </c>
      <c r="U725" t="str">
        <f>TEXT(Tabela1[[#This Row],[DATA]],"dd/mm/aaaa")</f>
        <v>22/04/2026</v>
      </c>
    </row>
    <row r="726" spans="1:21" x14ac:dyDescent="0.25">
      <c r="A726" s="4">
        <v>46134.606006944443</v>
      </c>
      <c r="B726" s="5" t="s">
        <v>19</v>
      </c>
      <c r="C726" s="5" t="s">
        <v>37</v>
      </c>
      <c r="D726" s="5">
        <v>44</v>
      </c>
      <c r="E726" s="6">
        <v>2823246000199</v>
      </c>
      <c r="F726" s="5">
        <v>44</v>
      </c>
      <c r="G726" s="7">
        <v>177687915950151</v>
      </c>
      <c r="H726" s="5" t="s">
        <v>301</v>
      </c>
      <c r="I726" s="5">
        <v>3003</v>
      </c>
      <c r="J726" s="5" t="s">
        <v>22</v>
      </c>
      <c r="K726" s="5" t="s">
        <v>23</v>
      </c>
      <c r="L726" s="5" t="s">
        <v>31</v>
      </c>
      <c r="M726" s="5" t="s">
        <v>284</v>
      </c>
      <c r="N726" s="5" t="s">
        <v>53</v>
      </c>
      <c r="O726" s="5">
        <v>128</v>
      </c>
      <c r="P726" s="5"/>
      <c r="Q726" s="5"/>
      <c r="R726" s="8">
        <v>8.1018518518518516E-5</v>
      </c>
      <c r="S726" s="5" t="s">
        <v>37</v>
      </c>
      <c r="T726" t="str">
        <f>IF(Tabela1[[#This Row],[STATUS_NEGOCIO]]="Enviar E-mail",1,"")</f>
        <v/>
      </c>
      <c r="U726" t="str">
        <f>TEXT(Tabela1[[#This Row],[DATA]],"dd/mm/aaaa")</f>
        <v>22/04/2026</v>
      </c>
    </row>
    <row r="727" spans="1:21" x14ac:dyDescent="0.25">
      <c r="A727" s="4">
        <v>46134.606226851851</v>
      </c>
      <c r="B727" s="5" t="s">
        <v>19</v>
      </c>
      <c r="C727" s="5" t="s">
        <v>37</v>
      </c>
      <c r="D727" s="5">
        <v>46</v>
      </c>
      <c r="E727" s="6">
        <v>2961614000165</v>
      </c>
      <c r="F727" s="5">
        <v>46</v>
      </c>
      <c r="G727" s="7">
        <v>177687917850171</v>
      </c>
      <c r="H727" s="5" t="s">
        <v>192</v>
      </c>
      <c r="I727" s="5" t="s">
        <v>52</v>
      </c>
      <c r="J727" s="5" t="s">
        <v>22</v>
      </c>
      <c r="K727" s="5" t="s">
        <v>36</v>
      </c>
      <c r="L727" s="5" t="s">
        <v>36</v>
      </c>
      <c r="M727" s="5" t="s">
        <v>284</v>
      </c>
      <c r="N727" s="5" t="s">
        <v>53</v>
      </c>
      <c r="O727" s="5">
        <v>34</v>
      </c>
      <c r="P727" s="5"/>
      <c r="Q727" s="5"/>
      <c r="R727" s="8">
        <v>0</v>
      </c>
      <c r="S727" s="5" t="s">
        <v>37</v>
      </c>
      <c r="T727" t="str">
        <f>IF(Tabela1[[#This Row],[STATUS_NEGOCIO]]="Enviar E-mail",1,"")</f>
        <v/>
      </c>
      <c r="U727" t="str">
        <f>TEXT(Tabela1[[#This Row],[DATA]],"dd/mm/aaaa")</f>
        <v>22/04/2026</v>
      </c>
    </row>
    <row r="728" spans="1:21" x14ac:dyDescent="0.25">
      <c r="A728" s="4">
        <v>46134.606689814813</v>
      </c>
      <c r="B728" s="5" t="s">
        <v>19</v>
      </c>
      <c r="C728" s="5" t="s">
        <v>37</v>
      </c>
      <c r="D728" s="5">
        <v>47</v>
      </c>
      <c r="E728" s="6">
        <v>3063053000140</v>
      </c>
      <c r="F728" s="5">
        <v>47</v>
      </c>
      <c r="G728" s="7">
        <v>177687921850191</v>
      </c>
      <c r="H728" s="5" t="s">
        <v>302</v>
      </c>
      <c r="I728" s="5">
        <v>3003</v>
      </c>
      <c r="J728" s="5" t="s">
        <v>22</v>
      </c>
      <c r="K728" s="5" t="s">
        <v>23</v>
      </c>
      <c r="L728" s="5" t="s">
        <v>31</v>
      </c>
      <c r="M728" s="5" t="s">
        <v>284</v>
      </c>
      <c r="N728" s="5" t="s">
        <v>53</v>
      </c>
      <c r="O728" s="5">
        <v>128</v>
      </c>
      <c r="P728" s="5"/>
      <c r="Q728" s="5"/>
      <c r="R728" s="8">
        <v>6.9444444444444444E-5</v>
      </c>
      <c r="S728" s="5" t="s">
        <v>37</v>
      </c>
      <c r="T728" t="str">
        <f>IF(Tabela1[[#This Row],[STATUS_NEGOCIO]]="Enviar E-mail",1,"")</f>
        <v/>
      </c>
      <c r="U728" t="str">
        <f>TEXT(Tabela1[[#This Row],[DATA]],"dd/mm/aaaa")</f>
        <v>22/04/2026</v>
      </c>
    </row>
    <row r="729" spans="1:21" x14ac:dyDescent="0.25">
      <c r="A729" s="4">
        <v>46134.606921296298</v>
      </c>
      <c r="B729" s="5" t="s">
        <v>19</v>
      </c>
      <c r="C729" s="5" t="s">
        <v>37</v>
      </c>
      <c r="D729" s="5">
        <v>49</v>
      </c>
      <c r="E729" s="6">
        <v>3130917000107</v>
      </c>
      <c r="F729" s="5">
        <v>49</v>
      </c>
      <c r="G729" s="7">
        <v>177687923850301</v>
      </c>
      <c r="H729" s="5" t="s">
        <v>303</v>
      </c>
      <c r="I729" s="5">
        <v>3003</v>
      </c>
      <c r="J729" s="5" t="s">
        <v>22</v>
      </c>
      <c r="K729" s="5" t="s">
        <v>23</v>
      </c>
      <c r="L729" s="5" t="s">
        <v>31</v>
      </c>
      <c r="M729" s="5" t="s">
        <v>284</v>
      </c>
      <c r="N729" s="5" t="s">
        <v>53</v>
      </c>
      <c r="O729" s="5">
        <v>128</v>
      </c>
      <c r="P729" s="5"/>
      <c r="Q729" s="5"/>
      <c r="R729" s="8">
        <v>8.1018518518518516E-5</v>
      </c>
      <c r="S729" s="5" t="s">
        <v>37</v>
      </c>
      <c r="T729" t="str">
        <f>IF(Tabela1[[#This Row],[STATUS_NEGOCIO]]="Enviar E-mail",1,"")</f>
        <v/>
      </c>
      <c r="U729" t="str">
        <f>TEXT(Tabela1[[#This Row],[DATA]],"dd/mm/aaaa")</f>
        <v>22/04/2026</v>
      </c>
    </row>
    <row r="730" spans="1:21" x14ac:dyDescent="0.25">
      <c r="A730" s="4">
        <v>46134.607418981483</v>
      </c>
      <c r="B730" s="5" t="s">
        <v>19</v>
      </c>
      <c r="C730" s="5" t="s">
        <v>37</v>
      </c>
      <c r="D730" s="5">
        <v>50</v>
      </c>
      <c r="E730" s="6">
        <v>3135802000105</v>
      </c>
      <c r="F730" s="5">
        <v>50</v>
      </c>
      <c r="G730" s="7">
        <v>177687928150391</v>
      </c>
      <c r="H730" s="5" t="s">
        <v>304</v>
      </c>
      <c r="I730" s="5">
        <v>3003</v>
      </c>
      <c r="J730" s="5" t="s">
        <v>22</v>
      </c>
      <c r="K730" s="5" t="s">
        <v>23</v>
      </c>
      <c r="L730" s="5" t="s">
        <v>31</v>
      </c>
      <c r="M730" s="5" t="s">
        <v>284</v>
      </c>
      <c r="N730" s="5" t="s">
        <v>53</v>
      </c>
      <c r="O730" s="5">
        <v>147</v>
      </c>
      <c r="P730" s="5"/>
      <c r="Q730" s="5"/>
      <c r="R730" s="8">
        <v>8.1018518518518516E-5</v>
      </c>
      <c r="S730" s="5" t="s">
        <v>37</v>
      </c>
      <c r="T730" t="str">
        <f>IF(Tabela1[[#This Row],[STATUS_NEGOCIO]]="Enviar E-mail",1,"")</f>
        <v/>
      </c>
      <c r="U730" t="str">
        <f>TEXT(Tabela1[[#This Row],[DATA]],"dd/mm/aaaa")</f>
        <v>22/04/2026</v>
      </c>
    </row>
    <row r="731" spans="1:21" x14ac:dyDescent="0.25">
      <c r="A731" s="4">
        <v>46134.607777777775</v>
      </c>
      <c r="B731" s="5" t="s">
        <v>19</v>
      </c>
      <c r="C731" s="5" t="s">
        <v>37</v>
      </c>
      <c r="D731" s="5">
        <v>51</v>
      </c>
      <c r="E731" s="6">
        <v>3276131000194</v>
      </c>
      <c r="F731" s="5">
        <v>51</v>
      </c>
      <c r="G731" s="7">
        <v>177687931250411</v>
      </c>
      <c r="H731" s="5" t="s">
        <v>210</v>
      </c>
      <c r="I731" s="5">
        <v>3003</v>
      </c>
      <c r="J731" s="5" t="s">
        <v>22</v>
      </c>
      <c r="K731" s="5" t="s">
        <v>23</v>
      </c>
      <c r="L731" s="5" t="s">
        <v>31</v>
      </c>
      <c r="M731" s="5" t="s">
        <v>284</v>
      </c>
      <c r="N731" s="5" t="s">
        <v>53</v>
      </c>
      <c r="O731" s="5">
        <v>147</v>
      </c>
      <c r="P731" s="5"/>
      <c r="Q731" s="5"/>
      <c r="R731" s="8">
        <v>8.1018518518518516E-5</v>
      </c>
      <c r="S731" s="5" t="s">
        <v>37</v>
      </c>
      <c r="T731" t="str">
        <f>IF(Tabela1[[#This Row],[STATUS_NEGOCIO]]="Enviar E-mail",1,"")</f>
        <v/>
      </c>
      <c r="U731" t="str">
        <f>TEXT(Tabela1[[#This Row],[DATA]],"dd/mm/aaaa")</f>
        <v>22/04/2026</v>
      </c>
    </row>
    <row r="732" spans="1:21" x14ac:dyDescent="0.25">
      <c r="A732" s="4">
        <v>46134.607928240737</v>
      </c>
      <c r="B732" s="5" t="s">
        <v>19</v>
      </c>
      <c r="C732" s="5" t="s">
        <v>37</v>
      </c>
      <c r="D732" s="5">
        <v>52</v>
      </c>
      <c r="E732" s="6">
        <v>3311811000100</v>
      </c>
      <c r="F732" s="5">
        <v>52</v>
      </c>
      <c r="G732" s="7">
        <v>177687932550471</v>
      </c>
      <c r="H732" s="5" t="s">
        <v>305</v>
      </c>
      <c r="I732" s="5">
        <v>3003</v>
      </c>
      <c r="J732" s="5" t="s">
        <v>22</v>
      </c>
      <c r="K732" s="5" t="s">
        <v>23</v>
      </c>
      <c r="L732" s="5" t="s">
        <v>31</v>
      </c>
      <c r="M732" s="5" t="s">
        <v>284</v>
      </c>
      <c r="N732" s="5" t="s">
        <v>53</v>
      </c>
      <c r="O732" s="5">
        <v>128</v>
      </c>
      <c r="P732" s="5"/>
      <c r="Q732" s="5"/>
      <c r="R732" s="8">
        <v>6.9444444444444444E-5</v>
      </c>
      <c r="S732" s="5" t="s">
        <v>37</v>
      </c>
      <c r="T732" t="str">
        <f>IF(Tabela1[[#This Row],[STATUS_NEGOCIO]]="Enviar E-mail",1,"")</f>
        <v/>
      </c>
      <c r="U732" t="str">
        <f>TEXT(Tabela1[[#This Row],[DATA]],"dd/mm/aaaa")</f>
        <v>22/04/2026</v>
      </c>
    </row>
    <row r="733" spans="1:21" x14ac:dyDescent="0.25">
      <c r="A733" s="4">
        <v>46134.608275462961</v>
      </c>
      <c r="B733" s="5" t="s">
        <v>19</v>
      </c>
      <c r="C733" s="5" t="s">
        <v>37</v>
      </c>
      <c r="D733" s="5">
        <v>53</v>
      </c>
      <c r="E733" s="6">
        <v>3463826000185</v>
      </c>
      <c r="F733" s="5">
        <v>53</v>
      </c>
      <c r="G733" s="7">
        <v>177687935550611</v>
      </c>
      <c r="H733" s="5" t="s">
        <v>306</v>
      </c>
      <c r="I733" s="5">
        <v>3003</v>
      </c>
      <c r="J733" s="5" t="s">
        <v>22</v>
      </c>
      <c r="K733" s="5" t="s">
        <v>23</v>
      </c>
      <c r="L733" s="5" t="s">
        <v>31</v>
      </c>
      <c r="M733" s="5" t="s">
        <v>284</v>
      </c>
      <c r="N733" s="5" t="s">
        <v>53</v>
      </c>
      <c r="O733" s="5">
        <v>128</v>
      </c>
      <c r="P733" s="5"/>
      <c r="Q733" s="5"/>
      <c r="R733" s="8">
        <v>8.1018518518518516E-5</v>
      </c>
      <c r="S733" s="5" t="s">
        <v>37</v>
      </c>
      <c r="T733" t="str">
        <f>IF(Tabela1[[#This Row],[STATUS_NEGOCIO]]="Enviar E-mail",1,"")</f>
        <v/>
      </c>
      <c r="U733" t="str">
        <f>TEXT(Tabela1[[#This Row],[DATA]],"dd/mm/aaaa")</f>
        <v>22/04/2026</v>
      </c>
    </row>
    <row r="734" spans="1:21" x14ac:dyDescent="0.25">
      <c r="A734" s="4">
        <v>46134.608402777776</v>
      </c>
      <c r="B734" s="5" t="s">
        <v>19</v>
      </c>
      <c r="C734" s="5" t="s">
        <v>27</v>
      </c>
      <c r="D734" s="5">
        <v>54</v>
      </c>
      <c r="E734" s="6">
        <v>3478949000190</v>
      </c>
      <c r="F734" s="5">
        <v>54</v>
      </c>
      <c r="G734" s="7">
        <v>177687936650631</v>
      </c>
      <c r="H734" s="5" t="s">
        <v>307</v>
      </c>
      <c r="I734" s="5">
        <v>3003</v>
      </c>
      <c r="J734" s="5" t="s">
        <v>22</v>
      </c>
      <c r="K734" s="5" t="s">
        <v>23</v>
      </c>
      <c r="L734" s="5" t="s">
        <v>24</v>
      </c>
      <c r="M734" s="5" t="s">
        <v>284</v>
      </c>
      <c r="N734" s="5" t="s">
        <v>26</v>
      </c>
      <c r="O734" s="5">
        <v>16</v>
      </c>
      <c r="P734" s="5"/>
      <c r="Q734" s="5"/>
      <c r="R734" s="8">
        <v>5.4398148148148144E-4</v>
      </c>
      <c r="S734" s="8">
        <v>4.861111111111111E-4</v>
      </c>
      <c r="T734" t="str">
        <f>IF(Tabela1[[#This Row],[STATUS_NEGOCIO]]="Enviar E-mail",1,"")</f>
        <v/>
      </c>
      <c r="U734" t="str">
        <f>TEXT(Tabela1[[#This Row],[DATA]],"dd/mm/aaaa")</f>
        <v>22/04/2026</v>
      </c>
    </row>
    <row r="735" spans="1:21" x14ac:dyDescent="0.25">
      <c r="A735" s="4">
        <v>46134.608402777776</v>
      </c>
      <c r="B735" s="5" t="s">
        <v>19</v>
      </c>
      <c r="C735" s="5" t="s">
        <v>37</v>
      </c>
      <c r="D735" s="5">
        <v>55</v>
      </c>
      <c r="E735" s="6">
        <v>3488597000153</v>
      </c>
      <c r="F735" s="5">
        <v>55</v>
      </c>
      <c r="G735" s="7">
        <v>177687936650641</v>
      </c>
      <c r="H735" s="5" t="s">
        <v>308</v>
      </c>
      <c r="I735" s="5">
        <v>3003</v>
      </c>
      <c r="J735" s="5" t="s">
        <v>22</v>
      </c>
      <c r="K735" s="5" t="s">
        <v>23</v>
      </c>
      <c r="L735" s="5" t="s">
        <v>31</v>
      </c>
      <c r="M735" s="5" t="s">
        <v>284</v>
      </c>
      <c r="N735" s="5" t="s">
        <v>53</v>
      </c>
      <c r="O735" s="5">
        <v>128</v>
      </c>
      <c r="P735" s="5"/>
      <c r="Q735" s="5"/>
      <c r="R735" s="8">
        <v>8.1018518518518516E-5</v>
      </c>
      <c r="S735" s="5" t="s">
        <v>37</v>
      </c>
      <c r="T735" t="str">
        <f>IF(Tabela1[[#This Row],[STATUS_NEGOCIO]]="Enviar E-mail",1,"")</f>
        <v/>
      </c>
      <c r="U735" t="str">
        <f>TEXT(Tabela1[[#This Row],[DATA]],"dd/mm/aaaa")</f>
        <v>22/04/2026</v>
      </c>
    </row>
    <row r="736" spans="1:21" x14ac:dyDescent="0.25">
      <c r="A736" s="4">
        <v>46134.608402777776</v>
      </c>
      <c r="B736" s="5" t="s">
        <v>19</v>
      </c>
      <c r="C736" s="5" t="s">
        <v>37</v>
      </c>
      <c r="D736" s="5">
        <v>56</v>
      </c>
      <c r="E736" s="6">
        <v>3569821000131</v>
      </c>
      <c r="F736" s="5">
        <v>56</v>
      </c>
      <c r="G736" s="7">
        <v>177687936650651</v>
      </c>
      <c r="H736" s="5" t="s">
        <v>309</v>
      </c>
      <c r="I736" s="5">
        <v>3003</v>
      </c>
      <c r="J736" s="5" t="s">
        <v>22</v>
      </c>
      <c r="K736" s="5" t="s">
        <v>23</v>
      </c>
      <c r="L736" s="5" t="s">
        <v>31</v>
      </c>
      <c r="M736" s="5" t="s">
        <v>284</v>
      </c>
      <c r="N736" s="5" t="s">
        <v>53</v>
      </c>
      <c r="O736" s="5">
        <v>128</v>
      </c>
      <c r="P736" s="5"/>
      <c r="Q736" s="5"/>
      <c r="R736" s="8">
        <v>8.1018518518518516E-5</v>
      </c>
      <c r="S736" s="5" t="s">
        <v>37</v>
      </c>
      <c r="T736" t="str">
        <f>IF(Tabela1[[#This Row],[STATUS_NEGOCIO]]="Enviar E-mail",1,"")</f>
        <v/>
      </c>
      <c r="U736" t="str">
        <f>TEXT(Tabela1[[#This Row],[DATA]],"dd/mm/aaaa")</f>
        <v>22/04/2026</v>
      </c>
    </row>
    <row r="737" spans="1:21" x14ac:dyDescent="0.25">
      <c r="A737" s="4">
        <v>46134.608402777776</v>
      </c>
      <c r="B737" s="5" t="s">
        <v>19</v>
      </c>
      <c r="C737" s="5" t="s">
        <v>37</v>
      </c>
      <c r="D737" s="5">
        <v>57</v>
      </c>
      <c r="E737" s="6">
        <v>3651229000184</v>
      </c>
      <c r="F737" s="5">
        <v>57</v>
      </c>
      <c r="G737" s="7">
        <v>177687936650661</v>
      </c>
      <c r="H737" s="5" t="s">
        <v>310</v>
      </c>
      <c r="I737" s="5">
        <v>3003</v>
      </c>
      <c r="J737" s="5" t="s">
        <v>22</v>
      </c>
      <c r="K737" s="5" t="s">
        <v>23</v>
      </c>
      <c r="L737" s="5" t="s">
        <v>31</v>
      </c>
      <c r="M737" s="5" t="s">
        <v>284</v>
      </c>
      <c r="N737" s="5" t="s">
        <v>53</v>
      </c>
      <c r="O737" s="5">
        <v>128</v>
      </c>
      <c r="P737" s="5"/>
      <c r="Q737" s="5"/>
      <c r="R737" s="8">
        <v>8.1018518518518516E-5</v>
      </c>
      <c r="S737" s="5" t="s">
        <v>37</v>
      </c>
      <c r="T737" t="str">
        <f>IF(Tabela1[[#This Row],[STATUS_NEGOCIO]]="Enviar E-mail",1,"")</f>
        <v/>
      </c>
      <c r="U737" t="str">
        <f>TEXT(Tabela1[[#This Row],[DATA]],"dd/mm/aaaa")</f>
        <v>22/04/2026</v>
      </c>
    </row>
    <row r="738" spans="1:21" x14ac:dyDescent="0.25">
      <c r="A738" s="4">
        <v>46134.608402777776</v>
      </c>
      <c r="B738" s="5" t="s">
        <v>19</v>
      </c>
      <c r="C738" s="5" t="s">
        <v>37</v>
      </c>
      <c r="D738" s="5">
        <v>59</v>
      </c>
      <c r="E738" s="6">
        <v>3904574000182</v>
      </c>
      <c r="F738" s="5">
        <v>59</v>
      </c>
      <c r="G738" s="7">
        <v>177687936650671</v>
      </c>
      <c r="H738" s="5" t="s">
        <v>312</v>
      </c>
      <c r="I738" s="5">
        <v>3003</v>
      </c>
      <c r="J738" s="5" t="s">
        <v>22</v>
      </c>
      <c r="K738" s="5" t="s">
        <v>23</v>
      </c>
      <c r="L738" s="5" t="s">
        <v>31</v>
      </c>
      <c r="M738" s="5" t="s">
        <v>284</v>
      </c>
      <c r="N738" s="5" t="s">
        <v>53</v>
      </c>
      <c r="O738" s="5">
        <v>128</v>
      </c>
      <c r="P738" s="5"/>
      <c r="Q738" s="5"/>
      <c r="R738" s="8">
        <v>6.9444444444444444E-5</v>
      </c>
      <c r="S738" s="5" t="s">
        <v>37</v>
      </c>
      <c r="T738" t="str">
        <f>IF(Tabela1[[#This Row],[STATUS_NEGOCIO]]="Enviar E-mail",1,"")</f>
        <v/>
      </c>
      <c r="U738" t="str">
        <f>TEXT(Tabela1[[#This Row],[DATA]],"dd/mm/aaaa")</f>
        <v>22/04/2026</v>
      </c>
    </row>
    <row r="739" spans="1:21" x14ac:dyDescent="0.25">
      <c r="A739" s="4">
        <v>46134.608402777776</v>
      </c>
      <c r="B739" s="5" t="s">
        <v>19</v>
      </c>
      <c r="C739" s="5" t="s">
        <v>37</v>
      </c>
      <c r="D739" s="5">
        <v>60</v>
      </c>
      <c r="E739" s="6">
        <v>3954733000153</v>
      </c>
      <c r="F739" s="5">
        <v>60</v>
      </c>
      <c r="G739" s="7">
        <v>177687936650681</v>
      </c>
      <c r="H739" s="5" t="s">
        <v>313</v>
      </c>
      <c r="I739" s="5">
        <v>3003</v>
      </c>
      <c r="J739" s="5" t="s">
        <v>22</v>
      </c>
      <c r="K739" s="5" t="s">
        <v>23</v>
      </c>
      <c r="L739" s="5" t="s">
        <v>31</v>
      </c>
      <c r="M739" s="5" t="s">
        <v>284</v>
      </c>
      <c r="N739" s="5" t="s">
        <v>53</v>
      </c>
      <c r="O739" s="5">
        <v>128</v>
      </c>
      <c r="P739" s="5"/>
      <c r="Q739" s="5"/>
      <c r="R739" s="8">
        <v>8.1018518518518516E-5</v>
      </c>
      <c r="S739" s="5" t="s">
        <v>37</v>
      </c>
      <c r="T739" t="str">
        <f>IF(Tabela1[[#This Row],[STATUS_NEGOCIO]]="Enviar E-mail",1,"")</f>
        <v/>
      </c>
      <c r="U739" t="str">
        <f>TEXT(Tabela1[[#This Row],[DATA]],"dd/mm/aaaa")</f>
        <v>22/04/2026</v>
      </c>
    </row>
    <row r="740" spans="1:21" x14ac:dyDescent="0.25">
      <c r="A740" s="4">
        <v>46134.608402777776</v>
      </c>
      <c r="B740" s="5" t="s">
        <v>19</v>
      </c>
      <c r="C740" s="5" t="s">
        <v>37</v>
      </c>
      <c r="D740" s="5">
        <v>61</v>
      </c>
      <c r="E740" s="6">
        <v>3995747000115</v>
      </c>
      <c r="F740" s="5">
        <v>61</v>
      </c>
      <c r="G740" s="7">
        <v>177687936650691</v>
      </c>
      <c r="H740" s="5" t="s">
        <v>314</v>
      </c>
      <c r="I740" s="5">
        <v>3003</v>
      </c>
      <c r="J740" s="5" t="s">
        <v>22</v>
      </c>
      <c r="K740" s="5" t="s">
        <v>23</v>
      </c>
      <c r="L740" s="5" t="s">
        <v>31</v>
      </c>
      <c r="M740" s="5" t="s">
        <v>284</v>
      </c>
      <c r="N740" s="5" t="s">
        <v>53</v>
      </c>
      <c r="O740" s="5">
        <v>128</v>
      </c>
      <c r="P740" s="5"/>
      <c r="Q740" s="5"/>
      <c r="R740" s="8">
        <v>8.1018518518518516E-5</v>
      </c>
      <c r="S740" s="5" t="s">
        <v>37</v>
      </c>
      <c r="T740" t="str">
        <f>IF(Tabela1[[#This Row],[STATUS_NEGOCIO]]="Enviar E-mail",1,"")</f>
        <v/>
      </c>
      <c r="U740" t="str">
        <f>TEXT(Tabela1[[#This Row],[DATA]],"dd/mm/aaaa")</f>
        <v>22/04/2026</v>
      </c>
    </row>
    <row r="741" spans="1:21" x14ac:dyDescent="0.25">
      <c r="A741" s="4">
        <v>46134.608402777776</v>
      </c>
      <c r="B741" s="5" t="s">
        <v>19</v>
      </c>
      <c r="C741" s="5" t="s">
        <v>37</v>
      </c>
      <c r="D741" s="5">
        <v>62</v>
      </c>
      <c r="E741" s="6">
        <v>4028062000162</v>
      </c>
      <c r="F741" s="5">
        <v>62</v>
      </c>
      <c r="G741" s="7">
        <v>177687936650701</v>
      </c>
      <c r="H741" s="5" t="s">
        <v>315</v>
      </c>
      <c r="I741" s="5" t="s">
        <v>52</v>
      </c>
      <c r="J741" s="5" t="s">
        <v>22</v>
      </c>
      <c r="K741" s="5" t="s">
        <v>36</v>
      </c>
      <c r="L741" s="5" t="s">
        <v>36</v>
      </c>
      <c r="M741" s="5" t="s">
        <v>284</v>
      </c>
      <c r="N741" s="5" t="s">
        <v>53</v>
      </c>
      <c r="O741" s="5">
        <v>34</v>
      </c>
      <c r="P741" s="5"/>
      <c r="Q741" s="5"/>
      <c r="R741" s="8">
        <v>0</v>
      </c>
      <c r="S741" s="5" t="s">
        <v>37</v>
      </c>
      <c r="T741" t="str">
        <f>IF(Tabela1[[#This Row],[STATUS_NEGOCIO]]="Enviar E-mail",1,"")</f>
        <v/>
      </c>
      <c r="U741" t="str">
        <f>TEXT(Tabela1[[#This Row],[DATA]],"dd/mm/aaaa")</f>
        <v>22/04/2026</v>
      </c>
    </row>
    <row r="742" spans="1:21" x14ac:dyDescent="0.25">
      <c r="A742" s="4">
        <v>46134.608402777776</v>
      </c>
      <c r="B742" s="5" t="s">
        <v>19</v>
      </c>
      <c r="C742" s="5" t="s">
        <v>37</v>
      </c>
      <c r="D742" s="5">
        <v>63</v>
      </c>
      <c r="E742" s="6">
        <v>4044746000158</v>
      </c>
      <c r="F742" s="5">
        <v>63</v>
      </c>
      <c r="G742" s="7">
        <v>177687936650711</v>
      </c>
      <c r="H742" s="5" t="s">
        <v>110</v>
      </c>
      <c r="I742" s="5" t="s">
        <v>52</v>
      </c>
      <c r="J742" s="5" t="s">
        <v>22</v>
      </c>
      <c r="K742" s="5" t="s">
        <v>36</v>
      </c>
      <c r="L742" s="5" t="s">
        <v>36</v>
      </c>
      <c r="M742" s="5" t="s">
        <v>284</v>
      </c>
      <c r="N742" s="5" t="s">
        <v>53</v>
      </c>
      <c r="O742" s="5">
        <v>34</v>
      </c>
      <c r="P742" s="5"/>
      <c r="Q742" s="5"/>
      <c r="R742" s="8">
        <v>0</v>
      </c>
      <c r="S742" s="5" t="s">
        <v>37</v>
      </c>
      <c r="T742" t="str">
        <f>IF(Tabela1[[#This Row],[STATUS_NEGOCIO]]="Enviar E-mail",1,"")</f>
        <v/>
      </c>
      <c r="U742" t="str">
        <f>TEXT(Tabela1[[#This Row],[DATA]],"dd/mm/aaaa")</f>
        <v>22/04/2026</v>
      </c>
    </row>
    <row r="743" spans="1:21" x14ac:dyDescent="0.25">
      <c r="A743" s="4">
        <v>46134.608402777776</v>
      </c>
      <c r="B743" s="5" t="s">
        <v>19</v>
      </c>
      <c r="C743" s="5" t="s">
        <v>37</v>
      </c>
      <c r="D743" s="5">
        <v>64</v>
      </c>
      <c r="E743" s="6">
        <v>4048649000133</v>
      </c>
      <c r="F743" s="5">
        <v>64</v>
      </c>
      <c r="G743" s="7">
        <v>177687936650721</v>
      </c>
      <c r="H743" s="5" t="s">
        <v>137</v>
      </c>
      <c r="I743" s="5" t="s">
        <v>52</v>
      </c>
      <c r="J743" s="5" t="s">
        <v>22</v>
      </c>
      <c r="K743" s="5" t="s">
        <v>36</v>
      </c>
      <c r="L743" s="5" t="s">
        <v>36</v>
      </c>
      <c r="M743" s="5" t="s">
        <v>284</v>
      </c>
      <c r="N743" s="5" t="s">
        <v>53</v>
      </c>
      <c r="O743" s="5">
        <v>34</v>
      </c>
      <c r="P743" s="5"/>
      <c r="Q743" s="5"/>
      <c r="R743" s="8">
        <v>0</v>
      </c>
      <c r="S743" s="5" t="s">
        <v>37</v>
      </c>
      <c r="T743" t="str">
        <f>IF(Tabela1[[#This Row],[STATUS_NEGOCIO]]="Enviar E-mail",1,"")</f>
        <v/>
      </c>
      <c r="U743" t="str">
        <f>TEXT(Tabela1[[#This Row],[DATA]],"dd/mm/aaaa")</f>
        <v>22/04/2026</v>
      </c>
    </row>
    <row r="744" spans="1:21" x14ac:dyDescent="0.25">
      <c r="A744" s="4">
        <v>46134.608402777776</v>
      </c>
      <c r="B744" s="5" t="s">
        <v>19</v>
      </c>
      <c r="C744" s="5" t="s">
        <v>37</v>
      </c>
      <c r="D744" s="5">
        <v>65</v>
      </c>
      <c r="E744" s="6">
        <v>4063828000140</v>
      </c>
      <c r="F744" s="5">
        <v>65</v>
      </c>
      <c r="G744" s="7">
        <v>177687936650731</v>
      </c>
      <c r="H744" s="5" t="s">
        <v>316</v>
      </c>
      <c r="I744" s="5" t="s">
        <v>52</v>
      </c>
      <c r="J744" s="5" t="s">
        <v>22</v>
      </c>
      <c r="K744" s="5" t="s">
        <v>36</v>
      </c>
      <c r="L744" s="5" t="s">
        <v>36</v>
      </c>
      <c r="M744" s="5" t="s">
        <v>284</v>
      </c>
      <c r="N744" s="5" t="s">
        <v>53</v>
      </c>
      <c r="O744" s="5">
        <v>34</v>
      </c>
      <c r="P744" s="5"/>
      <c r="Q744" s="5"/>
      <c r="R744" s="8">
        <v>0</v>
      </c>
      <c r="S744" s="5" t="s">
        <v>37</v>
      </c>
      <c r="T744" t="str">
        <f>IF(Tabela1[[#This Row],[STATUS_NEGOCIO]]="Enviar E-mail",1,"")</f>
        <v/>
      </c>
      <c r="U744" t="str">
        <f>TEXT(Tabela1[[#This Row],[DATA]],"dd/mm/aaaa")</f>
        <v>22/04/2026</v>
      </c>
    </row>
    <row r="745" spans="1:21" x14ac:dyDescent="0.25">
      <c r="A745" s="4">
        <v>46134.608402777776</v>
      </c>
      <c r="B745" s="5" t="s">
        <v>19</v>
      </c>
      <c r="C745" s="5" t="s">
        <v>37</v>
      </c>
      <c r="D745" s="5">
        <v>66</v>
      </c>
      <c r="E745" s="6">
        <v>4137354000133</v>
      </c>
      <c r="F745" s="5">
        <v>66</v>
      </c>
      <c r="G745" s="7">
        <v>177687936650741</v>
      </c>
      <c r="H745" s="5" t="s">
        <v>136</v>
      </c>
      <c r="I745" s="5" t="s">
        <v>52</v>
      </c>
      <c r="J745" s="5" t="s">
        <v>22</v>
      </c>
      <c r="K745" s="5" t="s">
        <v>36</v>
      </c>
      <c r="L745" s="5" t="s">
        <v>36</v>
      </c>
      <c r="M745" s="5" t="s">
        <v>284</v>
      </c>
      <c r="N745" s="5" t="s">
        <v>53</v>
      </c>
      <c r="O745" s="5">
        <v>34</v>
      </c>
      <c r="P745" s="5"/>
      <c r="Q745" s="5"/>
      <c r="R745" s="8">
        <v>0</v>
      </c>
      <c r="S745" s="5" t="s">
        <v>37</v>
      </c>
      <c r="T745" t="str">
        <f>IF(Tabela1[[#This Row],[STATUS_NEGOCIO]]="Enviar E-mail",1,"")</f>
        <v/>
      </c>
      <c r="U745" t="str">
        <f>TEXT(Tabela1[[#This Row],[DATA]],"dd/mm/aaaa")</f>
        <v>22/04/2026</v>
      </c>
    </row>
    <row r="746" spans="1:21" x14ac:dyDescent="0.25">
      <c r="A746" s="4">
        <v>46134.608402777776</v>
      </c>
      <c r="B746" s="5" t="s">
        <v>19</v>
      </c>
      <c r="C746" s="5" t="s">
        <v>37</v>
      </c>
      <c r="D746" s="5">
        <v>67</v>
      </c>
      <c r="E746" s="6">
        <v>4160599000181</v>
      </c>
      <c r="F746" s="5">
        <v>67</v>
      </c>
      <c r="G746" s="7">
        <v>177687936650751</v>
      </c>
      <c r="H746" s="5" t="s">
        <v>238</v>
      </c>
      <c r="I746" s="5" t="s">
        <v>52</v>
      </c>
      <c r="J746" s="5" t="s">
        <v>22</v>
      </c>
      <c r="K746" s="5" t="s">
        <v>36</v>
      </c>
      <c r="L746" s="5" t="s">
        <v>36</v>
      </c>
      <c r="M746" s="5" t="s">
        <v>284</v>
      </c>
      <c r="N746" s="5" t="s">
        <v>53</v>
      </c>
      <c r="O746" s="5">
        <v>34</v>
      </c>
      <c r="P746" s="5"/>
      <c r="Q746" s="5"/>
      <c r="R746" s="8">
        <v>0</v>
      </c>
      <c r="S746" s="5" t="s">
        <v>37</v>
      </c>
      <c r="T746" t="str">
        <f>IF(Tabela1[[#This Row],[STATUS_NEGOCIO]]="Enviar E-mail",1,"")</f>
        <v/>
      </c>
      <c r="U746" t="str">
        <f>TEXT(Tabela1[[#This Row],[DATA]],"dd/mm/aaaa")</f>
        <v>22/04/2026</v>
      </c>
    </row>
    <row r="747" spans="1:21" x14ac:dyDescent="0.25">
      <c r="A747" s="4">
        <v>46134.608402777776</v>
      </c>
      <c r="B747" s="5" t="s">
        <v>19</v>
      </c>
      <c r="C747" s="5" t="s">
        <v>37</v>
      </c>
      <c r="D747" s="5">
        <v>68</v>
      </c>
      <c r="E747" s="6">
        <v>4356149000169</v>
      </c>
      <c r="F747" s="5">
        <v>68</v>
      </c>
      <c r="G747" s="7">
        <v>177687936650771</v>
      </c>
      <c r="H747" s="5" t="s">
        <v>317</v>
      </c>
      <c r="I747" s="5" t="s">
        <v>52</v>
      </c>
      <c r="J747" s="5" t="s">
        <v>22</v>
      </c>
      <c r="K747" s="5" t="s">
        <v>36</v>
      </c>
      <c r="L747" s="5" t="s">
        <v>36</v>
      </c>
      <c r="M747" s="5" t="s">
        <v>284</v>
      </c>
      <c r="N747" s="5" t="s">
        <v>53</v>
      </c>
      <c r="O747" s="5">
        <v>19</v>
      </c>
      <c r="P747" s="5"/>
      <c r="Q747" s="5"/>
      <c r="R747" s="8">
        <v>0</v>
      </c>
      <c r="S747" s="5" t="s">
        <v>37</v>
      </c>
      <c r="T747" t="str">
        <f>IF(Tabela1[[#This Row],[STATUS_NEGOCIO]]="Enviar E-mail",1,"")</f>
        <v/>
      </c>
      <c r="U747" t="str">
        <f>TEXT(Tabela1[[#This Row],[DATA]],"dd/mm/aaaa")</f>
        <v>22/04/2026</v>
      </c>
    </row>
    <row r="748" spans="1:21" x14ac:dyDescent="0.25">
      <c r="A748" s="4">
        <v>46134.608402777776</v>
      </c>
      <c r="B748" s="5" t="s">
        <v>19</v>
      </c>
      <c r="C748" s="5" t="s">
        <v>37</v>
      </c>
      <c r="D748" s="5">
        <v>69</v>
      </c>
      <c r="E748" s="6">
        <v>4371864000170</v>
      </c>
      <c r="F748" s="5">
        <v>69</v>
      </c>
      <c r="G748" s="7">
        <v>177687936650781</v>
      </c>
      <c r="H748" s="5" t="s">
        <v>318</v>
      </c>
      <c r="I748" s="5" t="s">
        <v>52</v>
      </c>
      <c r="J748" s="5" t="s">
        <v>22</v>
      </c>
      <c r="K748" s="5" t="s">
        <v>36</v>
      </c>
      <c r="L748" s="5" t="s">
        <v>36</v>
      </c>
      <c r="M748" s="5" t="s">
        <v>284</v>
      </c>
      <c r="N748" s="5" t="s">
        <v>53</v>
      </c>
      <c r="O748" s="5">
        <v>34</v>
      </c>
      <c r="P748" s="5"/>
      <c r="Q748" s="5"/>
      <c r="R748" s="8">
        <v>0</v>
      </c>
      <c r="S748" s="5" t="s">
        <v>37</v>
      </c>
      <c r="T748" t="str">
        <f>IF(Tabela1[[#This Row],[STATUS_NEGOCIO]]="Enviar E-mail",1,"")</f>
        <v/>
      </c>
      <c r="U748" t="str">
        <f>TEXT(Tabela1[[#This Row],[DATA]],"dd/mm/aaaa")</f>
        <v>22/04/2026</v>
      </c>
    </row>
    <row r="749" spans="1:21" x14ac:dyDescent="0.25">
      <c r="A749" s="4">
        <v>46134.608414351853</v>
      </c>
      <c r="B749" s="5" t="s">
        <v>19</v>
      </c>
      <c r="C749" s="5" t="s">
        <v>37</v>
      </c>
      <c r="D749" s="5">
        <v>70</v>
      </c>
      <c r="E749" s="6">
        <v>4373195000176</v>
      </c>
      <c r="F749" s="5">
        <v>70</v>
      </c>
      <c r="G749" s="7">
        <v>177687936750791</v>
      </c>
      <c r="H749" s="5" t="s">
        <v>319</v>
      </c>
      <c r="I749" s="5">
        <v>3003</v>
      </c>
      <c r="J749" s="5" t="s">
        <v>22</v>
      </c>
      <c r="K749" s="5" t="s">
        <v>23</v>
      </c>
      <c r="L749" s="5" t="s">
        <v>31</v>
      </c>
      <c r="M749" s="5" t="s">
        <v>284</v>
      </c>
      <c r="N749" s="5" t="s">
        <v>53</v>
      </c>
      <c r="O749" s="5">
        <v>128</v>
      </c>
      <c r="P749" s="5"/>
      <c r="Q749" s="5"/>
      <c r="R749" s="8">
        <v>8.1018518518518516E-5</v>
      </c>
      <c r="S749" s="5" t="s">
        <v>37</v>
      </c>
      <c r="T749" t="str">
        <f>IF(Tabela1[[#This Row],[STATUS_NEGOCIO]]="Enviar E-mail",1,"")</f>
        <v/>
      </c>
      <c r="U749" t="str">
        <f>TEXT(Tabela1[[#This Row],[DATA]],"dd/mm/aaaa")</f>
        <v>22/04/2026</v>
      </c>
    </row>
    <row r="750" spans="1:21" x14ac:dyDescent="0.25">
      <c r="A750" s="4">
        <v>46134.608449074076</v>
      </c>
      <c r="B750" s="5" t="s">
        <v>19</v>
      </c>
      <c r="C750" s="5" t="s">
        <v>37</v>
      </c>
      <c r="D750" s="5">
        <v>71</v>
      </c>
      <c r="E750" s="6">
        <v>4433625000106</v>
      </c>
      <c r="F750" s="5">
        <v>71</v>
      </c>
      <c r="G750" s="7">
        <v>177687937050811</v>
      </c>
      <c r="H750" s="5" t="s">
        <v>320</v>
      </c>
      <c r="I750" s="5">
        <v>3003</v>
      </c>
      <c r="J750" s="5" t="s">
        <v>22</v>
      </c>
      <c r="K750" s="5" t="s">
        <v>23</v>
      </c>
      <c r="L750" s="5" t="s">
        <v>31</v>
      </c>
      <c r="M750" s="5" t="s">
        <v>284</v>
      </c>
      <c r="N750" s="5" t="s">
        <v>53</v>
      </c>
      <c r="O750" s="5">
        <v>128</v>
      </c>
      <c r="P750" s="5"/>
      <c r="Q750" s="5"/>
      <c r="R750" s="8">
        <v>8.1018518518518516E-5</v>
      </c>
      <c r="S750" s="5" t="s">
        <v>37</v>
      </c>
      <c r="T750" t="str">
        <f>IF(Tabela1[[#This Row],[STATUS_NEGOCIO]]="Enviar E-mail",1,"")</f>
        <v/>
      </c>
      <c r="U750" t="str">
        <f>TEXT(Tabela1[[#This Row],[DATA]],"dd/mm/aaaa")</f>
        <v>22/04/2026</v>
      </c>
    </row>
    <row r="751" spans="1:21" x14ac:dyDescent="0.25">
      <c r="A751" s="4">
        <v>46134.608541666668</v>
      </c>
      <c r="B751" s="5" t="s">
        <v>19</v>
      </c>
      <c r="C751" s="5" t="s">
        <v>37</v>
      </c>
      <c r="D751" s="5">
        <v>72</v>
      </c>
      <c r="E751" s="6">
        <v>4652839000165</v>
      </c>
      <c r="F751" s="5">
        <v>72</v>
      </c>
      <c r="G751" s="7">
        <v>177687937850891</v>
      </c>
      <c r="H751" s="5" t="s">
        <v>208</v>
      </c>
      <c r="I751" s="5">
        <v>3003</v>
      </c>
      <c r="J751" s="5" t="s">
        <v>22</v>
      </c>
      <c r="K751" s="5" t="s">
        <v>23</v>
      </c>
      <c r="L751" s="5" t="s">
        <v>31</v>
      </c>
      <c r="M751" s="5" t="s">
        <v>284</v>
      </c>
      <c r="N751" s="5" t="s">
        <v>53</v>
      </c>
      <c r="O751" s="5">
        <v>128</v>
      </c>
      <c r="P751" s="5"/>
      <c r="Q751" s="5"/>
      <c r="R751" s="8">
        <v>8.1018518518518516E-5</v>
      </c>
      <c r="S751" s="5" t="s">
        <v>37</v>
      </c>
      <c r="T751" t="str">
        <f>IF(Tabela1[[#This Row],[STATUS_NEGOCIO]]="Enviar E-mail",1,"")</f>
        <v/>
      </c>
      <c r="U751" t="str">
        <f>TEXT(Tabela1[[#This Row],[DATA]],"dd/mm/aaaa")</f>
        <v>22/04/2026</v>
      </c>
    </row>
    <row r="752" spans="1:21" x14ac:dyDescent="0.25">
      <c r="A752" s="4">
        <v>46134.608599537038</v>
      </c>
      <c r="B752" s="5" t="s">
        <v>19</v>
      </c>
      <c r="C752" s="5" t="s">
        <v>37</v>
      </c>
      <c r="D752" s="5">
        <v>73</v>
      </c>
      <c r="E752" s="6">
        <v>4728735000197</v>
      </c>
      <c r="F752" s="5">
        <v>73</v>
      </c>
      <c r="G752" s="7">
        <v>177687938350921</v>
      </c>
      <c r="H752" s="5" t="s">
        <v>321</v>
      </c>
      <c r="I752" s="5">
        <v>3003</v>
      </c>
      <c r="J752" s="5" t="s">
        <v>22</v>
      </c>
      <c r="K752" s="5" t="s">
        <v>23</v>
      </c>
      <c r="L752" s="5" t="s">
        <v>31</v>
      </c>
      <c r="M752" s="5" t="s">
        <v>284</v>
      </c>
      <c r="N752" s="5" t="s">
        <v>53</v>
      </c>
      <c r="O752" s="5">
        <v>128</v>
      </c>
      <c r="P752" s="5"/>
      <c r="Q752" s="5"/>
      <c r="R752" s="8">
        <v>8.1018518518518516E-5</v>
      </c>
      <c r="S752" s="5" t="s">
        <v>37</v>
      </c>
      <c r="T752" t="str">
        <f>IF(Tabela1[[#This Row],[STATUS_NEGOCIO]]="Enviar E-mail",1,"")</f>
        <v/>
      </c>
      <c r="U752" t="str">
        <f>TEXT(Tabela1[[#This Row],[DATA]],"dd/mm/aaaa")</f>
        <v>22/04/2026</v>
      </c>
    </row>
    <row r="753" spans="1:21" x14ac:dyDescent="0.25">
      <c r="A753" s="4">
        <v>46134.608611111114</v>
      </c>
      <c r="B753" s="5" t="s">
        <v>19</v>
      </c>
      <c r="C753" s="5" t="s">
        <v>37</v>
      </c>
      <c r="D753" s="5">
        <v>74</v>
      </c>
      <c r="E753" s="6">
        <v>4900076000124</v>
      </c>
      <c r="F753" s="5">
        <v>74</v>
      </c>
      <c r="G753" s="7">
        <v>177687938450941</v>
      </c>
      <c r="H753" s="5" t="s">
        <v>322</v>
      </c>
      <c r="I753" s="5">
        <v>3003</v>
      </c>
      <c r="J753" s="5" t="s">
        <v>22</v>
      </c>
      <c r="K753" s="5" t="s">
        <v>23</v>
      </c>
      <c r="L753" s="5" t="s">
        <v>31</v>
      </c>
      <c r="M753" s="5" t="s">
        <v>284</v>
      </c>
      <c r="N753" s="5" t="s">
        <v>53</v>
      </c>
      <c r="O753" s="5">
        <v>128</v>
      </c>
      <c r="P753" s="5"/>
      <c r="Q753" s="5"/>
      <c r="R753" s="8">
        <v>8.1018518518518516E-5</v>
      </c>
      <c r="S753" s="5" t="s">
        <v>37</v>
      </c>
      <c r="T753" t="str">
        <f>IF(Tabela1[[#This Row],[STATUS_NEGOCIO]]="Enviar E-mail",1,"")</f>
        <v/>
      </c>
      <c r="U753" t="str">
        <f>TEXT(Tabela1[[#This Row],[DATA]],"dd/mm/aaaa")</f>
        <v>22/04/2026</v>
      </c>
    </row>
    <row r="754" spans="1:21" x14ac:dyDescent="0.25">
      <c r="A754" s="4">
        <v>46134.608634259261</v>
      </c>
      <c r="B754" s="5" t="s">
        <v>19</v>
      </c>
      <c r="C754" s="5" t="s">
        <v>37</v>
      </c>
      <c r="D754" s="5">
        <v>75</v>
      </c>
      <c r="E754" s="6">
        <v>4987252000107</v>
      </c>
      <c r="F754" s="5">
        <v>75</v>
      </c>
      <c r="G754" s="7">
        <v>177687938650961</v>
      </c>
      <c r="H754" s="5" t="s">
        <v>323</v>
      </c>
      <c r="I754" s="5">
        <v>3003</v>
      </c>
      <c r="J754" s="5" t="s">
        <v>22</v>
      </c>
      <c r="K754" s="5" t="s">
        <v>23</v>
      </c>
      <c r="L754" s="5" t="s">
        <v>31</v>
      </c>
      <c r="M754" s="5" t="s">
        <v>284</v>
      </c>
      <c r="N754" s="5" t="s">
        <v>53</v>
      </c>
      <c r="O754" s="5">
        <v>128</v>
      </c>
      <c r="P754" s="5"/>
      <c r="Q754" s="5"/>
      <c r="R754" s="8">
        <v>8.1018518518518516E-5</v>
      </c>
      <c r="S754" s="5" t="s">
        <v>37</v>
      </c>
      <c r="T754" t="str">
        <f>IF(Tabela1[[#This Row],[STATUS_NEGOCIO]]="Enviar E-mail",1,"")</f>
        <v/>
      </c>
      <c r="U754" t="str">
        <f>TEXT(Tabela1[[#This Row],[DATA]],"dd/mm/aaaa")</f>
        <v>22/04/2026</v>
      </c>
    </row>
    <row r="755" spans="1:21" x14ac:dyDescent="0.25">
      <c r="A755" s="4">
        <v>46134.608657407407</v>
      </c>
      <c r="B755" s="5" t="s">
        <v>19</v>
      </c>
      <c r="C755" s="5" t="s">
        <v>37</v>
      </c>
      <c r="D755" s="5">
        <v>76</v>
      </c>
      <c r="E755" s="6">
        <v>5068583000106</v>
      </c>
      <c r="F755" s="5">
        <v>76</v>
      </c>
      <c r="G755" s="7">
        <v>177687938850981</v>
      </c>
      <c r="H755" s="5" t="s">
        <v>174</v>
      </c>
      <c r="I755" s="5">
        <v>3003</v>
      </c>
      <c r="J755" s="5" t="s">
        <v>22</v>
      </c>
      <c r="K755" s="5" t="s">
        <v>23</v>
      </c>
      <c r="L755" s="5" t="s">
        <v>31</v>
      </c>
      <c r="M755" s="5" t="s">
        <v>284</v>
      </c>
      <c r="N755" s="5" t="s">
        <v>53</v>
      </c>
      <c r="O755" s="5">
        <v>128</v>
      </c>
      <c r="P755" s="5"/>
      <c r="Q755" s="5"/>
      <c r="R755" s="8">
        <v>8.1018518518518516E-5</v>
      </c>
      <c r="S755" s="5" t="s">
        <v>37</v>
      </c>
      <c r="T755" t="str">
        <f>IF(Tabela1[[#This Row],[STATUS_NEGOCIO]]="Enviar E-mail",1,"")</f>
        <v/>
      </c>
      <c r="U755" t="str">
        <f>TEXT(Tabela1[[#This Row],[DATA]],"dd/mm/aaaa")</f>
        <v>22/04/2026</v>
      </c>
    </row>
    <row r="756" spans="1:21" x14ac:dyDescent="0.25">
      <c r="A756" s="4">
        <v>46134.608726851853</v>
      </c>
      <c r="B756" s="5" t="s">
        <v>19</v>
      </c>
      <c r="C756" s="5" t="s">
        <v>37</v>
      </c>
      <c r="D756" s="5">
        <v>77</v>
      </c>
      <c r="E756" s="6">
        <v>5105470000133</v>
      </c>
      <c r="F756" s="5">
        <v>77</v>
      </c>
      <c r="G756" s="7">
        <v>177687939451061</v>
      </c>
      <c r="H756" s="5" t="s">
        <v>274</v>
      </c>
      <c r="I756" s="5">
        <v>3003</v>
      </c>
      <c r="J756" s="5" t="s">
        <v>22</v>
      </c>
      <c r="K756" s="5" t="s">
        <v>23</v>
      </c>
      <c r="L756" s="5" t="s">
        <v>31</v>
      </c>
      <c r="M756" s="5" t="s">
        <v>284</v>
      </c>
      <c r="N756" s="5" t="s">
        <v>53</v>
      </c>
      <c r="O756" s="5">
        <v>128</v>
      </c>
      <c r="P756" s="5"/>
      <c r="Q756" s="5"/>
      <c r="R756" s="8">
        <v>8.1018518518518516E-5</v>
      </c>
      <c r="S756" s="5" t="s">
        <v>37</v>
      </c>
      <c r="T756" t="str">
        <f>IF(Tabela1[[#This Row],[STATUS_NEGOCIO]]="Enviar E-mail",1,"")</f>
        <v/>
      </c>
      <c r="U756" t="str">
        <f>TEXT(Tabela1[[#This Row],[DATA]],"dd/mm/aaaa")</f>
        <v>22/04/2026</v>
      </c>
    </row>
    <row r="757" spans="1:21" x14ac:dyDescent="0.25">
      <c r="A757" s="4">
        <v>46134.608738425923</v>
      </c>
      <c r="B757" s="5" t="s">
        <v>19</v>
      </c>
      <c r="C757" s="5" t="s">
        <v>37</v>
      </c>
      <c r="D757" s="5">
        <v>78</v>
      </c>
      <c r="E757" s="6">
        <v>5124020000198</v>
      </c>
      <c r="F757" s="5">
        <v>78</v>
      </c>
      <c r="G757" s="7">
        <v>177687939551081</v>
      </c>
      <c r="H757" s="5" t="s">
        <v>268</v>
      </c>
      <c r="I757" s="5">
        <v>3003</v>
      </c>
      <c r="J757" s="5" t="s">
        <v>22</v>
      </c>
      <c r="K757" s="5" t="s">
        <v>23</v>
      </c>
      <c r="L757" s="5" t="s">
        <v>31</v>
      </c>
      <c r="M757" s="5" t="s">
        <v>284</v>
      </c>
      <c r="N757" s="5" t="s">
        <v>53</v>
      </c>
      <c r="O757" s="5">
        <v>128</v>
      </c>
      <c r="P757" s="5"/>
      <c r="Q757" s="5"/>
      <c r="R757" s="8">
        <v>8.1018518518518516E-5</v>
      </c>
      <c r="S757" s="5" t="s">
        <v>37</v>
      </c>
      <c r="T757" t="str">
        <f>IF(Tabela1[[#This Row],[STATUS_NEGOCIO]]="Enviar E-mail",1,"")</f>
        <v/>
      </c>
      <c r="U757" t="str">
        <f>TEXT(Tabela1[[#This Row],[DATA]],"dd/mm/aaaa")</f>
        <v>22/04/2026</v>
      </c>
    </row>
    <row r="758" spans="1:21" x14ac:dyDescent="0.25">
      <c r="A758" s="4">
        <v>46134.6091087963</v>
      </c>
      <c r="B758" s="5" t="s">
        <v>19</v>
      </c>
      <c r="C758" s="5" t="s">
        <v>37</v>
      </c>
      <c r="D758" s="5">
        <v>79</v>
      </c>
      <c r="E758" s="6">
        <v>5133369000196</v>
      </c>
      <c r="F758" s="5">
        <v>79</v>
      </c>
      <c r="G758" s="7">
        <v>177687942751171</v>
      </c>
      <c r="H758" s="5" t="s">
        <v>103</v>
      </c>
      <c r="I758" s="5">
        <v>3003</v>
      </c>
      <c r="J758" s="5" t="s">
        <v>22</v>
      </c>
      <c r="K758" s="5" t="s">
        <v>23</v>
      </c>
      <c r="L758" s="5" t="s">
        <v>31</v>
      </c>
      <c r="M758" s="5" t="s">
        <v>284</v>
      </c>
      <c r="N758" s="5" t="s">
        <v>53</v>
      </c>
      <c r="O758" s="5">
        <v>128</v>
      </c>
      <c r="P758" s="5"/>
      <c r="Q758" s="5"/>
      <c r="R758" s="8">
        <v>8.1018518518518516E-5</v>
      </c>
      <c r="S758" s="5" t="s">
        <v>37</v>
      </c>
      <c r="T758" t="str">
        <f>IF(Tabela1[[#This Row],[STATUS_NEGOCIO]]="Enviar E-mail",1,"")</f>
        <v/>
      </c>
      <c r="U758" t="str">
        <f>TEXT(Tabela1[[#This Row],[DATA]],"dd/mm/aaaa")</f>
        <v>22/04/2026</v>
      </c>
    </row>
    <row r="759" spans="1:21" x14ac:dyDescent="0.25">
      <c r="A759" s="4">
        <v>46134.609409722223</v>
      </c>
      <c r="B759" s="5" t="s">
        <v>19</v>
      </c>
      <c r="C759" s="5" t="s">
        <v>37</v>
      </c>
      <c r="D759" s="5">
        <v>80</v>
      </c>
      <c r="E759" s="6">
        <v>5207886000162</v>
      </c>
      <c r="F759" s="5">
        <v>80</v>
      </c>
      <c r="G759" s="7">
        <v>177687945351231</v>
      </c>
      <c r="H759" s="5" t="s">
        <v>190</v>
      </c>
      <c r="I759" s="5">
        <v>3003</v>
      </c>
      <c r="J759" s="5" t="s">
        <v>22</v>
      </c>
      <c r="K759" s="5" t="s">
        <v>23</v>
      </c>
      <c r="L759" s="5" t="s">
        <v>31</v>
      </c>
      <c r="M759" s="5" t="s">
        <v>284</v>
      </c>
      <c r="N759" s="5" t="s">
        <v>53</v>
      </c>
      <c r="O759" s="5">
        <v>128</v>
      </c>
      <c r="P759" s="5"/>
      <c r="Q759" s="5"/>
      <c r="R759" s="8">
        <v>8.1018518518518516E-5</v>
      </c>
      <c r="S759" s="5" t="s">
        <v>37</v>
      </c>
      <c r="T759" t="str">
        <f>IF(Tabela1[[#This Row],[STATUS_NEGOCIO]]="Enviar E-mail",1,"")</f>
        <v/>
      </c>
      <c r="U759" t="str">
        <f>TEXT(Tabela1[[#This Row],[DATA]],"dd/mm/aaaa")</f>
        <v>22/04/2026</v>
      </c>
    </row>
    <row r="760" spans="1:21" x14ac:dyDescent="0.25">
      <c r="A760" s="4">
        <v>46134.609733796293</v>
      </c>
      <c r="B760" s="5" t="s">
        <v>19</v>
      </c>
      <c r="C760" s="5" t="s">
        <v>37</v>
      </c>
      <c r="D760" s="5">
        <v>81</v>
      </c>
      <c r="E760" s="6">
        <v>5476516000120</v>
      </c>
      <c r="F760" s="5">
        <v>81</v>
      </c>
      <c r="G760" s="7">
        <v>177687948151331</v>
      </c>
      <c r="H760" s="5" t="s">
        <v>324</v>
      </c>
      <c r="I760" s="5">
        <v>3003</v>
      </c>
      <c r="J760" s="5" t="s">
        <v>22</v>
      </c>
      <c r="K760" s="5" t="s">
        <v>23</v>
      </c>
      <c r="L760" s="5" t="s">
        <v>31</v>
      </c>
      <c r="M760" s="5" t="s">
        <v>284</v>
      </c>
      <c r="N760" s="5" t="s">
        <v>53</v>
      </c>
      <c r="O760" s="5">
        <v>128</v>
      </c>
      <c r="P760" s="5"/>
      <c r="Q760" s="5"/>
      <c r="R760" s="8">
        <v>8.1018518518518516E-5</v>
      </c>
      <c r="S760" s="5" t="s">
        <v>37</v>
      </c>
      <c r="T760" t="str">
        <f>IF(Tabela1[[#This Row],[STATUS_NEGOCIO]]="Enviar E-mail",1,"")</f>
        <v/>
      </c>
      <c r="U760" t="str">
        <f>TEXT(Tabela1[[#This Row],[DATA]],"dd/mm/aaaa")</f>
        <v>22/04/2026</v>
      </c>
    </row>
    <row r="761" spans="1:21" x14ac:dyDescent="0.25">
      <c r="A761" s="4">
        <v>46134.609837962962</v>
      </c>
      <c r="B761" s="5" t="s">
        <v>19</v>
      </c>
      <c r="C761" s="5" t="s">
        <v>37</v>
      </c>
      <c r="D761" s="5">
        <v>82</v>
      </c>
      <c r="E761" s="6">
        <v>5483497000160</v>
      </c>
      <c r="F761" s="5">
        <v>82</v>
      </c>
      <c r="G761" s="7">
        <v>177687949051351</v>
      </c>
      <c r="H761" s="5" t="s">
        <v>58</v>
      </c>
      <c r="I761" s="5">
        <v>3003</v>
      </c>
      <c r="J761" s="5" t="s">
        <v>22</v>
      </c>
      <c r="K761" s="5" t="s">
        <v>23</v>
      </c>
      <c r="L761" s="5" t="s">
        <v>31</v>
      </c>
      <c r="M761" s="5" t="s">
        <v>284</v>
      </c>
      <c r="N761" s="5" t="s">
        <v>53</v>
      </c>
      <c r="O761" s="5">
        <v>128</v>
      </c>
      <c r="P761" s="5"/>
      <c r="Q761" s="5"/>
      <c r="R761" s="8">
        <v>8.1018518518518516E-5</v>
      </c>
      <c r="S761" s="5" t="s">
        <v>37</v>
      </c>
      <c r="T761" t="str">
        <f>IF(Tabela1[[#This Row],[STATUS_NEGOCIO]]="Enviar E-mail",1,"")</f>
        <v/>
      </c>
      <c r="U761" t="str">
        <f>TEXT(Tabela1[[#This Row],[DATA]],"dd/mm/aaaa")</f>
        <v>22/04/2026</v>
      </c>
    </row>
    <row r="762" spans="1:21" x14ac:dyDescent="0.25">
      <c r="A762" s="4">
        <v>46134.609942129631</v>
      </c>
      <c r="B762" s="5" t="s">
        <v>19</v>
      </c>
      <c r="C762" s="5" t="s">
        <v>37</v>
      </c>
      <c r="D762" s="5">
        <v>83</v>
      </c>
      <c r="E762" s="6">
        <v>5485452000124</v>
      </c>
      <c r="F762" s="5">
        <v>83</v>
      </c>
      <c r="G762" s="7">
        <v>177687949951371</v>
      </c>
      <c r="H762" s="5" t="s">
        <v>325</v>
      </c>
      <c r="I762" s="5" t="s">
        <v>52</v>
      </c>
      <c r="J762" s="5" t="s">
        <v>22</v>
      </c>
      <c r="K762" s="5" t="s">
        <v>36</v>
      </c>
      <c r="L762" s="5" t="s">
        <v>36</v>
      </c>
      <c r="M762" s="5" t="s">
        <v>284</v>
      </c>
      <c r="N762" s="5" t="s">
        <v>53</v>
      </c>
      <c r="O762" s="5">
        <v>19</v>
      </c>
      <c r="P762" s="5"/>
      <c r="Q762" s="5"/>
      <c r="R762" s="8">
        <v>0</v>
      </c>
      <c r="S762" s="5" t="s">
        <v>37</v>
      </c>
      <c r="T762" t="str">
        <f>IF(Tabela1[[#This Row],[STATUS_NEGOCIO]]="Enviar E-mail",1,"")</f>
        <v/>
      </c>
      <c r="U762" t="str">
        <f>TEXT(Tabela1[[#This Row],[DATA]],"dd/mm/aaaa")</f>
        <v>22/04/2026</v>
      </c>
    </row>
    <row r="763" spans="1:21" x14ac:dyDescent="0.25">
      <c r="A763" s="4">
        <v>46134.610520833332</v>
      </c>
      <c r="B763" s="5" t="s">
        <v>19</v>
      </c>
      <c r="C763" s="5" t="s">
        <v>37</v>
      </c>
      <c r="D763" s="5">
        <v>84</v>
      </c>
      <c r="E763" s="6">
        <v>5487548000121</v>
      </c>
      <c r="F763" s="5">
        <v>84</v>
      </c>
      <c r="G763" s="7">
        <v>177687954951391</v>
      </c>
      <c r="H763" s="5" t="s">
        <v>49</v>
      </c>
      <c r="I763" s="5">
        <v>3003</v>
      </c>
      <c r="J763" s="5" t="s">
        <v>22</v>
      </c>
      <c r="K763" s="5" t="s">
        <v>23</v>
      </c>
      <c r="L763" s="5" t="s">
        <v>31</v>
      </c>
      <c r="M763" s="5" t="s">
        <v>284</v>
      </c>
      <c r="N763" s="5" t="s">
        <v>53</v>
      </c>
      <c r="O763" s="5">
        <v>128</v>
      </c>
      <c r="P763" s="5"/>
      <c r="Q763" s="5"/>
      <c r="R763" s="8">
        <v>8.1018518518518516E-5</v>
      </c>
      <c r="S763" s="5" t="s">
        <v>37</v>
      </c>
      <c r="T763" t="str">
        <f>IF(Tabela1[[#This Row],[STATUS_NEGOCIO]]="Enviar E-mail",1,"")</f>
        <v/>
      </c>
      <c r="U763" t="str">
        <f>TEXT(Tabela1[[#This Row],[DATA]],"dd/mm/aaaa")</f>
        <v>22/04/2026</v>
      </c>
    </row>
    <row r="764" spans="1:21" x14ac:dyDescent="0.25">
      <c r="A764" s="4">
        <v>46134.610694444447</v>
      </c>
      <c r="B764" s="5" t="s">
        <v>19</v>
      </c>
      <c r="C764" s="5" t="s">
        <v>37</v>
      </c>
      <c r="D764" s="5">
        <v>85</v>
      </c>
      <c r="E764" s="6">
        <v>5587109000190</v>
      </c>
      <c r="F764" s="5">
        <v>85</v>
      </c>
      <c r="G764" s="7">
        <v>177687956451401</v>
      </c>
      <c r="H764" s="5" t="s">
        <v>249</v>
      </c>
      <c r="I764" s="5">
        <v>3003</v>
      </c>
      <c r="J764" s="5" t="s">
        <v>22</v>
      </c>
      <c r="K764" s="5" t="s">
        <v>23</v>
      </c>
      <c r="L764" s="5" t="s">
        <v>31</v>
      </c>
      <c r="M764" s="5" t="s">
        <v>284</v>
      </c>
      <c r="N764" s="5" t="s">
        <v>53</v>
      </c>
      <c r="O764" s="5">
        <v>128</v>
      </c>
      <c r="P764" s="5"/>
      <c r="Q764" s="5"/>
      <c r="R764" s="8">
        <v>8.1018518518518516E-5</v>
      </c>
      <c r="S764" s="5" t="s">
        <v>37</v>
      </c>
      <c r="T764" t="str">
        <f>IF(Tabela1[[#This Row],[STATUS_NEGOCIO]]="Enviar E-mail",1,"")</f>
        <v/>
      </c>
      <c r="U764" t="str">
        <f>TEXT(Tabela1[[#This Row],[DATA]],"dd/mm/aaaa")</f>
        <v>22/04/2026</v>
      </c>
    </row>
    <row r="765" spans="1:21" x14ac:dyDescent="0.25">
      <c r="A765" s="4">
        <v>46134.61105324074</v>
      </c>
      <c r="B765" s="5" t="s">
        <v>19</v>
      </c>
      <c r="C765" s="5" t="s">
        <v>37</v>
      </c>
      <c r="D765" s="5">
        <v>86</v>
      </c>
      <c r="E765" s="6">
        <v>5600088000104</v>
      </c>
      <c r="F765" s="5">
        <v>86</v>
      </c>
      <c r="G765" s="7">
        <v>177687959551421</v>
      </c>
      <c r="H765" s="5" t="s">
        <v>326</v>
      </c>
      <c r="I765" s="5">
        <v>3003</v>
      </c>
      <c r="J765" s="5" t="s">
        <v>22</v>
      </c>
      <c r="K765" s="5" t="s">
        <v>23</v>
      </c>
      <c r="L765" s="5" t="s">
        <v>31</v>
      </c>
      <c r="M765" s="5" t="s">
        <v>284</v>
      </c>
      <c r="N765" s="5" t="s">
        <v>53</v>
      </c>
      <c r="O765" s="5">
        <v>128</v>
      </c>
      <c r="P765" s="5"/>
      <c r="Q765" s="5"/>
      <c r="R765" s="8">
        <v>8.1018518518518516E-5</v>
      </c>
      <c r="S765" s="5" t="s">
        <v>37</v>
      </c>
      <c r="T765" t="str">
        <f>IF(Tabela1[[#This Row],[STATUS_NEGOCIO]]="Enviar E-mail",1,"")</f>
        <v/>
      </c>
      <c r="U765" t="str">
        <f>TEXT(Tabela1[[#This Row],[DATA]],"dd/mm/aaaa")</f>
        <v>22/04/2026</v>
      </c>
    </row>
    <row r="766" spans="1:21" x14ac:dyDescent="0.25">
      <c r="A766" s="4">
        <v>46134.611226851855</v>
      </c>
      <c r="B766" s="5" t="s">
        <v>19</v>
      </c>
      <c r="C766" s="5" t="s">
        <v>37</v>
      </c>
      <c r="D766" s="5">
        <v>88</v>
      </c>
      <c r="E766" s="6">
        <v>5870198000188</v>
      </c>
      <c r="F766" s="5">
        <v>88</v>
      </c>
      <c r="G766" s="7">
        <v>177687961051441</v>
      </c>
      <c r="H766" s="5" t="s">
        <v>135</v>
      </c>
      <c r="I766" s="5">
        <v>3003</v>
      </c>
      <c r="J766" s="5" t="s">
        <v>22</v>
      </c>
      <c r="K766" s="5" t="s">
        <v>23</v>
      </c>
      <c r="L766" s="5" t="s">
        <v>31</v>
      </c>
      <c r="M766" s="5" t="s">
        <v>284</v>
      </c>
      <c r="N766" s="5" t="s">
        <v>53</v>
      </c>
      <c r="O766" s="5">
        <v>147</v>
      </c>
      <c r="P766" s="5"/>
      <c r="Q766" s="5"/>
      <c r="R766" s="8">
        <v>8.1018518518518516E-5</v>
      </c>
      <c r="S766" s="5" t="s">
        <v>37</v>
      </c>
      <c r="T766" t="str">
        <f>IF(Tabela1[[#This Row],[STATUS_NEGOCIO]]="Enviar E-mail",1,"")</f>
        <v/>
      </c>
      <c r="U766" t="str">
        <f>TEXT(Tabela1[[#This Row],[DATA]],"dd/mm/aaaa")</f>
        <v>22/04/2026</v>
      </c>
    </row>
    <row r="767" spans="1:21" x14ac:dyDescent="0.25">
      <c r="A767" s="4">
        <v>46134.611770833333</v>
      </c>
      <c r="B767" s="5" t="s">
        <v>19</v>
      </c>
      <c r="C767" s="5" t="s">
        <v>37</v>
      </c>
      <c r="D767" s="5">
        <v>89</v>
      </c>
      <c r="E767" s="6">
        <v>5887391000121</v>
      </c>
      <c r="F767" s="5">
        <v>89</v>
      </c>
      <c r="G767" s="7">
        <v>177687965751461</v>
      </c>
      <c r="H767" s="5" t="s">
        <v>327</v>
      </c>
      <c r="I767" s="5">
        <v>3003</v>
      </c>
      <c r="J767" s="5" t="s">
        <v>22</v>
      </c>
      <c r="K767" s="5" t="s">
        <v>23</v>
      </c>
      <c r="L767" s="5" t="s">
        <v>31</v>
      </c>
      <c r="M767" s="5" t="s">
        <v>284</v>
      </c>
      <c r="N767" s="5" t="s">
        <v>53</v>
      </c>
      <c r="O767" s="5">
        <v>147</v>
      </c>
      <c r="P767" s="5"/>
      <c r="Q767" s="5"/>
      <c r="R767" s="8">
        <v>8.1018518518518516E-5</v>
      </c>
      <c r="S767" s="5" t="s">
        <v>37</v>
      </c>
      <c r="T767" t="str">
        <f>IF(Tabela1[[#This Row],[STATUS_NEGOCIO]]="Enviar E-mail",1,"")</f>
        <v/>
      </c>
      <c r="U767" t="str">
        <f>TEXT(Tabela1[[#This Row],[DATA]],"dd/mm/aaaa")</f>
        <v>22/04/2026</v>
      </c>
    </row>
    <row r="768" spans="1:21" x14ac:dyDescent="0.25">
      <c r="A768" s="4">
        <v>46134.611944444441</v>
      </c>
      <c r="B768" s="5" t="s">
        <v>19</v>
      </c>
      <c r="C768" s="5" t="s">
        <v>37</v>
      </c>
      <c r="D768" s="5">
        <v>90</v>
      </c>
      <c r="E768" s="6">
        <v>5951912000162</v>
      </c>
      <c r="F768" s="5">
        <v>90</v>
      </c>
      <c r="G768" s="7">
        <v>177687967251481</v>
      </c>
      <c r="H768" s="5" t="s">
        <v>328</v>
      </c>
      <c r="I768" s="5">
        <v>3003</v>
      </c>
      <c r="J768" s="5" t="s">
        <v>22</v>
      </c>
      <c r="K768" s="5" t="s">
        <v>23</v>
      </c>
      <c r="L768" s="5" t="s">
        <v>31</v>
      </c>
      <c r="M768" s="5" t="s">
        <v>284</v>
      </c>
      <c r="N768" s="5" t="s">
        <v>53</v>
      </c>
      <c r="O768" s="5">
        <v>128</v>
      </c>
      <c r="P768" s="5"/>
      <c r="Q768" s="5"/>
      <c r="R768" s="8">
        <v>8.1018518518518516E-5</v>
      </c>
      <c r="S768" s="5" t="s">
        <v>37</v>
      </c>
      <c r="T768" t="str">
        <f>IF(Tabela1[[#This Row],[STATUS_NEGOCIO]]="Enviar E-mail",1,"")</f>
        <v/>
      </c>
      <c r="U768" t="str">
        <f>TEXT(Tabela1[[#This Row],[DATA]],"dd/mm/aaaa")</f>
        <v>22/04/2026</v>
      </c>
    </row>
    <row r="769" spans="1:21" x14ac:dyDescent="0.25">
      <c r="A769" s="4">
        <v>46134.612129629626</v>
      </c>
      <c r="B769" s="5" t="s">
        <v>19</v>
      </c>
      <c r="C769" s="5" t="s">
        <v>37</v>
      </c>
      <c r="D769" s="5">
        <v>91</v>
      </c>
      <c r="E769" s="6">
        <v>6058857000149</v>
      </c>
      <c r="F769" s="5">
        <v>91</v>
      </c>
      <c r="G769" s="7">
        <v>177687968851501</v>
      </c>
      <c r="H769" s="5" t="s">
        <v>254</v>
      </c>
      <c r="I769" s="5" t="s">
        <v>52</v>
      </c>
      <c r="J769" s="5" t="s">
        <v>22</v>
      </c>
      <c r="K769" s="5" t="s">
        <v>36</v>
      </c>
      <c r="L769" s="5" t="s">
        <v>36</v>
      </c>
      <c r="M769" s="5" t="s">
        <v>284</v>
      </c>
      <c r="N769" s="5" t="s">
        <v>53</v>
      </c>
      <c r="O769" s="5">
        <v>19</v>
      </c>
      <c r="P769" s="5"/>
      <c r="Q769" s="5"/>
      <c r="R769" s="8">
        <v>0</v>
      </c>
      <c r="S769" s="5" t="s">
        <v>37</v>
      </c>
      <c r="T769" t="str">
        <f>IF(Tabela1[[#This Row],[STATUS_NEGOCIO]]="Enviar E-mail",1,"")</f>
        <v/>
      </c>
      <c r="U769" t="str">
        <f>TEXT(Tabela1[[#This Row],[DATA]],"dd/mm/aaaa")</f>
        <v>22/04/2026</v>
      </c>
    </row>
    <row r="770" spans="1:21" x14ac:dyDescent="0.25">
      <c r="A770" s="4">
        <v>46134.612696759257</v>
      </c>
      <c r="B770" s="5" t="s">
        <v>19</v>
      </c>
      <c r="C770" s="5" t="s">
        <v>37</v>
      </c>
      <c r="D770" s="5">
        <v>92</v>
      </c>
      <c r="E770" s="6">
        <v>6093542000132</v>
      </c>
      <c r="F770" s="5">
        <v>92</v>
      </c>
      <c r="G770" s="7">
        <v>177687973751561</v>
      </c>
      <c r="H770" s="5" t="s">
        <v>329</v>
      </c>
      <c r="I770" s="5">
        <v>3003</v>
      </c>
      <c r="J770" s="5" t="s">
        <v>22</v>
      </c>
      <c r="K770" s="5" t="s">
        <v>23</v>
      </c>
      <c r="L770" s="5" t="s">
        <v>31</v>
      </c>
      <c r="M770" s="5" t="s">
        <v>284</v>
      </c>
      <c r="N770" s="5" t="s">
        <v>53</v>
      </c>
      <c r="O770" s="5">
        <v>128</v>
      </c>
      <c r="P770" s="5"/>
      <c r="Q770" s="5"/>
      <c r="R770" s="8">
        <v>8.1018518518518516E-5</v>
      </c>
      <c r="S770" s="5" t="s">
        <v>37</v>
      </c>
      <c r="T770" t="str">
        <f>IF(Tabela1[[#This Row],[STATUS_NEGOCIO]]="Enviar E-mail",1,"")</f>
        <v/>
      </c>
      <c r="U770" t="str">
        <f>TEXT(Tabela1[[#This Row],[DATA]],"dd/mm/aaaa")</f>
        <v>22/04/2026</v>
      </c>
    </row>
    <row r="771" spans="1:21" x14ac:dyDescent="0.25">
      <c r="A771" s="4">
        <v>46134.613217592596</v>
      </c>
      <c r="B771" s="5" t="s">
        <v>19</v>
      </c>
      <c r="C771" s="5" t="s">
        <v>37</v>
      </c>
      <c r="D771" s="5">
        <v>93</v>
      </c>
      <c r="E771" s="6">
        <v>6100968000176</v>
      </c>
      <c r="F771" s="5">
        <v>93</v>
      </c>
      <c r="G771" s="7">
        <v>177687978251651</v>
      </c>
      <c r="H771" s="5" t="s">
        <v>330</v>
      </c>
      <c r="I771" s="5" t="s">
        <v>52</v>
      </c>
      <c r="J771" s="5" t="s">
        <v>22</v>
      </c>
      <c r="K771" s="5" t="s">
        <v>36</v>
      </c>
      <c r="L771" s="5" t="s">
        <v>36</v>
      </c>
      <c r="M771" s="5" t="s">
        <v>284</v>
      </c>
      <c r="N771" s="5" t="s">
        <v>53</v>
      </c>
      <c r="O771" s="5">
        <v>1</v>
      </c>
      <c r="P771" s="5"/>
      <c r="Q771" s="5"/>
      <c r="R771" s="8">
        <v>0</v>
      </c>
      <c r="S771" s="5" t="s">
        <v>37</v>
      </c>
      <c r="T771" t="str">
        <f>IF(Tabela1[[#This Row],[STATUS_NEGOCIO]]="Enviar E-mail",1,"")</f>
        <v/>
      </c>
      <c r="U771" t="str">
        <f>TEXT(Tabela1[[#This Row],[DATA]],"dd/mm/aaaa")</f>
        <v>22/04/2026</v>
      </c>
    </row>
    <row r="772" spans="1:21" x14ac:dyDescent="0.25">
      <c r="A772" s="4">
        <v>46134.613576388889</v>
      </c>
      <c r="B772" s="5" t="s">
        <v>19</v>
      </c>
      <c r="C772" s="5" t="s">
        <v>37</v>
      </c>
      <c r="D772" s="5">
        <v>94</v>
      </c>
      <c r="E772" s="6">
        <v>6215708000146</v>
      </c>
      <c r="F772" s="5">
        <v>94</v>
      </c>
      <c r="G772" s="7">
        <v>177687981351771</v>
      </c>
      <c r="H772" s="5" t="s">
        <v>180</v>
      </c>
      <c r="I772" s="5">
        <v>3003</v>
      </c>
      <c r="J772" s="5" t="s">
        <v>22</v>
      </c>
      <c r="K772" s="5" t="s">
        <v>23</v>
      </c>
      <c r="L772" s="5" t="s">
        <v>31</v>
      </c>
      <c r="M772" s="5" t="s">
        <v>284</v>
      </c>
      <c r="N772" s="5" t="s">
        <v>53</v>
      </c>
      <c r="O772" s="5">
        <v>128</v>
      </c>
      <c r="P772" s="5"/>
      <c r="Q772" s="5"/>
      <c r="R772" s="8">
        <v>8.1018518518518516E-5</v>
      </c>
      <c r="S772" s="5" t="s">
        <v>37</v>
      </c>
      <c r="T772" t="str">
        <f>IF(Tabela1[[#This Row],[STATUS_NEGOCIO]]="Enviar E-mail",1,"")</f>
        <v/>
      </c>
      <c r="U772" t="str">
        <f>TEXT(Tabela1[[#This Row],[DATA]],"dd/mm/aaaa")</f>
        <v>22/04/2026</v>
      </c>
    </row>
    <row r="773" spans="1:21" x14ac:dyDescent="0.25">
      <c r="A773" s="4">
        <v>46134.613796296297</v>
      </c>
      <c r="B773" s="5" t="s">
        <v>19</v>
      </c>
      <c r="C773" s="5" t="s">
        <v>37</v>
      </c>
      <c r="D773" s="5">
        <v>95</v>
      </c>
      <c r="E773" s="6">
        <v>6236859000180</v>
      </c>
      <c r="F773" s="5">
        <v>95</v>
      </c>
      <c r="G773" s="7">
        <v>177687983251781</v>
      </c>
      <c r="H773" s="5" t="s">
        <v>331</v>
      </c>
      <c r="I773" s="5">
        <v>3003</v>
      </c>
      <c r="J773" s="5" t="s">
        <v>22</v>
      </c>
      <c r="K773" s="5" t="s">
        <v>23</v>
      </c>
      <c r="L773" s="5" t="s">
        <v>31</v>
      </c>
      <c r="M773" s="5" t="s">
        <v>284</v>
      </c>
      <c r="N773" s="5" t="s">
        <v>53</v>
      </c>
      <c r="O773" s="5">
        <v>128</v>
      </c>
      <c r="P773" s="5"/>
      <c r="Q773" s="5"/>
      <c r="R773" s="8">
        <v>8.1018518518518516E-5</v>
      </c>
      <c r="S773" s="5" t="s">
        <v>37</v>
      </c>
      <c r="T773" t="str">
        <f>IF(Tabela1[[#This Row],[STATUS_NEGOCIO]]="Enviar E-mail",1,"")</f>
        <v/>
      </c>
      <c r="U773" t="str">
        <f>TEXT(Tabela1[[#This Row],[DATA]],"dd/mm/aaaa")</f>
        <v>22/04/2026</v>
      </c>
    </row>
    <row r="774" spans="1:21" x14ac:dyDescent="0.25">
      <c r="A774" s="4">
        <v>46134.614004629628</v>
      </c>
      <c r="B774" s="5" t="s">
        <v>19</v>
      </c>
      <c r="C774" s="5" t="s">
        <v>37</v>
      </c>
      <c r="D774" s="5">
        <v>96</v>
      </c>
      <c r="E774" s="6">
        <v>6276371000187</v>
      </c>
      <c r="F774" s="5">
        <v>96</v>
      </c>
      <c r="G774" s="7">
        <v>177687985051801</v>
      </c>
      <c r="H774" s="5" t="s">
        <v>332</v>
      </c>
      <c r="I774" s="5">
        <v>3003</v>
      </c>
      <c r="J774" s="5" t="s">
        <v>22</v>
      </c>
      <c r="K774" s="5" t="s">
        <v>23</v>
      </c>
      <c r="L774" s="5" t="s">
        <v>31</v>
      </c>
      <c r="M774" s="5" t="s">
        <v>284</v>
      </c>
      <c r="N774" s="5" t="s">
        <v>53</v>
      </c>
      <c r="O774" s="5">
        <v>128</v>
      </c>
      <c r="P774" s="5"/>
      <c r="Q774" s="5"/>
      <c r="R774" s="8">
        <v>8.1018518518518516E-5</v>
      </c>
      <c r="S774" s="5" t="s">
        <v>37</v>
      </c>
      <c r="T774" t="str">
        <f>IF(Tabela1[[#This Row],[STATUS_NEGOCIO]]="Enviar E-mail",1,"")</f>
        <v/>
      </c>
      <c r="U774" t="str">
        <f>TEXT(Tabela1[[#This Row],[DATA]],"dd/mm/aaaa")</f>
        <v>22/04/2026</v>
      </c>
    </row>
    <row r="775" spans="1:21" x14ac:dyDescent="0.25">
      <c r="A775" s="4">
        <v>46134.614004629628</v>
      </c>
      <c r="B775" s="5" t="s">
        <v>19</v>
      </c>
      <c r="C775" s="5" t="s">
        <v>37</v>
      </c>
      <c r="D775" s="5">
        <v>97</v>
      </c>
      <c r="E775" s="6">
        <v>6326043000148</v>
      </c>
      <c r="F775" s="5">
        <v>97</v>
      </c>
      <c r="G775" s="7">
        <v>177687985051811</v>
      </c>
      <c r="H775" s="5" t="s">
        <v>116</v>
      </c>
      <c r="I775" s="5">
        <v>3003</v>
      </c>
      <c r="J775" s="5" t="s">
        <v>22</v>
      </c>
      <c r="K775" s="5" t="s">
        <v>23</v>
      </c>
      <c r="L775" s="5" t="s">
        <v>31</v>
      </c>
      <c r="M775" s="5" t="s">
        <v>284</v>
      </c>
      <c r="N775" s="5" t="s">
        <v>53</v>
      </c>
      <c r="O775" s="5">
        <v>128</v>
      </c>
      <c r="P775" s="5"/>
      <c r="Q775" s="5"/>
      <c r="R775" s="8">
        <v>8.1018518518518516E-5</v>
      </c>
      <c r="S775" s="5" t="s">
        <v>37</v>
      </c>
      <c r="T775" t="str">
        <f>IF(Tabela1[[#This Row],[STATUS_NEGOCIO]]="Enviar E-mail",1,"")</f>
        <v/>
      </c>
      <c r="U775" t="str">
        <f>TEXT(Tabela1[[#This Row],[DATA]],"dd/mm/aaaa")</f>
        <v>22/04/2026</v>
      </c>
    </row>
    <row r="776" spans="1:21" x14ac:dyDescent="0.25">
      <c r="A776" s="4">
        <v>46134.614004629628</v>
      </c>
      <c r="B776" s="5" t="s">
        <v>19</v>
      </c>
      <c r="C776" s="5" t="s">
        <v>37</v>
      </c>
      <c r="D776" s="5">
        <v>98</v>
      </c>
      <c r="E776" s="6">
        <v>6652280000107</v>
      </c>
      <c r="F776" s="5">
        <v>98</v>
      </c>
      <c r="G776" s="7">
        <v>177687985051821</v>
      </c>
      <c r="H776" s="5" t="s">
        <v>333</v>
      </c>
      <c r="I776" s="5" t="s">
        <v>52</v>
      </c>
      <c r="J776" s="5" t="s">
        <v>22</v>
      </c>
      <c r="K776" s="5" t="s">
        <v>36</v>
      </c>
      <c r="L776" s="5" t="s">
        <v>36</v>
      </c>
      <c r="M776" s="5" t="s">
        <v>284</v>
      </c>
      <c r="N776" s="5" t="s">
        <v>53</v>
      </c>
      <c r="O776" s="5">
        <v>1</v>
      </c>
      <c r="P776" s="5"/>
      <c r="Q776" s="5"/>
      <c r="R776" s="8">
        <v>0</v>
      </c>
      <c r="S776" s="5" t="s">
        <v>37</v>
      </c>
      <c r="T776" t="str">
        <f>IF(Tabela1[[#This Row],[STATUS_NEGOCIO]]="Enviar E-mail",1,"")</f>
        <v/>
      </c>
      <c r="U776" t="str">
        <f>TEXT(Tabela1[[#This Row],[DATA]],"dd/mm/aaaa")</f>
        <v>22/04/2026</v>
      </c>
    </row>
    <row r="777" spans="1:21" x14ac:dyDescent="0.25">
      <c r="A777" s="4">
        <v>46134.614004629628</v>
      </c>
      <c r="B777" s="5" t="s">
        <v>19</v>
      </c>
      <c r="C777" s="5" t="s">
        <v>37</v>
      </c>
      <c r="D777" s="5">
        <v>99</v>
      </c>
      <c r="E777" s="6">
        <v>6983876000181</v>
      </c>
      <c r="F777" s="5">
        <v>99</v>
      </c>
      <c r="G777" s="7">
        <v>177687985051831</v>
      </c>
      <c r="H777" s="5" t="s">
        <v>334</v>
      </c>
      <c r="I777" s="5">
        <v>3003</v>
      </c>
      <c r="J777" s="5" t="s">
        <v>22</v>
      </c>
      <c r="K777" s="5" t="s">
        <v>23</v>
      </c>
      <c r="L777" s="5" t="s">
        <v>31</v>
      </c>
      <c r="M777" s="5" t="s">
        <v>284</v>
      </c>
      <c r="N777" s="5" t="s">
        <v>53</v>
      </c>
      <c r="O777" s="5">
        <v>128</v>
      </c>
      <c r="P777" s="5"/>
      <c r="Q777" s="5"/>
      <c r="R777" s="8">
        <v>6.9444444444444444E-5</v>
      </c>
      <c r="S777" s="5" t="s">
        <v>37</v>
      </c>
      <c r="T777" t="str">
        <f>IF(Tabela1[[#This Row],[STATUS_NEGOCIO]]="Enviar E-mail",1,"")</f>
        <v/>
      </c>
      <c r="U777" t="str">
        <f>TEXT(Tabela1[[#This Row],[DATA]],"dd/mm/aaaa")</f>
        <v>22/04/2026</v>
      </c>
    </row>
    <row r="778" spans="1:21" x14ac:dyDescent="0.25">
      <c r="A778" s="4">
        <v>46134.614004629628</v>
      </c>
      <c r="B778" s="5" t="s">
        <v>19</v>
      </c>
      <c r="C778" s="5" t="s">
        <v>37</v>
      </c>
      <c r="D778" s="5">
        <v>100</v>
      </c>
      <c r="E778" s="6">
        <v>7042642000364</v>
      </c>
      <c r="F778" s="5">
        <v>100</v>
      </c>
      <c r="G778" s="7">
        <v>177687985051841</v>
      </c>
      <c r="H778" s="5" t="s">
        <v>335</v>
      </c>
      <c r="I778" s="5" t="s">
        <v>52</v>
      </c>
      <c r="J778" s="5" t="s">
        <v>22</v>
      </c>
      <c r="K778" s="5" t="s">
        <v>62</v>
      </c>
      <c r="L778" s="5" t="s">
        <v>62</v>
      </c>
      <c r="M778" s="5" t="s">
        <v>284</v>
      </c>
      <c r="N778" s="5" t="s">
        <v>53</v>
      </c>
      <c r="O778" s="5">
        <v>17</v>
      </c>
      <c r="P778" s="5"/>
      <c r="Q778" s="5"/>
      <c r="R778" s="8">
        <v>0</v>
      </c>
      <c r="S778" s="5" t="s">
        <v>37</v>
      </c>
      <c r="T778" t="str">
        <f>IF(Tabela1[[#This Row],[STATUS_NEGOCIO]]="Enviar E-mail",1,"")</f>
        <v/>
      </c>
      <c r="U778" t="str">
        <f>TEXT(Tabela1[[#This Row],[DATA]],"dd/mm/aaaa")</f>
        <v>22/04/2026</v>
      </c>
    </row>
    <row r="779" spans="1:21" x14ac:dyDescent="0.25">
      <c r="A779" s="4">
        <v>46134.614004629628</v>
      </c>
      <c r="B779" s="5" t="s">
        <v>19</v>
      </c>
      <c r="C779" s="5" t="s">
        <v>37</v>
      </c>
      <c r="D779" s="5">
        <v>102</v>
      </c>
      <c r="E779" s="6">
        <v>7211888000150</v>
      </c>
      <c r="F779" s="5">
        <v>102</v>
      </c>
      <c r="G779" s="7">
        <v>177687985051851</v>
      </c>
      <c r="H779" s="5" t="s">
        <v>337</v>
      </c>
      <c r="I779" s="5">
        <v>3003</v>
      </c>
      <c r="J779" s="5" t="s">
        <v>22</v>
      </c>
      <c r="K779" s="5" t="s">
        <v>23</v>
      </c>
      <c r="L779" s="5" t="s">
        <v>31</v>
      </c>
      <c r="M779" s="5" t="s">
        <v>284</v>
      </c>
      <c r="N779" s="5" t="s">
        <v>53</v>
      </c>
      <c r="O779" s="5">
        <v>128</v>
      </c>
      <c r="P779" s="5"/>
      <c r="Q779" s="5"/>
      <c r="R779" s="8">
        <v>8.1018518518518516E-5</v>
      </c>
      <c r="S779" s="5" t="s">
        <v>37</v>
      </c>
      <c r="T779" t="str">
        <f>IF(Tabela1[[#This Row],[STATUS_NEGOCIO]]="Enviar E-mail",1,"")</f>
        <v/>
      </c>
      <c r="U779" t="str">
        <f>TEXT(Tabela1[[#This Row],[DATA]],"dd/mm/aaaa")</f>
        <v>22/04/2026</v>
      </c>
    </row>
    <row r="780" spans="1:21" x14ac:dyDescent="0.25">
      <c r="A780" s="4">
        <v>46134.614004629628</v>
      </c>
      <c r="B780" s="5" t="s">
        <v>19</v>
      </c>
      <c r="C780" s="5" t="s">
        <v>37</v>
      </c>
      <c r="D780" s="5">
        <v>103</v>
      </c>
      <c r="E780" s="6">
        <v>7355123000194</v>
      </c>
      <c r="F780" s="5">
        <v>103</v>
      </c>
      <c r="G780" s="7">
        <v>177687985051861</v>
      </c>
      <c r="H780" s="5" t="s">
        <v>161</v>
      </c>
      <c r="I780" s="5">
        <v>3003</v>
      </c>
      <c r="J780" s="5" t="s">
        <v>22</v>
      </c>
      <c r="K780" s="5" t="s">
        <v>23</v>
      </c>
      <c r="L780" s="5" t="s">
        <v>31</v>
      </c>
      <c r="M780" s="5" t="s">
        <v>284</v>
      </c>
      <c r="N780" s="5" t="s">
        <v>53</v>
      </c>
      <c r="O780" s="5">
        <v>147</v>
      </c>
      <c r="P780" s="5"/>
      <c r="Q780" s="5"/>
      <c r="R780" s="8">
        <v>8.1018518518518516E-5</v>
      </c>
      <c r="S780" s="5" t="s">
        <v>37</v>
      </c>
      <c r="T780" t="str">
        <f>IF(Tabela1[[#This Row],[STATUS_NEGOCIO]]="Enviar E-mail",1,"")</f>
        <v/>
      </c>
      <c r="U780" t="str">
        <f>TEXT(Tabela1[[#This Row],[DATA]],"dd/mm/aaaa")</f>
        <v>22/04/2026</v>
      </c>
    </row>
    <row r="781" spans="1:21" x14ac:dyDescent="0.25">
      <c r="A781" s="4">
        <v>46134.614004629628</v>
      </c>
      <c r="B781" s="5" t="s">
        <v>19</v>
      </c>
      <c r="C781" s="5" t="s">
        <v>37</v>
      </c>
      <c r="D781" s="5">
        <v>104</v>
      </c>
      <c r="E781" s="6">
        <v>7368744000102</v>
      </c>
      <c r="F781" s="5">
        <v>104</v>
      </c>
      <c r="G781" s="7">
        <v>177687985051871</v>
      </c>
      <c r="H781" s="5" t="s">
        <v>338</v>
      </c>
      <c r="I781" s="5">
        <v>3003</v>
      </c>
      <c r="J781" s="5" t="s">
        <v>22</v>
      </c>
      <c r="K781" s="5" t="s">
        <v>23</v>
      </c>
      <c r="L781" s="5" t="s">
        <v>31</v>
      </c>
      <c r="M781" s="5" t="s">
        <v>284</v>
      </c>
      <c r="N781" s="5" t="s">
        <v>53</v>
      </c>
      <c r="O781" s="5">
        <v>128</v>
      </c>
      <c r="P781" s="5"/>
      <c r="Q781" s="5"/>
      <c r="R781" s="8">
        <v>6.9444444444444444E-5</v>
      </c>
      <c r="S781" s="5" t="s">
        <v>37</v>
      </c>
      <c r="T781" t="str">
        <f>IF(Tabela1[[#This Row],[STATUS_NEGOCIO]]="Enviar E-mail",1,"")</f>
        <v/>
      </c>
      <c r="U781" t="str">
        <f>TEXT(Tabela1[[#This Row],[DATA]],"dd/mm/aaaa")</f>
        <v>22/04/2026</v>
      </c>
    </row>
    <row r="782" spans="1:21" x14ac:dyDescent="0.25">
      <c r="A782" s="4">
        <v>46134.614004629628</v>
      </c>
      <c r="B782" s="5" t="s">
        <v>19</v>
      </c>
      <c r="C782" s="5" t="s">
        <v>37</v>
      </c>
      <c r="D782" s="5">
        <v>106</v>
      </c>
      <c r="E782" s="6">
        <v>7485047000131</v>
      </c>
      <c r="F782" s="5">
        <v>106</v>
      </c>
      <c r="G782" s="7">
        <v>177687985051881</v>
      </c>
      <c r="H782" s="5" t="s">
        <v>340</v>
      </c>
      <c r="I782" s="5" t="s">
        <v>52</v>
      </c>
      <c r="J782" s="5" t="s">
        <v>22</v>
      </c>
      <c r="K782" s="5" t="s">
        <v>36</v>
      </c>
      <c r="L782" s="5" t="s">
        <v>36</v>
      </c>
      <c r="M782" s="5" t="s">
        <v>284</v>
      </c>
      <c r="N782" s="5" t="s">
        <v>53</v>
      </c>
      <c r="O782" s="5">
        <v>34</v>
      </c>
      <c r="P782" s="5"/>
      <c r="Q782" s="5"/>
      <c r="R782" s="8">
        <v>0</v>
      </c>
      <c r="S782" s="5" t="s">
        <v>37</v>
      </c>
      <c r="T782" t="str">
        <f>IF(Tabela1[[#This Row],[STATUS_NEGOCIO]]="Enviar E-mail",1,"")</f>
        <v/>
      </c>
      <c r="U782" t="str">
        <f>TEXT(Tabela1[[#This Row],[DATA]],"dd/mm/aaaa")</f>
        <v>22/04/2026</v>
      </c>
    </row>
    <row r="783" spans="1:21" x14ac:dyDescent="0.25">
      <c r="A783" s="4">
        <v>46134.614004629628</v>
      </c>
      <c r="B783" s="5" t="s">
        <v>19</v>
      </c>
      <c r="C783" s="5" t="s">
        <v>37</v>
      </c>
      <c r="D783" s="5">
        <v>108</v>
      </c>
      <c r="E783" s="6">
        <v>7560240000190</v>
      </c>
      <c r="F783" s="5">
        <v>108</v>
      </c>
      <c r="G783" s="7">
        <v>177687985051891</v>
      </c>
      <c r="H783" s="5" t="s">
        <v>165</v>
      </c>
      <c r="I783" s="5" t="s">
        <v>52</v>
      </c>
      <c r="J783" s="5" t="s">
        <v>22</v>
      </c>
      <c r="K783" s="5" t="s">
        <v>36</v>
      </c>
      <c r="L783" s="5" t="s">
        <v>36</v>
      </c>
      <c r="M783" s="5" t="s">
        <v>284</v>
      </c>
      <c r="N783" s="5" t="s">
        <v>53</v>
      </c>
      <c r="O783" s="5">
        <v>34</v>
      </c>
      <c r="P783" s="5"/>
      <c r="Q783" s="5"/>
      <c r="R783" s="8">
        <v>0</v>
      </c>
      <c r="S783" s="5" t="s">
        <v>37</v>
      </c>
      <c r="T783" t="str">
        <f>IF(Tabela1[[#This Row],[STATUS_NEGOCIO]]="Enviar E-mail",1,"")</f>
        <v/>
      </c>
      <c r="U783" t="str">
        <f>TEXT(Tabela1[[#This Row],[DATA]],"dd/mm/aaaa")</f>
        <v>22/04/2026</v>
      </c>
    </row>
    <row r="784" spans="1:21" x14ac:dyDescent="0.25">
      <c r="A784" s="4">
        <v>46134.614004629628</v>
      </c>
      <c r="B784" s="5" t="s">
        <v>19</v>
      </c>
      <c r="C784" s="5" t="s">
        <v>37</v>
      </c>
      <c r="D784" s="5">
        <v>110</v>
      </c>
      <c r="E784" s="6">
        <v>7585606000185</v>
      </c>
      <c r="F784" s="5">
        <v>110</v>
      </c>
      <c r="G784" s="7">
        <v>177687985051901</v>
      </c>
      <c r="H784" s="5" t="s">
        <v>93</v>
      </c>
      <c r="I784" s="5" t="s">
        <v>52</v>
      </c>
      <c r="J784" s="5" t="s">
        <v>22</v>
      </c>
      <c r="K784" s="5" t="s">
        <v>36</v>
      </c>
      <c r="L784" s="5" t="s">
        <v>36</v>
      </c>
      <c r="M784" s="5" t="s">
        <v>284</v>
      </c>
      <c r="N784" s="5" t="s">
        <v>53</v>
      </c>
      <c r="O784" s="5">
        <v>34</v>
      </c>
      <c r="P784" s="5"/>
      <c r="Q784" s="5"/>
      <c r="R784" s="8">
        <v>0</v>
      </c>
      <c r="S784" s="5" t="s">
        <v>37</v>
      </c>
      <c r="T784" t="str">
        <f>IF(Tabela1[[#This Row],[STATUS_NEGOCIO]]="Enviar E-mail",1,"")</f>
        <v/>
      </c>
      <c r="U784" t="str">
        <f>TEXT(Tabela1[[#This Row],[DATA]],"dd/mm/aaaa")</f>
        <v>22/04/2026</v>
      </c>
    </row>
    <row r="785" spans="1:21" x14ac:dyDescent="0.25">
      <c r="A785" s="4">
        <v>46134.614004629628</v>
      </c>
      <c r="B785" s="5" t="s">
        <v>19</v>
      </c>
      <c r="C785" s="5" t="s">
        <v>37</v>
      </c>
      <c r="D785" s="5">
        <v>112</v>
      </c>
      <c r="E785" s="6">
        <v>7762793000125</v>
      </c>
      <c r="F785" s="5">
        <v>112</v>
      </c>
      <c r="G785" s="7">
        <v>177687985051911</v>
      </c>
      <c r="H785" s="5" t="s">
        <v>343</v>
      </c>
      <c r="I785" s="5" t="s">
        <v>52</v>
      </c>
      <c r="J785" s="5" t="s">
        <v>22</v>
      </c>
      <c r="K785" s="5" t="s">
        <v>36</v>
      </c>
      <c r="L785" s="5" t="s">
        <v>36</v>
      </c>
      <c r="M785" s="5" t="s">
        <v>284</v>
      </c>
      <c r="N785" s="5" t="s">
        <v>53</v>
      </c>
      <c r="O785" s="5">
        <v>34</v>
      </c>
      <c r="P785" s="5"/>
      <c r="Q785" s="5"/>
      <c r="R785" s="8">
        <v>0</v>
      </c>
      <c r="S785" s="5" t="s">
        <v>37</v>
      </c>
      <c r="T785" t="str">
        <f>IF(Tabela1[[#This Row],[STATUS_NEGOCIO]]="Enviar E-mail",1,"")</f>
        <v/>
      </c>
      <c r="U785" t="str">
        <f>TEXT(Tabela1[[#This Row],[DATA]],"dd/mm/aaaa")</f>
        <v>22/04/2026</v>
      </c>
    </row>
    <row r="786" spans="1:21" x14ac:dyDescent="0.25">
      <c r="A786" s="4">
        <v>46134.614004629628</v>
      </c>
      <c r="B786" s="5" t="s">
        <v>19</v>
      </c>
      <c r="C786" s="5" t="s">
        <v>37</v>
      </c>
      <c r="D786" s="5">
        <v>113</v>
      </c>
      <c r="E786" s="6">
        <v>7783371000136</v>
      </c>
      <c r="F786" s="5">
        <v>113</v>
      </c>
      <c r="G786" s="7">
        <v>177687985051921</v>
      </c>
      <c r="H786" s="5" t="s">
        <v>84</v>
      </c>
      <c r="I786" s="5" t="s">
        <v>52</v>
      </c>
      <c r="J786" s="5" t="s">
        <v>22</v>
      </c>
      <c r="K786" s="5" t="s">
        <v>36</v>
      </c>
      <c r="L786" s="5" t="s">
        <v>36</v>
      </c>
      <c r="M786" s="5" t="s">
        <v>284</v>
      </c>
      <c r="N786" s="5" t="s">
        <v>53</v>
      </c>
      <c r="O786" s="5">
        <v>34</v>
      </c>
      <c r="P786" s="5"/>
      <c r="Q786" s="5"/>
      <c r="R786" s="8">
        <v>0</v>
      </c>
      <c r="S786" s="5" t="s">
        <v>37</v>
      </c>
      <c r="T786" t="str">
        <f>IF(Tabela1[[#This Row],[STATUS_NEGOCIO]]="Enviar E-mail",1,"")</f>
        <v/>
      </c>
      <c r="U786" t="str">
        <f>TEXT(Tabela1[[#This Row],[DATA]],"dd/mm/aaaa")</f>
        <v>22/04/2026</v>
      </c>
    </row>
    <row r="787" spans="1:21" x14ac:dyDescent="0.25">
      <c r="A787" s="4">
        <v>46134.614004629628</v>
      </c>
      <c r="B787" s="5" t="s">
        <v>19</v>
      </c>
      <c r="C787" s="5" t="s">
        <v>37</v>
      </c>
      <c r="D787" s="5">
        <v>114</v>
      </c>
      <c r="E787" s="6">
        <v>7876652000133</v>
      </c>
      <c r="F787" s="5">
        <v>114</v>
      </c>
      <c r="G787" s="7">
        <v>177687985051931</v>
      </c>
      <c r="H787" s="5" t="s">
        <v>344</v>
      </c>
      <c r="I787" s="5" t="s">
        <v>52</v>
      </c>
      <c r="J787" s="5" t="s">
        <v>22</v>
      </c>
      <c r="K787" s="5" t="s">
        <v>36</v>
      </c>
      <c r="L787" s="5" t="s">
        <v>36</v>
      </c>
      <c r="M787" s="5" t="s">
        <v>284</v>
      </c>
      <c r="N787" s="5" t="s">
        <v>53</v>
      </c>
      <c r="O787" s="5">
        <v>34</v>
      </c>
      <c r="P787" s="5"/>
      <c r="Q787" s="5"/>
      <c r="R787" s="8">
        <v>0</v>
      </c>
      <c r="S787" s="5" t="s">
        <v>37</v>
      </c>
      <c r="T787" t="str">
        <f>IF(Tabela1[[#This Row],[STATUS_NEGOCIO]]="Enviar E-mail",1,"")</f>
        <v/>
      </c>
      <c r="U787" t="str">
        <f>TEXT(Tabela1[[#This Row],[DATA]],"dd/mm/aaaa")</f>
        <v>22/04/2026</v>
      </c>
    </row>
    <row r="788" spans="1:21" x14ac:dyDescent="0.25">
      <c r="A788" s="4">
        <v>46134.614004629628</v>
      </c>
      <c r="B788" s="5" t="s">
        <v>19</v>
      </c>
      <c r="C788" s="5" t="s">
        <v>37</v>
      </c>
      <c r="D788" s="5">
        <v>115</v>
      </c>
      <c r="E788" s="6">
        <v>7955927000124</v>
      </c>
      <c r="F788" s="5">
        <v>115</v>
      </c>
      <c r="G788" s="7">
        <v>177687985051941</v>
      </c>
      <c r="H788" s="5" t="s">
        <v>79</v>
      </c>
      <c r="I788" s="5" t="s">
        <v>52</v>
      </c>
      <c r="J788" s="5" t="s">
        <v>22</v>
      </c>
      <c r="K788" s="5" t="s">
        <v>36</v>
      </c>
      <c r="L788" s="5" t="s">
        <v>36</v>
      </c>
      <c r="M788" s="5" t="s">
        <v>284</v>
      </c>
      <c r="N788" s="5" t="s">
        <v>53</v>
      </c>
      <c r="O788" s="5">
        <v>34</v>
      </c>
      <c r="P788" s="5"/>
      <c r="Q788" s="5"/>
      <c r="R788" s="8">
        <v>0</v>
      </c>
      <c r="S788" s="5" t="s">
        <v>37</v>
      </c>
      <c r="T788" t="str">
        <f>IF(Tabela1[[#This Row],[STATUS_NEGOCIO]]="Enviar E-mail",1,"")</f>
        <v/>
      </c>
      <c r="U788" t="str">
        <f>TEXT(Tabela1[[#This Row],[DATA]],"dd/mm/aaaa")</f>
        <v>22/04/2026</v>
      </c>
    </row>
    <row r="789" spans="1:21" x14ac:dyDescent="0.25">
      <c r="A789" s="4">
        <v>46134.614016203705</v>
      </c>
      <c r="B789" s="5" t="s">
        <v>19</v>
      </c>
      <c r="C789" s="5" t="s">
        <v>37</v>
      </c>
      <c r="D789" s="5">
        <v>116</v>
      </c>
      <c r="E789" s="6">
        <v>8083779000168</v>
      </c>
      <c r="F789" s="5">
        <v>116</v>
      </c>
      <c r="G789" s="7">
        <v>177687985151951</v>
      </c>
      <c r="H789" s="5" t="s">
        <v>345</v>
      </c>
      <c r="I789" s="5">
        <v>3003</v>
      </c>
      <c r="J789" s="5" t="s">
        <v>22</v>
      </c>
      <c r="K789" s="5" t="s">
        <v>23</v>
      </c>
      <c r="L789" s="5" t="s">
        <v>31</v>
      </c>
      <c r="M789" s="5" t="s">
        <v>284</v>
      </c>
      <c r="N789" s="5" t="s">
        <v>53</v>
      </c>
      <c r="O789" s="5">
        <v>128</v>
      </c>
      <c r="P789" s="5"/>
      <c r="Q789" s="5"/>
      <c r="R789" s="8">
        <v>4.6296296296296294E-5</v>
      </c>
      <c r="S789" s="5" t="s">
        <v>37</v>
      </c>
      <c r="T789" t="str">
        <f>IF(Tabela1[[#This Row],[STATUS_NEGOCIO]]="Enviar E-mail",1,"")</f>
        <v/>
      </c>
      <c r="U789" t="str">
        <f>TEXT(Tabela1[[#This Row],[DATA]],"dd/mm/aaaa")</f>
        <v>22/04/2026</v>
      </c>
    </row>
    <row r="790" spans="1:21" x14ac:dyDescent="0.25">
      <c r="A790" s="4">
        <v>46134.614016203705</v>
      </c>
      <c r="B790" s="5" t="s">
        <v>19</v>
      </c>
      <c r="C790" s="5" t="s">
        <v>20</v>
      </c>
      <c r="D790" s="5">
        <v>117</v>
      </c>
      <c r="E790" s="6">
        <v>8117661000103</v>
      </c>
      <c r="F790" s="5">
        <v>117</v>
      </c>
      <c r="G790" s="7">
        <v>177687985151961</v>
      </c>
      <c r="H790" s="5" t="s">
        <v>94</v>
      </c>
      <c r="I790" s="5">
        <v>3003</v>
      </c>
      <c r="J790" s="5" t="s">
        <v>22</v>
      </c>
      <c r="K790" s="5" t="s">
        <v>23</v>
      </c>
      <c r="L790" s="5" t="s">
        <v>44</v>
      </c>
      <c r="M790" s="5" t="s">
        <v>284</v>
      </c>
      <c r="N790" s="5" t="s">
        <v>26</v>
      </c>
      <c r="O790" s="5">
        <v>16</v>
      </c>
      <c r="P790" s="5"/>
      <c r="Q790" s="5"/>
      <c r="R790" s="8">
        <v>3.5879629629629629E-4</v>
      </c>
      <c r="S790" s="8">
        <v>2.8935185185185184E-4</v>
      </c>
      <c r="T790" t="str">
        <f>IF(Tabela1[[#This Row],[STATUS_NEGOCIO]]="Enviar E-mail",1,"")</f>
        <v/>
      </c>
      <c r="U790" t="str">
        <f>TEXT(Tabela1[[#This Row],[DATA]],"dd/mm/aaaa")</f>
        <v>22/04/2026</v>
      </c>
    </row>
    <row r="791" spans="1:21" x14ac:dyDescent="0.25">
      <c r="A791" s="4">
        <v>46134.61409722222</v>
      </c>
      <c r="B791" s="5" t="s">
        <v>19</v>
      </c>
      <c r="C791" s="5" t="s">
        <v>37</v>
      </c>
      <c r="D791" s="5">
        <v>118</v>
      </c>
      <c r="E791" s="6">
        <v>8144303000190</v>
      </c>
      <c r="F791" s="5">
        <v>118</v>
      </c>
      <c r="G791" s="7">
        <v>177687985851991</v>
      </c>
      <c r="H791" s="5" t="s">
        <v>346</v>
      </c>
      <c r="I791" s="5">
        <v>3003</v>
      </c>
      <c r="J791" s="5" t="s">
        <v>22</v>
      </c>
      <c r="K791" s="5" t="s">
        <v>23</v>
      </c>
      <c r="L791" s="5" t="s">
        <v>31</v>
      </c>
      <c r="M791" s="5" t="s">
        <v>284</v>
      </c>
      <c r="N791" s="5" t="s">
        <v>53</v>
      </c>
      <c r="O791" s="5">
        <v>128</v>
      </c>
      <c r="P791" s="5"/>
      <c r="Q791" s="5"/>
      <c r="R791" s="8">
        <v>8.1018518518518516E-5</v>
      </c>
      <c r="S791" s="5" t="s">
        <v>37</v>
      </c>
      <c r="T791" t="str">
        <f>IF(Tabela1[[#This Row],[STATUS_NEGOCIO]]="Enviar E-mail",1,"")</f>
        <v/>
      </c>
      <c r="U791" t="str">
        <f>TEXT(Tabela1[[#This Row],[DATA]],"dd/mm/aaaa")</f>
        <v>22/04/2026</v>
      </c>
    </row>
    <row r="792" spans="1:21" x14ac:dyDescent="0.25">
      <c r="A792" s="4">
        <v>46134.61409722222</v>
      </c>
      <c r="B792" s="5" t="s">
        <v>19</v>
      </c>
      <c r="C792" s="5" t="s">
        <v>37</v>
      </c>
      <c r="D792" s="5">
        <v>120</v>
      </c>
      <c r="E792" s="6">
        <v>8226364000104</v>
      </c>
      <c r="F792" s="5">
        <v>120</v>
      </c>
      <c r="G792" s="7">
        <v>177687985852001</v>
      </c>
      <c r="H792" s="5" t="s">
        <v>348</v>
      </c>
      <c r="I792" s="5">
        <v>3003</v>
      </c>
      <c r="J792" s="5" t="s">
        <v>22</v>
      </c>
      <c r="K792" s="5" t="s">
        <v>23</v>
      </c>
      <c r="L792" s="5" t="s">
        <v>31</v>
      </c>
      <c r="M792" s="5" t="s">
        <v>284</v>
      </c>
      <c r="N792" s="5" t="s">
        <v>53</v>
      </c>
      <c r="O792" s="5">
        <v>128</v>
      </c>
      <c r="P792" s="5"/>
      <c r="Q792" s="5"/>
      <c r="R792" s="8">
        <v>8.1018518518518516E-5</v>
      </c>
      <c r="S792" s="5" t="s">
        <v>37</v>
      </c>
      <c r="T792" t="str">
        <f>IF(Tabela1[[#This Row],[STATUS_NEGOCIO]]="Enviar E-mail",1,"")</f>
        <v/>
      </c>
      <c r="U792" t="str">
        <f>TEXT(Tabela1[[#This Row],[DATA]],"dd/mm/aaaa")</f>
        <v>22/04/2026</v>
      </c>
    </row>
    <row r="793" spans="1:21" x14ac:dyDescent="0.25">
      <c r="A793" s="4">
        <v>46134.614108796297</v>
      </c>
      <c r="B793" s="5" t="s">
        <v>19</v>
      </c>
      <c r="C793" s="5" t="s">
        <v>37</v>
      </c>
      <c r="D793" s="5">
        <v>121</v>
      </c>
      <c r="E793" s="6">
        <v>8311819000262</v>
      </c>
      <c r="F793" s="5">
        <v>121</v>
      </c>
      <c r="G793" s="7">
        <v>177687985952031</v>
      </c>
      <c r="H793" s="5" t="s">
        <v>349</v>
      </c>
      <c r="I793" s="5">
        <v>3003</v>
      </c>
      <c r="J793" s="5" t="s">
        <v>22</v>
      </c>
      <c r="K793" s="5" t="s">
        <v>23</v>
      </c>
      <c r="L793" s="5" t="s">
        <v>31</v>
      </c>
      <c r="M793" s="5" t="s">
        <v>284</v>
      </c>
      <c r="N793" s="5" t="s">
        <v>53</v>
      </c>
      <c r="O793" s="5">
        <v>128</v>
      </c>
      <c r="P793" s="5"/>
      <c r="Q793" s="5"/>
      <c r="R793" s="8">
        <v>8.1018518518518516E-5</v>
      </c>
      <c r="S793" s="5" t="s">
        <v>37</v>
      </c>
      <c r="T793" t="str">
        <f>IF(Tabela1[[#This Row],[STATUS_NEGOCIO]]="Enviar E-mail",1,"")</f>
        <v/>
      </c>
      <c r="U793" t="str">
        <f>TEXT(Tabela1[[#This Row],[DATA]],"dd/mm/aaaa")</f>
        <v>22/04/2026</v>
      </c>
    </row>
    <row r="794" spans="1:21" x14ac:dyDescent="0.25">
      <c r="A794" s="4">
        <v>46134.614178240743</v>
      </c>
      <c r="B794" s="5" t="s">
        <v>19</v>
      </c>
      <c r="C794" s="5" t="s">
        <v>37</v>
      </c>
      <c r="D794" s="5">
        <v>122</v>
      </c>
      <c r="E794" s="6">
        <v>8518829000354</v>
      </c>
      <c r="F794" s="5">
        <v>122</v>
      </c>
      <c r="G794" s="7">
        <v>177687986552101</v>
      </c>
      <c r="H794" s="5" t="s">
        <v>350</v>
      </c>
      <c r="I794" s="5">
        <v>3003</v>
      </c>
      <c r="J794" s="5" t="s">
        <v>22</v>
      </c>
      <c r="K794" s="5" t="s">
        <v>23</v>
      </c>
      <c r="L794" s="5" t="s">
        <v>31</v>
      </c>
      <c r="M794" s="5" t="s">
        <v>284</v>
      </c>
      <c r="N794" s="5" t="s">
        <v>53</v>
      </c>
      <c r="O794" s="5">
        <v>128</v>
      </c>
      <c r="P794" s="5"/>
      <c r="Q794" s="5"/>
      <c r="R794" s="8">
        <v>8.1018518518518516E-5</v>
      </c>
      <c r="S794" s="5" t="s">
        <v>37</v>
      </c>
      <c r="T794" t="str">
        <f>IF(Tabela1[[#This Row],[STATUS_NEGOCIO]]="Enviar E-mail",1,"")</f>
        <v/>
      </c>
      <c r="U794" t="str">
        <f>TEXT(Tabela1[[#This Row],[DATA]],"dd/mm/aaaa")</f>
        <v>22/04/2026</v>
      </c>
    </row>
    <row r="795" spans="1:21" x14ac:dyDescent="0.25">
      <c r="A795" s="4">
        <v>46134.614212962966</v>
      </c>
      <c r="B795" s="5" t="s">
        <v>19</v>
      </c>
      <c r="C795" s="5" t="s">
        <v>37</v>
      </c>
      <c r="D795" s="5">
        <v>123</v>
      </c>
      <c r="E795" s="6">
        <v>8537926000122</v>
      </c>
      <c r="F795" s="5">
        <v>123</v>
      </c>
      <c r="G795" s="7">
        <v>177687986852121</v>
      </c>
      <c r="H795" s="5" t="s">
        <v>351</v>
      </c>
      <c r="I795" s="5">
        <v>3003</v>
      </c>
      <c r="J795" s="5" t="s">
        <v>22</v>
      </c>
      <c r="K795" s="5" t="s">
        <v>23</v>
      </c>
      <c r="L795" s="5" t="s">
        <v>31</v>
      </c>
      <c r="M795" s="5" t="s">
        <v>284</v>
      </c>
      <c r="N795" s="5" t="s">
        <v>53</v>
      </c>
      <c r="O795" s="5">
        <v>128</v>
      </c>
      <c r="P795" s="5"/>
      <c r="Q795" s="5"/>
      <c r="R795" s="8">
        <v>8.1018518518518516E-5</v>
      </c>
      <c r="S795" s="5" t="s">
        <v>37</v>
      </c>
      <c r="T795" t="str">
        <f>IF(Tabela1[[#This Row],[STATUS_NEGOCIO]]="Enviar E-mail",1,"")</f>
        <v/>
      </c>
      <c r="U795" t="str">
        <f>TEXT(Tabela1[[#This Row],[DATA]],"dd/mm/aaaa")</f>
        <v>22/04/2026</v>
      </c>
    </row>
    <row r="796" spans="1:21" x14ac:dyDescent="0.25">
      <c r="A796" s="4">
        <v>46134.614259259259</v>
      </c>
      <c r="B796" s="5" t="s">
        <v>19</v>
      </c>
      <c r="C796" s="5" t="s">
        <v>37</v>
      </c>
      <c r="D796" s="5">
        <v>124</v>
      </c>
      <c r="E796" s="6">
        <v>8599024000110</v>
      </c>
      <c r="F796" s="5">
        <v>124</v>
      </c>
      <c r="G796" s="7">
        <v>177687987252131</v>
      </c>
      <c r="H796" s="5" t="s">
        <v>352</v>
      </c>
      <c r="I796" s="5">
        <v>3003</v>
      </c>
      <c r="J796" s="5" t="s">
        <v>22</v>
      </c>
      <c r="K796" s="5" t="s">
        <v>23</v>
      </c>
      <c r="L796" s="5" t="s">
        <v>31</v>
      </c>
      <c r="M796" s="5" t="s">
        <v>284</v>
      </c>
      <c r="N796" s="5" t="s">
        <v>53</v>
      </c>
      <c r="O796" s="5">
        <v>128</v>
      </c>
      <c r="P796" s="5"/>
      <c r="Q796" s="5"/>
      <c r="R796" s="8">
        <v>8.1018518518518516E-5</v>
      </c>
      <c r="S796" s="5" t="s">
        <v>37</v>
      </c>
      <c r="T796" t="str">
        <f>IF(Tabela1[[#This Row],[STATUS_NEGOCIO]]="Enviar E-mail",1,"")</f>
        <v/>
      </c>
      <c r="U796" t="str">
        <f>TEXT(Tabela1[[#This Row],[DATA]],"dd/mm/aaaa")</f>
        <v>22/04/2026</v>
      </c>
    </row>
    <row r="797" spans="1:21" x14ac:dyDescent="0.25">
      <c r="A797" s="4">
        <v>46134.614270833335</v>
      </c>
      <c r="B797" s="5" t="s">
        <v>19</v>
      </c>
      <c r="C797" s="5" t="s">
        <v>27</v>
      </c>
      <c r="D797" s="5">
        <v>125</v>
      </c>
      <c r="E797" s="6">
        <v>8665134000133</v>
      </c>
      <c r="F797" s="5">
        <v>125</v>
      </c>
      <c r="G797" s="7">
        <v>177687987352161</v>
      </c>
      <c r="H797" s="5" t="s">
        <v>353</v>
      </c>
      <c r="I797" s="5">
        <v>3003</v>
      </c>
      <c r="J797" s="5" t="s">
        <v>22</v>
      </c>
      <c r="K797" s="5" t="s">
        <v>23</v>
      </c>
      <c r="L797" s="5" t="s">
        <v>265</v>
      </c>
      <c r="M797" s="5" t="s">
        <v>284</v>
      </c>
      <c r="N797" s="5" t="s">
        <v>26</v>
      </c>
      <c r="O797" s="5">
        <v>16</v>
      </c>
      <c r="P797" s="5"/>
      <c r="Q797" s="5"/>
      <c r="R797" s="8">
        <v>1.0416666666666667E-4</v>
      </c>
      <c r="S797" s="8">
        <v>3.4722222222222222E-5</v>
      </c>
      <c r="T797" t="str">
        <f>IF(Tabela1[[#This Row],[STATUS_NEGOCIO]]="Enviar E-mail",1,"")</f>
        <v/>
      </c>
      <c r="U797" t="str">
        <f>TEXT(Tabela1[[#This Row],[DATA]],"dd/mm/aaaa")</f>
        <v>22/04/2026</v>
      </c>
    </row>
    <row r="798" spans="1:21" x14ac:dyDescent="0.25">
      <c r="A798" s="4">
        <v>46134.614282407405</v>
      </c>
      <c r="B798" s="5" t="s">
        <v>19</v>
      </c>
      <c r="C798" s="5" t="s">
        <v>37</v>
      </c>
      <c r="D798" s="5">
        <v>126</v>
      </c>
      <c r="E798" s="6">
        <v>8764146000115</v>
      </c>
      <c r="F798" s="5">
        <v>126</v>
      </c>
      <c r="G798" s="7">
        <v>177687987452181</v>
      </c>
      <c r="H798" s="5" t="s">
        <v>354</v>
      </c>
      <c r="I798" s="5">
        <v>3003</v>
      </c>
      <c r="J798" s="5" t="s">
        <v>22</v>
      </c>
      <c r="K798" s="5" t="s">
        <v>23</v>
      </c>
      <c r="L798" s="5" t="s">
        <v>31</v>
      </c>
      <c r="M798" s="5" t="s">
        <v>284</v>
      </c>
      <c r="N798" s="5" t="s">
        <v>53</v>
      </c>
      <c r="O798" s="5">
        <v>128</v>
      </c>
      <c r="P798" s="5"/>
      <c r="Q798" s="5"/>
      <c r="R798" s="8">
        <v>8.1018518518518516E-5</v>
      </c>
      <c r="S798" s="5" t="s">
        <v>37</v>
      </c>
      <c r="T798" t="str">
        <f>IF(Tabela1[[#This Row],[STATUS_NEGOCIO]]="Enviar E-mail",1,"")</f>
        <v/>
      </c>
      <c r="U798" t="str">
        <f>TEXT(Tabela1[[#This Row],[DATA]],"dd/mm/aaaa")</f>
        <v>22/04/2026</v>
      </c>
    </row>
    <row r="799" spans="1:21" x14ac:dyDescent="0.25">
      <c r="A799" s="4">
        <v>46134.614317129628</v>
      </c>
      <c r="B799" s="5" t="s">
        <v>19</v>
      </c>
      <c r="C799" s="5" t="s">
        <v>37</v>
      </c>
      <c r="D799" s="5">
        <v>127</v>
      </c>
      <c r="E799" s="6">
        <v>8879331000155</v>
      </c>
      <c r="F799" s="5">
        <v>127</v>
      </c>
      <c r="G799" s="7">
        <v>177687987752201</v>
      </c>
      <c r="H799" s="5" t="s">
        <v>355</v>
      </c>
      <c r="I799" s="5" t="s">
        <v>52</v>
      </c>
      <c r="J799" s="5" t="s">
        <v>22</v>
      </c>
      <c r="K799" s="5" t="s">
        <v>36</v>
      </c>
      <c r="L799" s="5" t="s">
        <v>36</v>
      </c>
      <c r="M799" s="5" t="s">
        <v>284</v>
      </c>
      <c r="N799" s="5" t="s">
        <v>53</v>
      </c>
      <c r="O799" s="5">
        <v>34</v>
      </c>
      <c r="P799" s="5"/>
      <c r="Q799" s="5"/>
      <c r="R799" s="8">
        <v>0</v>
      </c>
      <c r="S799" s="5" t="s">
        <v>37</v>
      </c>
      <c r="T799" t="str">
        <f>IF(Tabela1[[#This Row],[STATUS_NEGOCIO]]="Enviar E-mail",1,"")</f>
        <v/>
      </c>
      <c r="U799" t="str">
        <f>TEXT(Tabela1[[#This Row],[DATA]],"dd/mm/aaaa")</f>
        <v>22/04/2026</v>
      </c>
    </row>
    <row r="800" spans="1:21" x14ac:dyDescent="0.25">
      <c r="A800" s="4">
        <v>46134.614351851851</v>
      </c>
      <c r="B800" s="5" t="s">
        <v>19</v>
      </c>
      <c r="C800" s="5" t="s">
        <v>37</v>
      </c>
      <c r="D800" s="5">
        <v>128</v>
      </c>
      <c r="E800" s="6">
        <v>8892204000196</v>
      </c>
      <c r="F800" s="5">
        <v>128</v>
      </c>
      <c r="G800" s="7">
        <v>177687988052231</v>
      </c>
      <c r="H800" s="5" t="s">
        <v>356</v>
      </c>
      <c r="I800" s="5">
        <v>3003</v>
      </c>
      <c r="J800" s="5" t="s">
        <v>22</v>
      </c>
      <c r="K800" s="5" t="s">
        <v>23</v>
      </c>
      <c r="L800" s="5" t="s">
        <v>31</v>
      </c>
      <c r="M800" s="5" t="s">
        <v>284</v>
      </c>
      <c r="N800" s="5" t="s">
        <v>53</v>
      </c>
      <c r="O800" s="5">
        <v>128</v>
      </c>
      <c r="P800" s="5"/>
      <c r="Q800" s="5"/>
      <c r="R800" s="8">
        <v>8.1018518518518516E-5</v>
      </c>
      <c r="S800" s="5" t="s">
        <v>37</v>
      </c>
      <c r="T800" t="str">
        <f>IF(Tabela1[[#This Row],[STATUS_NEGOCIO]]="Enviar E-mail",1,"")</f>
        <v/>
      </c>
      <c r="U800" t="str">
        <f>TEXT(Tabela1[[#This Row],[DATA]],"dd/mm/aaaa")</f>
        <v>22/04/2026</v>
      </c>
    </row>
    <row r="801" spans="1:21" x14ac:dyDescent="0.25">
      <c r="A801" s="4">
        <v>46134.614351851851</v>
      </c>
      <c r="B801" s="5" t="s">
        <v>19</v>
      </c>
      <c r="C801" s="5" t="s">
        <v>37</v>
      </c>
      <c r="D801" s="5">
        <v>129</v>
      </c>
      <c r="E801" s="6">
        <v>8912389000153</v>
      </c>
      <c r="F801" s="5">
        <v>129</v>
      </c>
      <c r="G801" s="7">
        <v>177687988052241</v>
      </c>
      <c r="H801" s="5" t="s">
        <v>357</v>
      </c>
      <c r="I801" s="5">
        <v>3003</v>
      </c>
      <c r="J801" s="5" t="s">
        <v>22</v>
      </c>
      <c r="K801" s="5" t="s">
        <v>23</v>
      </c>
      <c r="L801" s="5" t="s">
        <v>31</v>
      </c>
      <c r="M801" s="5" t="s">
        <v>284</v>
      </c>
      <c r="N801" s="5" t="s">
        <v>53</v>
      </c>
      <c r="O801" s="5">
        <v>128</v>
      </c>
      <c r="P801" s="5"/>
      <c r="Q801" s="5"/>
      <c r="R801" s="8">
        <v>8.1018518518518516E-5</v>
      </c>
      <c r="S801" s="5" t="s">
        <v>37</v>
      </c>
      <c r="T801" t="str">
        <f>IF(Tabela1[[#This Row],[STATUS_NEGOCIO]]="Enviar E-mail",1,"")</f>
        <v/>
      </c>
      <c r="U801" t="str">
        <f>TEXT(Tabela1[[#This Row],[DATA]],"dd/mm/aaaa")</f>
        <v>22/04/2026</v>
      </c>
    </row>
    <row r="802" spans="1:21" x14ac:dyDescent="0.25">
      <c r="A802" s="4">
        <v>46134.614374999997</v>
      </c>
      <c r="B802" s="5" t="s">
        <v>19</v>
      </c>
      <c r="C802" s="5" t="s">
        <v>37</v>
      </c>
      <c r="D802" s="5">
        <v>131</v>
      </c>
      <c r="E802" s="6">
        <v>8973205000165</v>
      </c>
      <c r="F802" s="5">
        <v>131</v>
      </c>
      <c r="G802" s="7">
        <v>177687988252251</v>
      </c>
      <c r="H802" s="5" t="s">
        <v>359</v>
      </c>
      <c r="I802" s="5">
        <v>3003</v>
      </c>
      <c r="J802" s="5" t="s">
        <v>22</v>
      </c>
      <c r="K802" s="5" t="s">
        <v>23</v>
      </c>
      <c r="L802" s="5" t="s">
        <v>31</v>
      </c>
      <c r="M802" s="5" t="s">
        <v>284</v>
      </c>
      <c r="N802" s="5" t="s">
        <v>53</v>
      </c>
      <c r="O802" s="5">
        <v>128</v>
      </c>
      <c r="P802" s="5"/>
      <c r="Q802" s="5"/>
      <c r="R802" s="8">
        <v>8.1018518518518516E-5</v>
      </c>
      <c r="S802" s="5" t="s">
        <v>37</v>
      </c>
      <c r="T802" t="str">
        <f>IF(Tabela1[[#This Row],[STATUS_NEGOCIO]]="Enviar E-mail",1,"")</f>
        <v/>
      </c>
      <c r="U802" t="str">
        <f>TEXT(Tabela1[[#This Row],[DATA]],"dd/mm/aaaa")</f>
        <v>22/04/2026</v>
      </c>
    </row>
    <row r="803" spans="1:21" x14ac:dyDescent="0.25">
      <c r="A803" s="4">
        <v>46134.614421296297</v>
      </c>
      <c r="B803" s="5" t="s">
        <v>19</v>
      </c>
      <c r="C803" s="5" t="s">
        <v>37</v>
      </c>
      <c r="D803" s="5">
        <v>132</v>
      </c>
      <c r="E803" s="6">
        <v>8996355000194</v>
      </c>
      <c r="F803" s="5">
        <v>132</v>
      </c>
      <c r="G803" s="7">
        <v>177687988652281</v>
      </c>
      <c r="H803" s="5" t="s">
        <v>360</v>
      </c>
      <c r="I803" s="5">
        <v>3003</v>
      </c>
      <c r="J803" s="5" t="s">
        <v>22</v>
      </c>
      <c r="K803" s="5" t="s">
        <v>23</v>
      </c>
      <c r="L803" s="5" t="s">
        <v>31</v>
      </c>
      <c r="M803" s="5" t="s">
        <v>284</v>
      </c>
      <c r="N803" s="5" t="s">
        <v>53</v>
      </c>
      <c r="O803" s="5">
        <v>128</v>
      </c>
      <c r="P803" s="5"/>
      <c r="Q803" s="5"/>
      <c r="R803" s="8">
        <v>8.1018518518518516E-5</v>
      </c>
      <c r="S803" s="5" t="s">
        <v>37</v>
      </c>
      <c r="T803" t="str">
        <f>IF(Tabela1[[#This Row],[STATUS_NEGOCIO]]="Enviar E-mail",1,"")</f>
        <v/>
      </c>
      <c r="U803" t="str">
        <f>TEXT(Tabela1[[#This Row],[DATA]],"dd/mm/aaaa")</f>
        <v>22/04/2026</v>
      </c>
    </row>
    <row r="804" spans="1:21" x14ac:dyDescent="0.25">
      <c r="A804" s="4">
        <v>46134.614432870374</v>
      </c>
      <c r="B804" s="5" t="s">
        <v>19</v>
      </c>
      <c r="C804" s="5" t="s">
        <v>37</v>
      </c>
      <c r="D804" s="5">
        <v>133</v>
      </c>
      <c r="E804" s="6">
        <v>9082639000138</v>
      </c>
      <c r="F804" s="5">
        <v>133</v>
      </c>
      <c r="G804" s="7">
        <v>177687988752301</v>
      </c>
      <c r="H804" s="5" t="s">
        <v>41</v>
      </c>
      <c r="I804" s="5">
        <v>3003</v>
      </c>
      <c r="J804" s="5" t="s">
        <v>22</v>
      </c>
      <c r="K804" s="5" t="s">
        <v>23</v>
      </c>
      <c r="L804" s="5" t="s">
        <v>31</v>
      </c>
      <c r="M804" s="5" t="s">
        <v>284</v>
      </c>
      <c r="N804" s="5" t="s">
        <v>53</v>
      </c>
      <c r="O804" s="5">
        <v>128</v>
      </c>
      <c r="P804" s="5"/>
      <c r="Q804" s="5"/>
      <c r="R804" s="8">
        <v>8.1018518518518516E-5</v>
      </c>
      <c r="S804" s="5" t="s">
        <v>37</v>
      </c>
      <c r="T804" t="str">
        <f>IF(Tabela1[[#This Row],[STATUS_NEGOCIO]]="Enviar E-mail",1,"")</f>
        <v/>
      </c>
      <c r="U804" t="str">
        <f>TEXT(Tabela1[[#This Row],[DATA]],"dd/mm/aaaa")</f>
        <v>22/04/2026</v>
      </c>
    </row>
    <row r="805" spans="1:21" x14ac:dyDescent="0.25">
      <c r="A805" s="4">
        <v>46134.61446759259</v>
      </c>
      <c r="B805" s="5" t="s">
        <v>19</v>
      </c>
      <c r="C805" s="5" t="s">
        <v>37</v>
      </c>
      <c r="D805" s="5">
        <v>134</v>
      </c>
      <c r="E805" s="6">
        <v>9158698000142</v>
      </c>
      <c r="F805" s="5">
        <v>134</v>
      </c>
      <c r="G805" s="7">
        <v>177687989052321</v>
      </c>
      <c r="H805" s="5" t="s">
        <v>107</v>
      </c>
      <c r="I805" s="5">
        <v>3003</v>
      </c>
      <c r="J805" s="5" t="s">
        <v>22</v>
      </c>
      <c r="K805" s="5" t="s">
        <v>23</v>
      </c>
      <c r="L805" s="5" t="s">
        <v>31</v>
      </c>
      <c r="M805" s="5" t="s">
        <v>284</v>
      </c>
      <c r="N805" s="5" t="s">
        <v>53</v>
      </c>
      <c r="O805" s="5">
        <v>147</v>
      </c>
      <c r="P805" s="5"/>
      <c r="Q805" s="5"/>
      <c r="R805" s="8">
        <v>8.1018518518518516E-5</v>
      </c>
      <c r="S805" s="5" t="s">
        <v>37</v>
      </c>
      <c r="T805" t="str">
        <f>IF(Tabela1[[#This Row],[STATUS_NEGOCIO]]="Enviar E-mail",1,"")</f>
        <v/>
      </c>
      <c r="U805" t="str">
        <f>TEXT(Tabela1[[#This Row],[DATA]],"dd/mm/aaaa")</f>
        <v>22/04/2026</v>
      </c>
    </row>
    <row r="806" spans="1:21" x14ac:dyDescent="0.25">
      <c r="A806" s="4">
        <v>46134.614537037036</v>
      </c>
      <c r="B806" s="5" t="s">
        <v>19</v>
      </c>
      <c r="C806" s="5" t="s">
        <v>37</v>
      </c>
      <c r="D806" s="5">
        <v>136</v>
      </c>
      <c r="E806" s="6">
        <v>9232340000112</v>
      </c>
      <c r="F806" s="5">
        <v>136</v>
      </c>
      <c r="G806" s="7">
        <v>177687989652341</v>
      </c>
      <c r="H806" s="5" t="s">
        <v>362</v>
      </c>
      <c r="I806" s="5">
        <v>3003</v>
      </c>
      <c r="J806" s="5" t="s">
        <v>22</v>
      </c>
      <c r="K806" s="5" t="s">
        <v>23</v>
      </c>
      <c r="L806" s="5" t="s">
        <v>31</v>
      </c>
      <c r="M806" s="5" t="s">
        <v>284</v>
      </c>
      <c r="N806" s="5" t="s">
        <v>53</v>
      </c>
      <c r="O806" s="5">
        <v>128</v>
      </c>
      <c r="P806" s="5"/>
      <c r="Q806" s="5"/>
      <c r="R806" s="8">
        <v>8.1018518518518516E-5</v>
      </c>
      <c r="S806" s="5" t="s">
        <v>37</v>
      </c>
      <c r="T806" t="str">
        <f>IF(Tabela1[[#This Row],[STATUS_NEGOCIO]]="Enviar E-mail",1,"")</f>
        <v/>
      </c>
      <c r="U806" t="str">
        <f>TEXT(Tabela1[[#This Row],[DATA]],"dd/mm/aaaa")</f>
        <v>22/04/2026</v>
      </c>
    </row>
    <row r="807" spans="1:21" x14ac:dyDescent="0.25">
      <c r="A807" s="4">
        <v>46134.614583333336</v>
      </c>
      <c r="B807" s="5" t="s">
        <v>19</v>
      </c>
      <c r="C807" s="5" t="s">
        <v>37</v>
      </c>
      <c r="D807" s="5">
        <v>137</v>
      </c>
      <c r="E807" s="6">
        <v>9243828000145</v>
      </c>
      <c r="F807" s="5">
        <v>137</v>
      </c>
      <c r="G807" s="7">
        <v>177687990052361</v>
      </c>
      <c r="H807" s="5" t="s">
        <v>80</v>
      </c>
      <c r="I807" s="5">
        <v>3003</v>
      </c>
      <c r="J807" s="5" t="s">
        <v>22</v>
      </c>
      <c r="K807" s="5" t="s">
        <v>23</v>
      </c>
      <c r="L807" s="5" t="s">
        <v>31</v>
      </c>
      <c r="M807" s="5" t="s">
        <v>284</v>
      </c>
      <c r="N807" s="5" t="s">
        <v>53</v>
      </c>
      <c r="O807" s="5">
        <v>128</v>
      </c>
      <c r="P807" s="5"/>
      <c r="Q807" s="5"/>
      <c r="R807" s="8">
        <v>8.1018518518518516E-5</v>
      </c>
      <c r="S807" s="5" t="s">
        <v>37</v>
      </c>
      <c r="T807" t="str">
        <f>IF(Tabela1[[#This Row],[STATUS_NEGOCIO]]="Enviar E-mail",1,"")</f>
        <v/>
      </c>
      <c r="U807" t="str">
        <f>TEXT(Tabela1[[#This Row],[DATA]],"dd/mm/aaaa")</f>
        <v>22/04/2026</v>
      </c>
    </row>
    <row r="808" spans="1:21" x14ac:dyDescent="0.25">
      <c r="A808" s="4">
        <v>46134.614641203705</v>
      </c>
      <c r="B808" s="5" t="s">
        <v>19</v>
      </c>
      <c r="C808" s="5" t="s">
        <v>37</v>
      </c>
      <c r="D808" s="5">
        <v>141</v>
      </c>
      <c r="E808" s="6">
        <v>9477090000180</v>
      </c>
      <c r="F808" s="5">
        <v>141</v>
      </c>
      <c r="G808" s="7">
        <v>177687990552381</v>
      </c>
      <c r="H808" s="5" t="s">
        <v>364</v>
      </c>
      <c r="I808" s="5">
        <v>3003</v>
      </c>
      <c r="J808" s="5" t="s">
        <v>22</v>
      </c>
      <c r="K808" s="5" t="s">
        <v>23</v>
      </c>
      <c r="L808" s="5" t="s">
        <v>31</v>
      </c>
      <c r="M808" s="5" t="s">
        <v>284</v>
      </c>
      <c r="N808" s="5" t="s">
        <v>53</v>
      </c>
      <c r="O808" s="5">
        <v>128</v>
      </c>
      <c r="P808" s="5"/>
      <c r="Q808" s="5"/>
      <c r="R808" s="8">
        <v>8.1018518518518516E-5</v>
      </c>
      <c r="S808" s="5" t="s">
        <v>37</v>
      </c>
      <c r="T808" t="str">
        <f>IF(Tabela1[[#This Row],[STATUS_NEGOCIO]]="Enviar E-mail",1,"")</f>
        <v/>
      </c>
      <c r="U808" t="str">
        <f>TEXT(Tabela1[[#This Row],[DATA]],"dd/mm/aaaa")</f>
        <v>22/04/2026</v>
      </c>
    </row>
    <row r="809" spans="1:21" x14ac:dyDescent="0.25">
      <c r="A809" s="4">
        <v>46134.614733796298</v>
      </c>
      <c r="B809" s="5" t="s">
        <v>19</v>
      </c>
      <c r="C809" s="5" t="s">
        <v>37</v>
      </c>
      <c r="D809" s="5">
        <v>142</v>
      </c>
      <c r="E809" s="6">
        <v>9524235000157</v>
      </c>
      <c r="F809" s="5">
        <v>142</v>
      </c>
      <c r="G809" s="7">
        <v>177687991352401</v>
      </c>
      <c r="H809" s="5" t="s">
        <v>365</v>
      </c>
      <c r="I809" s="5">
        <v>3003</v>
      </c>
      <c r="J809" s="5" t="s">
        <v>22</v>
      </c>
      <c r="K809" s="5" t="s">
        <v>23</v>
      </c>
      <c r="L809" s="5" t="s">
        <v>31</v>
      </c>
      <c r="M809" s="5" t="s">
        <v>284</v>
      </c>
      <c r="N809" s="5" t="s">
        <v>53</v>
      </c>
      <c r="O809" s="5">
        <v>128</v>
      </c>
      <c r="P809" s="5"/>
      <c r="Q809" s="5"/>
      <c r="R809" s="8">
        <v>8.1018518518518516E-5</v>
      </c>
      <c r="S809" s="5" t="s">
        <v>37</v>
      </c>
      <c r="T809" t="str">
        <f>IF(Tabela1[[#This Row],[STATUS_NEGOCIO]]="Enviar E-mail",1,"")</f>
        <v/>
      </c>
      <c r="U809" t="str">
        <f>TEXT(Tabela1[[#This Row],[DATA]],"dd/mm/aaaa")</f>
        <v>22/04/2026</v>
      </c>
    </row>
    <row r="810" spans="1:21" x14ac:dyDescent="0.25">
      <c r="A810" s="4">
        <v>46134.614745370367</v>
      </c>
      <c r="B810" s="5" t="s">
        <v>19</v>
      </c>
      <c r="C810" s="5" t="s">
        <v>37</v>
      </c>
      <c r="D810" s="5">
        <v>143</v>
      </c>
      <c r="E810" s="6">
        <v>10199619000120</v>
      </c>
      <c r="F810" s="5">
        <v>143</v>
      </c>
      <c r="G810" s="7">
        <v>177687991452421</v>
      </c>
      <c r="H810" s="5" t="s">
        <v>366</v>
      </c>
      <c r="I810" s="5">
        <v>3003</v>
      </c>
      <c r="J810" s="5" t="s">
        <v>22</v>
      </c>
      <c r="K810" s="5" t="s">
        <v>23</v>
      </c>
      <c r="L810" s="5" t="s">
        <v>31</v>
      </c>
      <c r="M810" s="5" t="s">
        <v>284</v>
      </c>
      <c r="N810" s="5" t="s">
        <v>53</v>
      </c>
      <c r="O810" s="5">
        <v>128</v>
      </c>
      <c r="P810" s="5"/>
      <c r="Q810" s="5"/>
      <c r="R810" s="8">
        <v>8.1018518518518516E-5</v>
      </c>
      <c r="S810" s="5" t="s">
        <v>37</v>
      </c>
      <c r="T810" t="str">
        <f>IF(Tabela1[[#This Row],[STATUS_NEGOCIO]]="Enviar E-mail",1,"")</f>
        <v/>
      </c>
      <c r="U810" t="str">
        <f>TEXT(Tabela1[[#This Row],[DATA]],"dd/mm/aaaa")</f>
        <v>22/04/2026</v>
      </c>
    </row>
    <row r="811" spans="1:21" x14ac:dyDescent="0.25">
      <c r="A811" s="4">
        <v>46134.614745370367</v>
      </c>
      <c r="B811" s="5" t="s">
        <v>19</v>
      </c>
      <c r="C811" s="5" t="s">
        <v>37</v>
      </c>
      <c r="D811" s="5">
        <v>144</v>
      </c>
      <c r="E811" s="6">
        <v>10312430000100</v>
      </c>
      <c r="F811" s="5">
        <v>144</v>
      </c>
      <c r="G811" s="7">
        <v>177687991452441</v>
      </c>
      <c r="H811" s="5" t="s">
        <v>367</v>
      </c>
      <c r="I811" s="5">
        <v>3003</v>
      </c>
      <c r="J811" s="5" t="s">
        <v>22</v>
      </c>
      <c r="K811" s="5" t="s">
        <v>23</v>
      </c>
      <c r="L811" s="5" t="s">
        <v>31</v>
      </c>
      <c r="M811" s="5" t="s">
        <v>284</v>
      </c>
      <c r="N811" s="5" t="s">
        <v>53</v>
      </c>
      <c r="O811" s="5">
        <v>128</v>
      </c>
      <c r="P811" s="5"/>
      <c r="Q811" s="5"/>
      <c r="R811" s="8">
        <v>8.1018518518518516E-5</v>
      </c>
      <c r="S811" s="5" t="s">
        <v>37</v>
      </c>
      <c r="T811" t="str">
        <f>IF(Tabela1[[#This Row],[STATUS_NEGOCIO]]="Enviar E-mail",1,"")</f>
        <v/>
      </c>
      <c r="U811" t="str">
        <f>TEXT(Tabela1[[#This Row],[DATA]],"dd/mm/aaaa")</f>
        <v>22/04/2026</v>
      </c>
    </row>
    <row r="812" spans="1:21" x14ac:dyDescent="0.25">
      <c r="A812" s="4">
        <v>46134.61478009259</v>
      </c>
      <c r="B812" s="5" t="s">
        <v>19</v>
      </c>
      <c r="C812" s="5" t="s">
        <v>37</v>
      </c>
      <c r="D812" s="5">
        <v>145</v>
      </c>
      <c r="E812" s="6">
        <v>10320742000158</v>
      </c>
      <c r="F812" s="5">
        <v>145</v>
      </c>
      <c r="G812" s="7">
        <v>177687991752461</v>
      </c>
      <c r="H812" s="5" t="s">
        <v>368</v>
      </c>
      <c r="I812" s="5">
        <v>3003</v>
      </c>
      <c r="J812" s="5" t="s">
        <v>22</v>
      </c>
      <c r="K812" s="5" t="s">
        <v>23</v>
      </c>
      <c r="L812" s="5" t="s">
        <v>31</v>
      </c>
      <c r="M812" s="5" t="s">
        <v>284</v>
      </c>
      <c r="N812" s="5" t="s">
        <v>53</v>
      </c>
      <c r="O812" s="5">
        <v>128</v>
      </c>
      <c r="P812" s="5"/>
      <c r="Q812" s="5"/>
      <c r="R812" s="8">
        <v>8.1018518518518516E-5</v>
      </c>
      <c r="S812" s="5" t="s">
        <v>37</v>
      </c>
      <c r="T812" t="str">
        <f>IF(Tabela1[[#This Row],[STATUS_NEGOCIO]]="Enviar E-mail",1,"")</f>
        <v/>
      </c>
      <c r="U812" t="str">
        <f>TEXT(Tabela1[[#This Row],[DATA]],"dd/mm/aaaa")</f>
        <v>22/04/2026</v>
      </c>
    </row>
    <row r="813" spans="1:21" x14ac:dyDescent="0.25">
      <c r="A813" s="4">
        <v>46134.61478009259</v>
      </c>
      <c r="B813" s="5" t="s">
        <v>19</v>
      </c>
      <c r="C813" s="5" t="s">
        <v>37</v>
      </c>
      <c r="D813" s="5">
        <v>146</v>
      </c>
      <c r="E813" s="6">
        <v>10335794000106</v>
      </c>
      <c r="F813" s="5">
        <v>146</v>
      </c>
      <c r="G813" s="7">
        <v>177687991752481</v>
      </c>
      <c r="H813" s="5" t="s">
        <v>163</v>
      </c>
      <c r="I813" s="5">
        <v>3003</v>
      </c>
      <c r="J813" s="5" t="s">
        <v>22</v>
      </c>
      <c r="K813" s="5" t="s">
        <v>23</v>
      </c>
      <c r="L813" s="5" t="s">
        <v>31</v>
      </c>
      <c r="M813" s="5" t="s">
        <v>284</v>
      </c>
      <c r="N813" s="5" t="s">
        <v>53</v>
      </c>
      <c r="O813" s="5">
        <v>128</v>
      </c>
      <c r="P813" s="5"/>
      <c r="Q813" s="5"/>
      <c r="R813" s="8">
        <v>8.1018518518518516E-5</v>
      </c>
      <c r="S813" s="5" t="s">
        <v>37</v>
      </c>
      <c r="T813" t="str">
        <f>IF(Tabela1[[#This Row],[STATUS_NEGOCIO]]="Enviar E-mail",1,"")</f>
        <v/>
      </c>
      <c r="U813" t="str">
        <f>TEXT(Tabela1[[#This Row],[DATA]],"dd/mm/aaaa")</f>
        <v>22/04/2026</v>
      </c>
    </row>
    <row r="814" spans="1:21" x14ac:dyDescent="0.25">
      <c r="A814" s="4">
        <v>46134.614791666667</v>
      </c>
      <c r="B814" s="5" t="s">
        <v>19</v>
      </c>
      <c r="C814" s="5" t="s">
        <v>37</v>
      </c>
      <c r="D814" s="5">
        <v>147</v>
      </c>
      <c r="E814" s="6">
        <v>10364002000113</v>
      </c>
      <c r="F814" s="5">
        <v>147</v>
      </c>
      <c r="G814" s="7">
        <v>177687991852511</v>
      </c>
      <c r="H814" s="5" t="s">
        <v>369</v>
      </c>
      <c r="I814" s="5">
        <v>3003</v>
      </c>
      <c r="J814" s="5" t="s">
        <v>22</v>
      </c>
      <c r="K814" s="5" t="s">
        <v>23</v>
      </c>
      <c r="L814" s="5" t="s">
        <v>31</v>
      </c>
      <c r="M814" s="5" t="s">
        <v>284</v>
      </c>
      <c r="N814" s="5" t="s">
        <v>53</v>
      </c>
      <c r="O814" s="5">
        <v>128</v>
      </c>
      <c r="P814" s="5"/>
      <c r="Q814" s="5"/>
      <c r="R814" s="8">
        <v>8.1018518518518516E-5</v>
      </c>
      <c r="S814" s="5" t="s">
        <v>37</v>
      </c>
      <c r="T814" t="str">
        <f>IF(Tabela1[[#This Row],[STATUS_NEGOCIO]]="Enviar E-mail",1,"")</f>
        <v/>
      </c>
      <c r="U814" t="str">
        <f>TEXT(Tabela1[[#This Row],[DATA]],"dd/mm/aaaa")</f>
        <v>22/04/2026</v>
      </c>
    </row>
    <row r="815" spans="1:21" x14ac:dyDescent="0.25">
      <c r="A815" s="4">
        <v>46134.614791666667</v>
      </c>
      <c r="B815" s="5" t="s">
        <v>19</v>
      </c>
      <c r="C815" s="5" t="s">
        <v>37</v>
      </c>
      <c r="D815" s="5">
        <v>148</v>
      </c>
      <c r="E815" s="6">
        <v>10379649000119</v>
      </c>
      <c r="F815" s="5">
        <v>148</v>
      </c>
      <c r="G815" s="7">
        <v>177687991852521</v>
      </c>
      <c r="H815" s="5" t="s">
        <v>96</v>
      </c>
      <c r="I815" s="5">
        <v>3003</v>
      </c>
      <c r="J815" s="5" t="s">
        <v>22</v>
      </c>
      <c r="K815" s="5" t="s">
        <v>23</v>
      </c>
      <c r="L815" s="5" t="s">
        <v>31</v>
      </c>
      <c r="M815" s="5" t="s">
        <v>284</v>
      </c>
      <c r="N815" s="5" t="s">
        <v>53</v>
      </c>
      <c r="O815" s="5">
        <v>128</v>
      </c>
      <c r="P815" s="5"/>
      <c r="Q815" s="5"/>
      <c r="R815" s="8">
        <v>8.1018518518518516E-5</v>
      </c>
      <c r="S815" s="5" t="s">
        <v>37</v>
      </c>
      <c r="T815" t="str">
        <f>IF(Tabela1[[#This Row],[STATUS_NEGOCIO]]="Enviar E-mail",1,"")</f>
        <v/>
      </c>
      <c r="U815" t="str">
        <f>TEXT(Tabela1[[#This Row],[DATA]],"dd/mm/aaaa")</f>
        <v>22/04/2026</v>
      </c>
    </row>
    <row r="816" spans="1:21" x14ac:dyDescent="0.25">
      <c r="A816" s="4">
        <v>46134.61482638889</v>
      </c>
      <c r="B816" s="5" t="s">
        <v>19</v>
      </c>
      <c r="C816" s="5" t="s">
        <v>37</v>
      </c>
      <c r="D816" s="5">
        <v>149</v>
      </c>
      <c r="E816" s="6">
        <v>10433504000159</v>
      </c>
      <c r="F816" s="5">
        <v>149</v>
      </c>
      <c r="G816" s="7">
        <v>177687992152541</v>
      </c>
      <c r="H816" s="5" t="s">
        <v>370</v>
      </c>
      <c r="I816" s="5">
        <v>3003</v>
      </c>
      <c r="J816" s="5" t="s">
        <v>22</v>
      </c>
      <c r="K816" s="5" t="s">
        <v>23</v>
      </c>
      <c r="L816" s="5" t="s">
        <v>31</v>
      </c>
      <c r="M816" s="5" t="s">
        <v>284</v>
      </c>
      <c r="N816" s="5" t="s">
        <v>53</v>
      </c>
      <c r="O816" s="5">
        <v>128</v>
      </c>
      <c r="P816" s="5"/>
      <c r="Q816" s="5"/>
      <c r="R816" s="8">
        <v>8.1018518518518516E-5</v>
      </c>
      <c r="S816" s="5" t="s">
        <v>37</v>
      </c>
      <c r="T816" t="str">
        <f>IF(Tabela1[[#This Row],[STATUS_NEGOCIO]]="Enviar E-mail",1,"")</f>
        <v/>
      </c>
      <c r="U816" t="str">
        <f>TEXT(Tabela1[[#This Row],[DATA]],"dd/mm/aaaa")</f>
        <v>22/04/2026</v>
      </c>
    </row>
    <row r="817" spans="1:21" x14ac:dyDescent="0.25">
      <c r="A817" s="4">
        <v>46134.614907407406</v>
      </c>
      <c r="B817" s="5" t="s">
        <v>19</v>
      </c>
      <c r="C817" s="5" t="s">
        <v>37</v>
      </c>
      <c r="D817" s="5">
        <v>150</v>
      </c>
      <c r="E817" s="6">
        <v>10443491000107</v>
      </c>
      <c r="F817" s="5">
        <v>150</v>
      </c>
      <c r="G817" s="7">
        <v>177687992852601</v>
      </c>
      <c r="H817" s="5" t="s">
        <v>371</v>
      </c>
      <c r="I817" s="5" t="s">
        <v>52</v>
      </c>
      <c r="J817" s="5" t="s">
        <v>22</v>
      </c>
      <c r="K817" s="5" t="s">
        <v>36</v>
      </c>
      <c r="L817" s="5" t="s">
        <v>36</v>
      </c>
      <c r="M817" s="5" t="s">
        <v>284</v>
      </c>
      <c r="N817" s="5" t="s">
        <v>53</v>
      </c>
      <c r="O817" s="5">
        <v>19</v>
      </c>
      <c r="P817" s="5"/>
      <c r="Q817" s="5"/>
      <c r="R817" s="8">
        <v>0</v>
      </c>
      <c r="S817" s="5" t="s">
        <v>37</v>
      </c>
      <c r="T817" t="str">
        <f>IF(Tabela1[[#This Row],[STATUS_NEGOCIO]]="Enviar E-mail",1,"")</f>
        <v/>
      </c>
      <c r="U817" t="str">
        <f>TEXT(Tabela1[[#This Row],[DATA]],"dd/mm/aaaa")</f>
        <v>22/04/2026</v>
      </c>
    </row>
    <row r="818" spans="1:21" x14ac:dyDescent="0.25">
      <c r="A818" s="4">
        <v>46134.614942129629</v>
      </c>
      <c r="B818" s="5" t="s">
        <v>19</v>
      </c>
      <c r="C818" s="5" t="s">
        <v>37</v>
      </c>
      <c r="D818" s="5">
        <v>151</v>
      </c>
      <c r="E818" s="6">
        <v>10479198000191</v>
      </c>
      <c r="F818" s="5">
        <v>151</v>
      </c>
      <c r="G818" s="7">
        <v>177687993152661</v>
      </c>
      <c r="H818" s="5" t="s">
        <v>69</v>
      </c>
      <c r="I818" s="5">
        <v>3003</v>
      </c>
      <c r="J818" s="5" t="s">
        <v>22</v>
      </c>
      <c r="K818" s="5" t="s">
        <v>23</v>
      </c>
      <c r="L818" s="5" t="s">
        <v>31</v>
      </c>
      <c r="M818" s="5" t="s">
        <v>284</v>
      </c>
      <c r="N818" s="5" t="s">
        <v>53</v>
      </c>
      <c r="O818" s="5">
        <v>128</v>
      </c>
      <c r="P818" s="5"/>
      <c r="Q818" s="5"/>
      <c r="R818" s="8">
        <v>8.1018518518518516E-5</v>
      </c>
      <c r="S818" s="5" t="s">
        <v>37</v>
      </c>
      <c r="T818" t="str">
        <f>IF(Tabela1[[#This Row],[STATUS_NEGOCIO]]="Enviar E-mail",1,"")</f>
        <v/>
      </c>
      <c r="U818" t="str">
        <f>TEXT(Tabela1[[#This Row],[DATA]],"dd/mm/aaaa")</f>
        <v>22/04/2026</v>
      </c>
    </row>
    <row r="819" spans="1:21" x14ac:dyDescent="0.25">
      <c r="A819" s="4">
        <v>46134.614953703705</v>
      </c>
      <c r="B819" s="5" t="s">
        <v>19</v>
      </c>
      <c r="C819" s="5" t="s">
        <v>20</v>
      </c>
      <c r="D819" s="5">
        <v>152</v>
      </c>
      <c r="E819" s="6">
        <v>10480153000137</v>
      </c>
      <c r="F819" s="5">
        <v>152</v>
      </c>
      <c r="G819" s="7">
        <v>177687993252681</v>
      </c>
      <c r="H819" s="5" t="s">
        <v>372</v>
      </c>
      <c r="I819" s="5">
        <v>3003</v>
      </c>
      <c r="J819" s="5" t="s">
        <v>22</v>
      </c>
      <c r="K819" s="5" t="s">
        <v>23</v>
      </c>
      <c r="L819" s="5" t="s">
        <v>44</v>
      </c>
      <c r="M819" s="5" t="s">
        <v>284</v>
      </c>
      <c r="N819" s="5" t="s">
        <v>26</v>
      </c>
      <c r="O819" s="5">
        <v>16</v>
      </c>
      <c r="P819" s="5"/>
      <c r="Q819" s="5"/>
      <c r="R819" s="8">
        <v>6.9444444444444444E-5</v>
      </c>
      <c r="S819" s="8">
        <v>1.1574074074074073E-5</v>
      </c>
      <c r="T819" t="str">
        <f>IF(Tabela1[[#This Row],[STATUS_NEGOCIO]]="Enviar E-mail",1,"")</f>
        <v/>
      </c>
      <c r="U819" t="str">
        <f>TEXT(Tabela1[[#This Row],[DATA]],"dd/mm/aaaa")</f>
        <v>22/04/2026</v>
      </c>
    </row>
    <row r="820" spans="1:21" x14ac:dyDescent="0.25">
      <c r="A820" s="4">
        <v>46134.614953703705</v>
      </c>
      <c r="B820" s="5" t="s">
        <v>19</v>
      </c>
      <c r="C820" s="5" t="s">
        <v>37</v>
      </c>
      <c r="D820" s="5">
        <v>153</v>
      </c>
      <c r="E820" s="6">
        <v>10594727000106</v>
      </c>
      <c r="F820" s="5">
        <v>153</v>
      </c>
      <c r="G820" s="7">
        <v>177687993252701</v>
      </c>
      <c r="H820" s="5" t="s">
        <v>373</v>
      </c>
      <c r="I820" s="5">
        <v>3003</v>
      </c>
      <c r="J820" s="5" t="s">
        <v>22</v>
      </c>
      <c r="K820" s="5" t="s">
        <v>23</v>
      </c>
      <c r="L820" s="5" t="s">
        <v>31</v>
      </c>
      <c r="M820" s="5" t="s">
        <v>284</v>
      </c>
      <c r="N820" s="5" t="s">
        <v>53</v>
      </c>
      <c r="O820" s="5">
        <v>128</v>
      </c>
      <c r="P820" s="5"/>
      <c r="Q820" s="5"/>
      <c r="R820" s="8">
        <v>8.1018518518518516E-5</v>
      </c>
      <c r="S820" s="5" t="s">
        <v>37</v>
      </c>
      <c r="T820" t="str">
        <f>IF(Tabela1[[#This Row],[STATUS_NEGOCIO]]="Enviar E-mail",1,"")</f>
        <v/>
      </c>
      <c r="U820" t="str">
        <f>TEXT(Tabela1[[#This Row],[DATA]],"dd/mm/aaaa")</f>
        <v>22/04/2026</v>
      </c>
    </row>
    <row r="821" spans="1:21" x14ac:dyDescent="0.25">
      <c r="A821" s="4">
        <v>46134.61509259259</v>
      </c>
      <c r="B821" s="5" t="s">
        <v>19</v>
      </c>
      <c r="C821" s="5" t="s">
        <v>37</v>
      </c>
      <c r="D821" s="5">
        <v>154</v>
      </c>
      <c r="E821" s="6">
        <v>10737265000120</v>
      </c>
      <c r="F821" s="5">
        <v>154</v>
      </c>
      <c r="G821" s="7">
        <v>177687994452791</v>
      </c>
      <c r="H821" s="5" t="s">
        <v>374</v>
      </c>
      <c r="I821" s="5">
        <v>3003</v>
      </c>
      <c r="J821" s="5" t="s">
        <v>22</v>
      </c>
      <c r="K821" s="5" t="s">
        <v>23</v>
      </c>
      <c r="L821" s="5" t="s">
        <v>31</v>
      </c>
      <c r="M821" s="5" t="s">
        <v>284</v>
      </c>
      <c r="N821" s="5" t="s">
        <v>53</v>
      </c>
      <c r="O821" s="5">
        <v>128</v>
      </c>
      <c r="P821" s="5"/>
      <c r="Q821" s="5"/>
      <c r="R821" s="8">
        <v>8.1018518518518516E-5</v>
      </c>
      <c r="S821" s="5" t="s">
        <v>37</v>
      </c>
      <c r="T821" t="str">
        <f>IF(Tabela1[[#This Row],[STATUS_NEGOCIO]]="Enviar E-mail",1,"")</f>
        <v/>
      </c>
      <c r="U821" t="str">
        <f>TEXT(Tabela1[[#This Row],[DATA]],"dd/mm/aaaa")</f>
        <v>22/04/2026</v>
      </c>
    </row>
    <row r="822" spans="1:21" x14ac:dyDescent="0.25">
      <c r="A822" s="4">
        <v>46134.615162037036</v>
      </c>
      <c r="B822" s="5" t="s">
        <v>19</v>
      </c>
      <c r="C822" s="5" t="s">
        <v>37</v>
      </c>
      <c r="D822" s="5">
        <v>155</v>
      </c>
      <c r="E822" s="6">
        <v>10745721000184</v>
      </c>
      <c r="F822" s="5">
        <v>155</v>
      </c>
      <c r="G822" s="7">
        <v>177687995052871</v>
      </c>
      <c r="H822" s="5" t="s">
        <v>375</v>
      </c>
      <c r="I822" s="5">
        <v>3003</v>
      </c>
      <c r="J822" s="5" t="s">
        <v>22</v>
      </c>
      <c r="K822" s="5" t="s">
        <v>23</v>
      </c>
      <c r="L822" s="5" t="s">
        <v>31</v>
      </c>
      <c r="M822" s="5" t="s">
        <v>284</v>
      </c>
      <c r="N822" s="5" t="s">
        <v>53</v>
      </c>
      <c r="O822" s="5">
        <v>128</v>
      </c>
      <c r="P822" s="5"/>
      <c r="Q822" s="5"/>
      <c r="R822" s="8">
        <v>8.1018518518518516E-5</v>
      </c>
      <c r="S822" s="5" t="s">
        <v>37</v>
      </c>
      <c r="T822" t="str">
        <f>IF(Tabela1[[#This Row],[STATUS_NEGOCIO]]="Enviar E-mail",1,"")</f>
        <v/>
      </c>
      <c r="U822" t="str">
        <f>TEXT(Tabela1[[#This Row],[DATA]],"dd/mm/aaaa")</f>
        <v>22/04/2026</v>
      </c>
    </row>
    <row r="823" spans="1:21" x14ac:dyDescent="0.25">
      <c r="A823" s="4">
        <v>46134.615219907406</v>
      </c>
      <c r="B823" s="5" t="s">
        <v>19</v>
      </c>
      <c r="C823" s="5" t="s">
        <v>37</v>
      </c>
      <c r="D823" s="5">
        <v>156</v>
      </c>
      <c r="E823" s="6">
        <v>10746169000149</v>
      </c>
      <c r="F823" s="5">
        <v>156</v>
      </c>
      <c r="G823" s="7">
        <v>177687995552891</v>
      </c>
      <c r="H823" s="5" t="s">
        <v>376</v>
      </c>
      <c r="I823" s="5">
        <v>3003</v>
      </c>
      <c r="J823" s="5" t="s">
        <v>22</v>
      </c>
      <c r="K823" s="5" t="s">
        <v>23</v>
      </c>
      <c r="L823" s="5" t="s">
        <v>31</v>
      </c>
      <c r="M823" s="5" t="s">
        <v>284</v>
      </c>
      <c r="N823" s="5" t="s">
        <v>53</v>
      </c>
      <c r="O823" s="5">
        <v>128</v>
      </c>
      <c r="P823" s="5"/>
      <c r="Q823" s="5"/>
      <c r="R823" s="8">
        <v>8.1018518518518516E-5</v>
      </c>
      <c r="S823" s="5" t="s">
        <v>37</v>
      </c>
      <c r="T823" t="str">
        <f>IF(Tabela1[[#This Row],[STATUS_NEGOCIO]]="Enviar E-mail",1,"")</f>
        <v/>
      </c>
      <c r="U823" t="str">
        <f>TEXT(Tabela1[[#This Row],[DATA]],"dd/mm/aaaa")</f>
        <v>22/04/2026</v>
      </c>
    </row>
    <row r="824" spans="1:21" x14ac:dyDescent="0.25">
      <c r="A824" s="4">
        <v>46134.615243055552</v>
      </c>
      <c r="B824" s="5" t="s">
        <v>19</v>
      </c>
      <c r="C824" s="5" t="s">
        <v>37</v>
      </c>
      <c r="D824" s="5">
        <v>157</v>
      </c>
      <c r="E824" s="6">
        <v>10790942000174</v>
      </c>
      <c r="F824" s="5">
        <v>157</v>
      </c>
      <c r="G824" s="7">
        <v>177687995752911</v>
      </c>
      <c r="H824" s="5" t="s">
        <v>377</v>
      </c>
      <c r="I824" s="5">
        <v>3003</v>
      </c>
      <c r="J824" s="5" t="s">
        <v>22</v>
      </c>
      <c r="K824" s="5" t="s">
        <v>23</v>
      </c>
      <c r="L824" s="5" t="s">
        <v>31</v>
      </c>
      <c r="M824" s="5" t="s">
        <v>284</v>
      </c>
      <c r="N824" s="5" t="s">
        <v>53</v>
      </c>
      <c r="O824" s="5">
        <v>128</v>
      </c>
      <c r="P824" s="5"/>
      <c r="Q824" s="5"/>
      <c r="R824" s="8">
        <v>8.1018518518518516E-5</v>
      </c>
      <c r="S824" s="5" t="s">
        <v>37</v>
      </c>
      <c r="T824" t="str">
        <f>IF(Tabela1[[#This Row],[STATUS_NEGOCIO]]="Enviar E-mail",1,"")</f>
        <v/>
      </c>
      <c r="U824" t="str">
        <f>TEXT(Tabela1[[#This Row],[DATA]],"dd/mm/aaaa")</f>
        <v>22/04/2026</v>
      </c>
    </row>
    <row r="825" spans="1:21" x14ac:dyDescent="0.25">
      <c r="A825" s="4">
        <v>46134.615243055552</v>
      </c>
      <c r="B825" s="5" t="s">
        <v>19</v>
      </c>
      <c r="C825" s="5" t="s">
        <v>37</v>
      </c>
      <c r="D825" s="5">
        <v>158</v>
      </c>
      <c r="E825" s="6">
        <v>10888515000123</v>
      </c>
      <c r="F825" s="5">
        <v>158</v>
      </c>
      <c r="G825" s="7">
        <v>177687995752941</v>
      </c>
      <c r="H825" s="5" t="s">
        <v>378</v>
      </c>
      <c r="I825" s="5">
        <v>3003</v>
      </c>
      <c r="J825" s="5" t="s">
        <v>22</v>
      </c>
      <c r="K825" s="5" t="s">
        <v>23</v>
      </c>
      <c r="L825" s="5" t="s">
        <v>31</v>
      </c>
      <c r="M825" s="5" t="s">
        <v>284</v>
      </c>
      <c r="N825" s="5" t="s">
        <v>53</v>
      </c>
      <c r="O825" s="5">
        <v>128</v>
      </c>
      <c r="P825" s="5"/>
      <c r="Q825" s="5"/>
      <c r="R825" s="8">
        <v>8.1018518518518516E-5</v>
      </c>
      <c r="S825" s="5" t="s">
        <v>37</v>
      </c>
      <c r="T825" t="str">
        <f>IF(Tabela1[[#This Row],[STATUS_NEGOCIO]]="Enviar E-mail",1,"")</f>
        <v/>
      </c>
      <c r="U825" t="str">
        <f>TEXT(Tabela1[[#This Row],[DATA]],"dd/mm/aaaa")</f>
        <v>22/04/2026</v>
      </c>
    </row>
    <row r="826" spans="1:21" x14ac:dyDescent="0.25">
      <c r="A826" s="4">
        <v>46134.615254629629</v>
      </c>
      <c r="B826" s="5" t="s">
        <v>19</v>
      </c>
      <c r="C826" s="5" t="s">
        <v>37</v>
      </c>
      <c r="D826" s="5">
        <v>159</v>
      </c>
      <c r="E826" s="6">
        <v>10984785000138</v>
      </c>
      <c r="F826" s="5">
        <v>159</v>
      </c>
      <c r="G826" s="7">
        <v>177687995852951</v>
      </c>
      <c r="H826" s="5" t="s">
        <v>29</v>
      </c>
      <c r="I826" s="5">
        <v>3003</v>
      </c>
      <c r="J826" s="5" t="s">
        <v>22</v>
      </c>
      <c r="K826" s="5" t="s">
        <v>23</v>
      </c>
      <c r="L826" s="5" t="s">
        <v>31</v>
      </c>
      <c r="M826" s="5" t="s">
        <v>284</v>
      </c>
      <c r="N826" s="5" t="s">
        <v>53</v>
      </c>
      <c r="O826" s="5">
        <v>128</v>
      </c>
      <c r="P826" s="5"/>
      <c r="Q826" s="5"/>
      <c r="R826" s="8">
        <v>8.1018518518518516E-5</v>
      </c>
      <c r="S826" s="5" t="s">
        <v>37</v>
      </c>
      <c r="T826" t="str">
        <f>IF(Tabela1[[#This Row],[STATUS_NEGOCIO]]="Enviar E-mail",1,"")</f>
        <v/>
      </c>
      <c r="U826" t="str">
        <f>TEXT(Tabela1[[#This Row],[DATA]],"dd/mm/aaaa")</f>
        <v>22/04/2026</v>
      </c>
    </row>
    <row r="827" spans="1:21" x14ac:dyDescent="0.25">
      <c r="A827" s="4">
        <v>46134.615277777775</v>
      </c>
      <c r="B827" s="5" t="s">
        <v>19</v>
      </c>
      <c r="C827" s="5" t="s">
        <v>37</v>
      </c>
      <c r="D827" s="5">
        <v>160</v>
      </c>
      <c r="E827" s="6">
        <v>11013156000123</v>
      </c>
      <c r="F827" s="5">
        <v>160</v>
      </c>
      <c r="G827" s="7">
        <v>177687996052981</v>
      </c>
      <c r="H827" s="5" t="s">
        <v>379</v>
      </c>
      <c r="I827" s="5">
        <v>3003</v>
      </c>
      <c r="J827" s="5" t="s">
        <v>22</v>
      </c>
      <c r="K827" s="5" t="s">
        <v>23</v>
      </c>
      <c r="L827" s="5" t="s">
        <v>31</v>
      </c>
      <c r="M827" s="5" t="s">
        <v>284</v>
      </c>
      <c r="N827" s="5" t="s">
        <v>53</v>
      </c>
      <c r="O827" s="5">
        <v>128</v>
      </c>
      <c r="P827" s="5"/>
      <c r="Q827" s="5"/>
      <c r="R827" s="8">
        <v>8.1018518518518516E-5</v>
      </c>
      <c r="S827" s="5" t="s">
        <v>37</v>
      </c>
      <c r="T827" t="str">
        <f>IF(Tabela1[[#This Row],[STATUS_NEGOCIO]]="Enviar E-mail",1,"")</f>
        <v/>
      </c>
      <c r="U827" t="str">
        <f>TEXT(Tabela1[[#This Row],[DATA]],"dd/mm/aaaa")</f>
        <v>22/04/2026</v>
      </c>
    </row>
    <row r="828" spans="1:21" x14ac:dyDescent="0.25">
      <c r="A828" s="4">
        <v>46134.615324074075</v>
      </c>
      <c r="B828" s="5" t="s">
        <v>19</v>
      </c>
      <c r="C828" s="5" t="s">
        <v>37</v>
      </c>
      <c r="D828" s="5">
        <v>161</v>
      </c>
      <c r="E828" s="6">
        <v>11117005000115</v>
      </c>
      <c r="F828" s="5">
        <v>161</v>
      </c>
      <c r="G828" s="7">
        <v>177687996453001</v>
      </c>
      <c r="H828" s="5" t="s">
        <v>380</v>
      </c>
      <c r="I828" s="5">
        <v>3003</v>
      </c>
      <c r="J828" s="5" t="s">
        <v>22</v>
      </c>
      <c r="K828" s="5" t="s">
        <v>23</v>
      </c>
      <c r="L828" s="5" t="s">
        <v>31</v>
      </c>
      <c r="M828" s="5" t="s">
        <v>284</v>
      </c>
      <c r="N828" s="5" t="s">
        <v>53</v>
      </c>
      <c r="O828" s="5">
        <v>128</v>
      </c>
      <c r="P828" s="5"/>
      <c r="Q828" s="5"/>
      <c r="R828" s="8">
        <v>8.1018518518518516E-5</v>
      </c>
      <c r="S828" s="5" t="s">
        <v>37</v>
      </c>
      <c r="T828" t="str">
        <f>IF(Tabela1[[#This Row],[STATUS_NEGOCIO]]="Enviar E-mail",1,"")</f>
        <v/>
      </c>
      <c r="U828" t="str">
        <f>TEXT(Tabela1[[#This Row],[DATA]],"dd/mm/aaaa")</f>
        <v>22/04/2026</v>
      </c>
    </row>
    <row r="829" spans="1:21" x14ac:dyDescent="0.25">
      <c r="A829" s="4">
        <v>46134.615358796298</v>
      </c>
      <c r="B829" s="5" t="s">
        <v>19</v>
      </c>
      <c r="C829" s="5" t="s">
        <v>37</v>
      </c>
      <c r="D829" s="5">
        <v>163</v>
      </c>
      <c r="E829" s="6">
        <v>11360283000107</v>
      </c>
      <c r="F829" s="5">
        <v>163</v>
      </c>
      <c r="G829" s="7">
        <v>177687996753021</v>
      </c>
      <c r="H829" s="5" t="s">
        <v>382</v>
      </c>
      <c r="I829" s="5">
        <v>3003</v>
      </c>
      <c r="J829" s="5" t="s">
        <v>22</v>
      </c>
      <c r="K829" s="5" t="s">
        <v>23</v>
      </c>
      <c r="L829" s="5" t="s">
        <v>31</v>
      </c>
      <c r="M829" s="5" t="s">
        <v>284</v>
      </c>
      <c r="N829" s="5" t="s">
        <v>53</v>
      </c>
      <c r="O829" s="5">
        <v>128</v>
      </c>
      <c r="P829" s="5"/>
      <c r="Q829" s="5"/>
      <c r="R829" s="8">
        <v>6.9444444444444444E-5</v>
      </c>
      <c r="S829" s="5" t="s">
        <v>37</v>
      </c>
      <c r="T829" t="str">
        <f>IF(Tabela1[[#This Row],[STATUS_NEGOCIO]]="Enviar E-mail",1,"")</f>
        <v/>
      </c>
      <c r="U829" t="str">
        <f>TEXT(Tabela1[[#This Row],[DATA]],"dd/mm/aaaa")</f>
        <v>22/04/2026</v>
      </c>
    </row>
    <row r="830" spans="1:21" x14ac:dyDescent="0.25">
      <c r="A830" s="4">
        <v>46134.615370370368</v>
      </c>
      <c r="B830" s="5" t="s">
        <v>19</v>
      </c>
      <c r="C830" s="5" t="s">
        <v>37</v>
      </c>
      <c r="D830" s="5">
        <v>164</v>
      </c>
      <c r="E830" s="6">
        <v>11642542000184</v>
      </c>
      <c r="F830" s="5">
        <v>164</v>
      </c>
      <c r="G830" s="7">
        <v>177687996853041</v>
      </c>
      <c r="H830" s="5" t="s">
        <v>383</v>
      </c>
      <c r="I830" s="5">
        <v>3003</v>
      </c>
      <c r="J830" s="5" t="s">
        <v>22</v>
      </c>
      <c r="K830" s="5" t="s">
        <v>23</v>
      </c>
      <c r="L830" s="5" t="s">
        <v>31</v>
      </c>
      <c r="M830" s="5" t="s">
        <v>284</v>
      </c>
      <c r="N830" s="5" t="s">
        <v>53</v>
      </c>
      <c r="O830" s="5">
        <v>128</v>
      </c>
      <c r="P830" s="5"/>
      <c r="Q830" s="5"/>
      <c r="R830" s="8">
        <v>8.1018518518518516E-5</v>
      </c>
      <c r="S830" s="5" t="s">
        <v>37</v>
      </c>
      <c r="T830" t="str">
        <f>IF(Tabela1[[#This Row],[STATUS_NEGOCIO]]="Enviar E-mail",1,"")</f>
        <v/>
      </c>
      <c r="U830" t="str">
        <f>TEXT(Tabela1[[#This Row],[DATA]],"dd/mm/aaaa")</f>
        <v>22/04/2026</v>
      </c>
    </row>
    <row r="831" spans="1:21" x14ac:dyDescent="0.25">
      <c r="A831" s="4">
        <v>46134.615486111114</v>
      </c>
      <c r="B831" s="5" t="s">
        <v>19</v>
      </c>
      <c r="C831" s="5" t="s">
        <v>37</v>
      </c>
      <c r="D831" s="5">
        <v>165</v>
      </c>
      <c r="E831" s="6">
        <v>11649203000120</v>
      </c>
      <c r="F831" s="5">
        <v>165</v>
      </c>
      <c r="G831" s="7">
        <v>177687997853061</v>
      </c>
      <c r="H831" s="5" t="s">
        <v>384</v>
      </c>
      <c r="I831" s="5">
        <v>3003</v>
      </c>
      <c r="J831" s="5" t="s">
        <v>22</v>
      </c>
      <c r="K831" s="5" t="s">
        <v>23</v>
      </c>
      <c r="L831" s="5" t="s">
        <v>31</v>
      </c>
      <c r="M831" s="5" t="s">
        <v>284</v>
      </c>
      <c r="N831" s="5" t="s">
        <v>53</v>
      </c>
      <c r="O831" s="5">
        <v>128</v>
      </c>
      <c r="P831" s="5"/>
      <c r="Q831" s="5"/>
      <c r="R831" s="8">
        <v>8.1018518518518516E-5</v>
      </c>
      <c r="S831" s="5" t="s">
        <v>37</v>
      </c>
      <c r="T831" t="str">
        <f>IF(Tabela1[[#This Row],[STATUS_NEGOCIO]]="Enviar E-mail",1,"")</f>
        <v/>
      </c>
      <c r="U831" t="str">
        <f>TEXT(Tabela1[[#This Row],[DATA]],"dd/mm/aaaa")</f>
        <v>22/04/2026</v>
      </c>
    </row>
    <row r="832" spans="1:21" x14ac:dyDescent="0.25">
      <c r="A832" s="4">
        <v>46134.615497685183</v>
      </c>
      <c r="B832" s="5" t="s">
        <v>19</v>
      </c>
      <c r="C832" s="5" t="s">
        <v>37</v>
      </c>
      <c r="D832" s="5">
        <v>166</v>
      </c>
      <c r="E832" s="6">
        <v>11661920000177</v>
      </c>
      <c r="F832" s="5">
        <v>166</v>
      </c>
      <c r="G832" s="7">
        <v>177687997953081</v>
      </c>
      <c r="H832" s="5" t="s">
        <v>385</v>
      </c>
      <c r="I832" s="5">
        <v>3003</v>
      </c>
      <c r="J832" s="5" t="s">
        <v>22</v>
      </c>
      <c r="K832" s="5" t="s">
        <v>23</v>
      </c>
      <c r="L832" s="5" t="s">
        <v>31</v>
      </c>
      <c r="M832" s="5" t="s">
        <v>284</v>
      </c>
      <c r="N832" s="5" t="s">
        <v>53</v>
      </c>
      <c r="O832" s="5">
        <v>128</v>
      </c>
      <c r="P832" s="5"/>
      <c r="Q832" s="5"/>
      <c r="R832" s="8">
        <v>8.1018518518518516E-5</v>
      </c>
      <c r="S832" s="5" t="s">
        <v>37</v>
      </c>
      <c r="T832" t="str">
        <f>IF(Tabela1[[#This Row],[STATUS_NEGOCIO]]="Enviar E-mail",1,"")</f>
        <v/>
      </c>
      <c r="U832" t="str">
        <f>TEXT(Tabela1[[#This Row],[DATA]],"dd/mm/aaaa")</f>
        <v>22/04/2026</v>
      </c>
    </row>
    <row r="833" spans="1:21" x14ac:dyDescent="0.25">
      <c r="A833" s="4">
        <v>46134.61550925926</v>
      </c>
      <c r="B833" s="5" t="s">
        <v>19</v>
      </c>
      <c r="C833" s="5" t="s">
        <v>37</v>
      </c>
      <c r="D833" s="5">
        <v>167</v>
      </c>
      <c r="E833" s="6">
        <v>11701732000125</v>
      </c>
      <c r="F833" s="5">
        <v>167</v>
      </c>
      <c r="G833" s="7">
        <v>177687998053111</v>
      </c>
      <c r="H833" s="5" t="s">
        <v>98</v>
      </c>
      <c r="I833" s="5">
        <v>3003</v>
      </c>
      <c r="J833" s="5" t="s">
        <v>22</v>
      </c>
      <c r="K833" s="5" t="s">
        <v>23</v>
      </c>
      <c r="L833" s="5" t="s">
        <v>31</v>
      </c>
      <c r="M833" s="5" t="s">
        <v>284</v>
      </c>
      <c r="N833" s="5" t="s">
        <v>53</v>
      </c>
      <c r="O833" s="5">
        <v>128</v>
      </c>
      <c r="P833" s="5"/>
      <c r="Q833" s="5"/>
      <c r="R833" s="8">
        <v>8.1018518518518516E-5</v>
      </c>
      <c r="S833" s="5" t="s">
        <v>37</v>
      </c>
      <c r="T833" t="str">
        <f>IF(Tabela1[[#This Row],[STATUS_NEGOCIO]]="Enviar E-mail",1,"")</f>
        <v/>
      </c>
      <c r="U833" t="str">
        <f>TEXT(Tabela1[[#This Row],[DATA]],"dd/mm/aaaa")</f>
        <v>22/04/2026</v>
      </c>
    </row>
    <row r="834" spans="1:21" x14ac:dyDescent="0.25">
      <c r="A834" s="4">
        <v>46134.61550925926</v>
      </c>
      <c r="B834" s="5" t="s">
        <v>19</v>
      </c>
      <c r="C834" s="5" t="s">
        <v>37</v>
      </c>
      <c r="D834" s="5">
        <v>169</v>
      </c>
      <c r="E834" s="6">
        <v>11750615000151</v>
      </c>
      <c r="F834" s="5">
        <v>169</v>
      </c>
      <c r="G834" s="7">
        <v>177687998053121</v>
      </c>
      <c r="H834" s="5" t="s">
        <v>176</v>
      </c>
      <c r="I834" s="5">
        <v>3003</v>
      </c>
      <c r="J834" s="5" t="s">
        <v>22</v>
      </c>
      <c r="K834" s="5" t="s">
        <v>23</v>
      </c>
      <c r="L834" s="5" t="s">
        <v>31</v>
      </c>
      <c r="M834" s="5" t="s">
        <v>284</v>
      </c>
      <c r="N834" s="5" t="s">
        <v>53</v>
      </c>
      <c r="O834" s="5">
        <v>128</v>
      </c>
      <c r="P834" s="5"/>
      <c r="Q834" s="5"/>
      <c r="R834" s="8">
        <v>8.1018518518518516E-5</v>
      </c>
      <c r="S834" s="5" t="s">
        <v>37</v>
      </c>
      <c r="T834" t="str">
        <f>IF(Tabela1[[#This Row],[STATUS_NEGOCIO]]="Enviar E-mail",1,"")</f>
        <v/>
      </c>
      <c r="U834" t="str">
        <f>TEXT(Tabela1[[#This Row],[DATA]],"dd/mm/aaaa")</f>
        <v>22/04/2026</v>
      </c>
    </row>
    <row r="835" spans="1:21" x14ac:dyDescent="0.25">
      <c r="A835" s="4">
        <v>46134.61550925926</v>
      </c>
      <c r="B835" s="5" t="s">
        <v>19</v>
      </c>
      <c r="C835" s="5" t="s">
        <v>37</v>
      </c>
      <c r="D835" s="5">
        <v>170</v>
      </c>
      <c r="E835" s="6">
        <v>12022419000123</v>
      </c>
      <c r="F835" s="5">
        <v>170</v>
      </c>
      <c r="G835" s="7">
        <v>177687998053131</v>
      </c>
      <c r="H835" s="5" t="s">
        <v>386</v>
      </c>
      <c r="I835" s="5">
        <v>3003</v>
      </c>
      <c r="J835" s="5" t="s">
        <v>22</v>
      </c>
      <c r="K835" s="5" t="s">
        <v>23</v>
      </c>
      <c r="L835" s="5" t="s">
        <v>31</v>
      </c>
      <c r="M835" s="5" t="s">
        <v>284</v>
      </c>
      <c r="N835" s="5" t="s">
        <v>53</v>
      </c>
      <c r="O835" s="5">
        <v>128</v>
      </c>
      <c r="P835" s="5"/>
      <c r="Q835" s="5"/>
      <c r="R835" s="8">
        <v>8.1018518518518516E-5</v>
      </c>
      <c r="S835" s="5" t="s">
        <v>37</v>
      </c>
      <c r="T835" t="str">
        <f>IF(Tabela1[[#This Row],[STATUS_NEGOCIO]]="Enviar E-mail",1,"")</f>
        <v/>
      </c>
      <c r="U835" t="str">
        <f>TEXT(Tabela1[[#This Row],[DATA]],"dd/mm/aaaa")</f>
        <v>22/04/2026</v>
      </c>
    </row>
    <row r="836" spans="1:21" x14ac:dyDescent="0.25">
      <c r="A836" s="4">
        <v>46134.615590277775</v>
      </c>
      <c r="B836" s="5" t="s">
        <v>19</v>
      </c>
      <c r="C836" s="5" t="s">
        <v>37</v>
      </c>
      <c r="D836" s="5">
        <v>171</v>
      </c>
      <c r="E836" s="6">
        <v>12072761000138</v>
      </c>
      <c r="F836" s="5">
        <v>171</v>
      </c>
      <c r="G836" s="7">
        <v>177687998753151</v>
      </c>
      <c r="H836" s="5" t="s">
        <v>131</v>
      </c>
      <c r="I836" s="5" t="s">
        <v>52</v>
      </c>
      <c r="J836" s="5" t="s">
        <v>22</v>
      </c>
      <c r="K836" s="5" t="s">
        <v>36</v>
      </c>
      <c r="L836" s="5" t="s">
        <v>36</v>
      </c>
      <c r="M836" s="5" t="s">
        <v>284</v>
      </c>
      <c r="N836" s="5" t="s">
        <v>53</v>
      </c>
      <c r="O836" s="5">
        <v>1</v>
      </c>
      <c r="P836" s="5"/>
      <c r="Q836" s="5"/>
      <c r="R836" s="8">
        <v>0</v>
      </c>
      <c r="S836" s="5" t="s">
        <v>37</v>
      </c>
      <c r="T836" t="str">
        <f>IF(Tabela1[[#This Row],[STATUS_NEGOCIO]]="Enviar E-mail",1,"")</f>
        <v/>
      </c>
      <c r="U836" t="str">
        <f>TEXT(Tabela1[[#This Row],[DATA]],"dd/mm/aaaa")</f>
        <v>22/04/2026</v>
      </c>
    </row>
    <row r="837" spans="1:21" x14ac:dyDescent="0.25">
      <c r="A837" s="4">
        <v>46134.615590277775</v>
      </c>
      <c r="B837" s="5" t="s">
        <v>19</v>
      </c>
      <c r="C837" s="5" t="s">
        <v>37</v>
      </c>
      <c r="D837" s="5">
        <v>172</v>
      </c>
      <c r="E837" s="6">
        <v>12098243000193</v>
      </c>
      <c r="F837" s="5">
        <v>172</v>
      </c>
      <c r="G837" s="7">
        <v>177687998753161</v>
      </c>
      <c r="H837" s="5" t="s">
        <v>387</v>
      </c>
      <c r="I837" s="5">
        <v>3003</v>
      </c>
      <c r="J837" s="5" t="s">
        <v>22</v>
      </c>
      <c r="K837" s="5" t="s">
        <v>23</v>
      </c>
      <c r="L837" s="5" t="s">
        <v>31</v>
      </c>
      <c r="M837" s="5" t="s">
        <v>284</v>
      </c>
      <c r="N837" s="5" t="s">
        <v>53</v>
      </c>
      <c r="O837" s="5">
        <v>128</v>
      </c>
      <c r="P837" s="5"/>
      <c r="Q837" s="5"/>
      <c r="R837" s="8">
        <v>8.1018518518518516E-5</v>
      </c>
      <c r="S837" s="5" t="s">
        <v>37</v>
      </c>
      <c r="T837" t="str">
        <f>IF(Tabela1[[#This Row],[STATUS_NEGOCIO]]="Enviar E-mail",1,"")</f>
        <v/>
      </c>
      <c r="U837" t="str">
        <f>TEXT(Tabela1[[#This Row],[DATA]],"dd/mm/aaaa")</f>
        <v>22/04/2026</v>
      </c>
    </row>
    <row r="838" spans="1:21" x14ac:dyDescent="0.25">
      <c r="A838" s="4">
        <v>46134.615590277775</v>
      </c>
      <c r="B838" s="5" t="s">
        <v>19</v>
      </c>
      <c r="C838" s="5" t="s">
        <v>37</v>
      </c>
      <c r="D838" s="5">
        <v>173</v>
      </c>
      <c r="E838" s="6">
        <v>12266091000190</v>
      </c>
      <c r="F838" s="5">
        <v>173</v>
      </c>
      <c r="G838" s="7">
        <v>177687998753171</v>
      </c>
      <c r="H838" s="5" t="s">
        <v>144</v>
      </c>
      <c r="I838" s="5">
        <v>3003</v>
      </c>
      <c r="J838" s="5" t="s">
        <v>22</v>
      </c>
      <c r="K838" s="5" t="s">
        <v>23</v>
      </c>
      <c r="L838" s="5" t="s">
        <v>31</v>
      </c>
      <c r="M838" s="5" t="s">
        <v>284</v>
      </c>
      <c r="N838" s="5" t="s">
        <v>26</v>
      </c>
      <c r="O838" s="5">
        <v>131</v>
      </c>
      <c r="P838" s="5"/>
      <c r="Q838" s="5"/>
      <c r="R838" s="8">
        <v>1.3888888888888889E-4</v>
      </c>
      <c r="S838" s="5" t="s">
        <v>37</v>
      </c>
      <c r="T838" t="str">
        <f>IF(Tabela1[[#This Row],[STATUS_NEGOCIO]]="Enviar E-mail",1,"")</f>
        <v/>
      </c>
      <c r="U838" t="str">
        <f>TEXT(Tabela1[[#This Row],[DATA]],"dd/mm/aaaa")</f>
        <v>22/04/2026</v>
      </c>
    </row>
    <row r="839" spans="1:21" x14ac:dyDescent="0.25">
      <c r="A839" s="4">
        <v>46134.615590277775</v>
      </c>
      <c r="B839" s="5" t="s">
        <v>19</v>
      </c>
      <c r="C839" s="5" t="s">
        <v>37</v>
      </c>
      <c r="D839" s="5">
        <v>174</v>
      </c>
      <c r="E839" s="6">
        <v>12284895000112</v>
      </c>
      <c r="F839" s="5">
        <v>174</v>
      </c>
      <c r="G839" s="7">
        <v>177687998753181</v>
      </c>
      <c r="H839" s="5" t="s">
        <v>388</v>
      </c>
      <c r="I839" s="5">
        <v>3003</v>
      </c>
      <c r="J839" s="5" t="s">
        <v>22</v>
      </c>
      <c r="K839" s="5" t="s">
        <v>23</v>
      </c>
      <c r="L839" s="5" t="s">
        <v>31</v>
      </c>
      <c r="M839" s="5" t="s">
        <v>284</v>
      </c>
      <c r="N839" s="5" t="s">
        <v>53</v>
      </c>
      <c r="O839" s="5">
        <v>128</v>
      </c>
      <c r="P839" s="5"/>
      <c r="Q839" s="5"/>
      <c r="R839" s="8">
        <v>6.9444444444444444E-5</v>
      </c>
      <c r="S839" s="5" t="s">
        <v>37</v>
      </c>
      <c r="T839" t="str">
        <f>IF(Tabela1[[#This Row],[STATUS_NEGOCIO]]="Enviar E-mail",1,"")</f>
        <v/>
      </c>
      <c r="U839" t="str">
        <f>TEXT(Tabela1[[#This Row],[DATA]],"dd/mm/aaaa")</f>
        <v>22/04/2026</v>
      </c>
    </row>
    <row r="840" spans="1:21" x14ac:dyDescent="0.25">
      <c r="A840" s="4">
        <v>46134.615590277775</v>
      </c>
      <c r="B840" s="5" t="s">
        <v>19</v>
      </c>
      <c r="C840" s="5" t="s">
        <v>20</v>
      </c>
      <c r="D840" s="5">
        <v>175</v>
      </c>
      <c r="E840" s="6">
        <v>12573708000110</v>
      </c>
      <c r="F840" s="5">
        <v>175</v>
      </c>
      <c r="G840" s="7">
        <v>177687998753191</v>
      </c>
      <c r="H840" s="5" t="s">
        <v>389</v>
      </c>
      <c r="I840" s="5">
        <v>3003</v>
      </c>
      <c r="J840" s="5" t="s">
        <v>22</v>
      </c>
      <c r="K840" s="5" t="s">
        <v>23</v>
      </c>
      <c r="L840" s="5" t="s">
        <v>265</v>
      </c>
      <c r="M840" s="5" t="s">
        <v>284</v>
      </c>
      <c r="N840" s="5" t="s">
        <v>32</v>
      </c>
      <c r="O840" s="5">
        <v>16</v>
      </c>
      <c r="P840" s="5"/>
      <c r="Q840" s="5"/>
      <c r="R840" s="8">
        <v>1.6435185185185185E-3</v>
      </c>
      <c r="S840" s="8">
        <v>1.5972222222222223E-3</v>
      </c>
      <c r="T840" t="str">
        <f>IF(Tabela1[[#This Row],[STATUS_NEGOCIO]]="Enviar E-mail",1,"")</f>
        <v/>
      </c>
      <c r="U840" t="str">
        <f>TEXT(Tabela1[[#This Row],[DATA]],"dd/mm/aaaa")</f>
        <v>22/04/2026</v>
      </c>
    </row>
    <row r="841" spans="1:21" x14ac:dyDescent="0.25">
      <c r="A841" s="4">
        <v>46134.615590277775</v>
      </c>
      <c r="B841" s="5" t="s">
        <v>19</v>
      </c>
      <c r="C841" s="5" t="s">
        <v>37</v>
      </c>
      <c r="D841" s="5">
        <v>176</v>
      </c>
      <c r="E841" s="6">
        <v>12584713000129</v>
      </c>
      <c r="F841" s="5">
        <v>176</v>
      </c>
      <c r="G841" s="7">
        <v>177687998753201</v>
      </c>
      <c r="H841" s="5" t="s">
        <v>390</v>
      </c>
      <c r="I841" s="5" t="s">
        <v>52</v>
      </c>
      <c r="J841" s="5" t="s">
        <v>22</v>
      </c>
      <c r="K841" s="5" t="s">
        <v>36</v>
      </c>
      <c r="L841" s="5" t="s">
        <v>36</v>
      </c>
      <c r="M841" s="5" t="s">
        <v>284</v>
      </c>
      <c r="N841" s="5" t="s">
        <v>53</v>
      </c>
      <c r="O841" s="5">
        <v>34</v>
      </c>
      <c r="P841" s="5"/>
      <c r="Q841" s="5"/>
      <c r="R841" s="8">
        <v>0</v>
      </c>
      <c r="S841" s="5" t="s">
        <v>37</v>
      </c>
      <c r="T841" t="str">
        <f>IF(Tabela1[[#This Row],[STATUS_NEGOCIO]]="Enviar E-mail",1,"")</f>
        <v/>
      </c>
      <c r="U841" t="str">
        <f>TEXT(Tabela1[[#This Row],[DATA]],"dd/mm/aaaa")</f>
        <v>22/04/2026</v>
      </c>
    </row>
    <row r="842" spans="1:21" x14ac:dyDescent="0.25">
      <c r="A842" s="4">
        <v>46134.615590277775</v>
      </c>
      <c r="B842" s="5" t="s">
        <v>19</v>
      </c>
      <c r="C842" s="5" t="s">
        <v>37</v>
      </c>
      <c r="D842" s="5">
        <v>177</v>
      </c>
      <c r="E842" s="6">
        <v>12710766000149</v>
      </c>
      <c r="F842" s="5">
        <v>177</v>
      </c>
      <c r="G842" s="7">
        <v>177687998753211</v>
      </c>
      <c r="H842" s="5" t="s">
        <v>181</v>
      </c>
      <c r="I842" s="5" t="s">
        <v>52</v>
      </c>
      <c r="J842" s="5" t="s">
        <v>22</v>
      </c>
      <c r="K842" s="5" t="s">
        <v>36</v>
      </c>
      <c r="L842" s="5" t="s">
        <v>36</v>
      </c>
      <c r="M842" s="5" t="s">
        <v>284</v>
      </c>
      <c r="N842" s="5" t="s">
        <v>53</v>
      </c>
      <c r="O842" s="5">
        <v>34</v>
      </c>
      <c r="P842" s="5"/>
      <c r="Q842" s="5"/>
      <c r="R842" s="8">
        <v>0</v>
      </c>
      <c r="S842" s="5" t="s">
        <v>37</v>
      </c>
      <c r="T842" t="str">
        <f>IF(Tabela1[[#This Row],[STATUS_NEGOCIO]]="Enviar E-mail",1,"")</f>
        <v/>
      </c>
      <c r="U842" t="str">
        <f>TEXT(Tabela1[[#This Row],[DATA]],"dd/mm/aaaa")</f>
        <v>22/04/2026</v>
      </c>
    </row>
    <row r="843" spans="1:21" x14ac:dyDescent="0.25">
      <c r="A843" s="4">
        <v>46134.615590277775</v>
      </c>
      <c r="B843" s="5" t="s">
        <v>19</v>
      </c>
      <c r="C843" s="5" t="s">
        <v>37</v>
      </c>
      <c r="D843" s="5">
        <v>178</v>
      </c>
      <c r="E843" s="6">
        <v>12959066000192</v>
      </c>
      <c r="F843" s="5">
        <v>178</v>
      </c>
      <c r="G843" s="7">
        <v>177687998753221</v>
      </c>
      <c r="H843" s="5" t="s">
        <v>391</v>
      </c>
      <c r="I843" s="5" t="s">
        <v>52</v>
      </c>
      <c r="J843" s="5" t="s">
        <v>22</v>
      </c>
      <c r="K843" s="5" t="s">
        <v>36</v>
      </c>
      <c r="L843" s="5" t="s">
        <v>36</v>
      </c>
      <c r="M843" s="5" t="s">
        <v>284</v>
      </c>
      <c r="N843" s="5" t="s">
        <v>53</v>
      </c>
      <c r="O843" s="5">
        <v>34</v>
      </c>
      <c r="P843" s="5"/>
      <c r="Q843" s="5"/>
      <c r="R843" s="8">
        <v>0</v>
      </c>
      <c r="S843" s="5" t="s">
        <v>37</v>
      </c>
      <c r="T843" t="str">
        <f>IF(Tabela1[[#This Row],[STATUS_NEGOCIO]]="Enviar E-mail",1,"")</f>
        <v/>
      </c>
      <c r="U843" t="str">
        <f>TEXT(Tabela1[[#This Row],[DATA]],"dd/mm/aaaa")</f>
        <v>22/04/2026</v>
      </c>
    </row>
    <row r="844" spans="1:21" x14ac:dyDescent="0.25">
      <c r="A844" s="4">
        <v>46134.615590277775</v>
      </c>
      <c r="B844" s="5" t="s">
        <v>19</v>
      </c>
      <c r="C844" s="5" t="s">
        <v>37</v>
      </c>
      <c r="D844" s="5">
        <v>179</v>
      </c>
      <c r="E844" s="6">
        <v>12995318000139</v>
      </c>
      <c r="F844" s="5">
        <v>179</v>
      </c>
      <c r="G844" s="7">
        <v>177687998753231</v>
      </c>
      <c r="H844" s="5" t="s">
        <v>392</v>
      </c>
      <c r="I844" s="5" t="s">
        <v>52</v>
      </c>
      <c r="J844" s="5" t="s">
        <v>22</v>
      </c>
      <c r="K844" s="5" t="s">
        <v>36</v>
      </c>
      <c r="L844" s="5" t="s">
        <v>36</v>
      </c>
      <c r="M844" s="5" t="s">
        <v>284</v>
      </c>
      <c r="N844" s="5" t="s">
        <v>53</v>
      </c>
      <c r="O844" s="5">
        <v>34</v>
      </c>
      <c r="P844" s="5"/>
      <c r="Q844" s="5"/>
      <c r="R844" s="8">
        <v>0</v>
      </c>
      <c r="S844" s="5" t="s">
        <v>37</v>
      </c>
      <c r="T844" t="str">
        <f>IF(Tabela1[[#This Row],[STATUS_NEGOCIO]]="Enviar E-mail",1,"")</f>
        <v/>
      </c>
      <c r="U844" t="str">
        <f>TEXT(Tabela1[[#This Row],[DATA]],"dd/mm/aaaa")</f>
        <v>22/04/2026</v>
      </c>
    </row>
    <row r="845" spans="1:21" x14ac:dyDescent="0.25">
      <c r="A845" s="4">
        <v>46134.615590277775</v>
      </c>
      <c r="B845" s="5" t="s">
        <v>19</v>
      </c>
      <c r="C845" s="5" t="s">
        <v>37</v>
      </c>
      <c r="D845" s="5">
        <v>180</v>
      </c>
      <c r="E845" s="6">
        <v>13065020000192</v>
      </c>
      <c r="F845" s="5">
        <v>180</v>
      </c>
      <c r="G845" s="7">
        <v>177687998753241</v>
      </c>
      <c r="H845" s="5" t="s">
        <v>393</v>
      </c>
      <c r="I845" s="5" t="s">
        <v>52</v>
      </c>
      <c r="J845" s="5" t="s">
        <v>22</v>
      </c>
      <c r="K845" s="5" t="s">
        <v>36</v>
      </c>
      <c r="L845" s="5" t="s">
        <v>36</v>
      </c>
      <c r="M845" s="5" t="s">
        <v>284</v>
      </c>
      <c r="N845" s="5" t="s">
        <v>53</v>
      </c>
      <c r="O845" s="5">
        <v>34</v>
      </c>
      <c r="P845" s="5"/>
      <c r="Q845" s="5"/>
      <c r="R845" s="8">
        <v>0</v>
      </c>
      <c r="S845" s="5" t="s">
        <v>37</v>
      </c>
      <c r="T845" t="str">
        <f>IF(Tabela1[[#This Row],[STATUS_NEGOCIO]]="Enviar E-mail",1,"")</f>
        <v/>
      </c>
      <c r="U845" t="str">
        <f>TEXT(Tabela1[[#This Row],[DATA]],"dd/mm/aaaa")</f>
        <v>22/04/2026</v>
      </c>
    </row>
    <row r="846" spans="1:21" x14ac:dyDescent="0.25">
      <c r="A846" s="4">
        <v>46134.615590277775</v>
      </c>
      <c r="B846" s="5" t="s">
        <v>19</v>
      </c>
      <c r="C846" s="5" t="s">
        <v>37</v>
      </c>
      <c r="D846" s="5">
        <v>181</v>
      </c>
      <c r="E846" s="6">
        <v>13262186000107</v>
      </c>
      <c r="F846" s="5">
        <v>181</v>
      </c>
      <c r="G846" s="7">
        <v>177687998753251</v>
      </c>
      <c r="H846" s="5" t="s">
        <v>394</v>
      </c>
      <c r="I846" s="5" t="s">
        <v>52</v>
      </c>
      <c r="J846" s="5" t="s">
        <v>22</v>
      </c>
      <c r="K846" s="5" t="s">
        <v>36</v>
      </c>
      <c r="L846" s="5" t="s">
        <v>36</v>
      </c>
      <c r="M846" s="5" t="s">
        <v>284</v>
      </c>
      <c r="N846" s="5" t="s">
        <v>53</v>
      </c>
      <c r="O846" s="5">
        <v>34</v>
      </c>
      <c r="P846" s="5"/>
      <c r="Q846" s="5"/>
      <c r="R846" s="8">
        <v>0</v>
      </c>
      <c r="S846" s="5" t="s">
        <v>37</v>
      </c>
      <c r="T846" t="str">
        <f>IF(Tabela1[[#This Row],[STATUS_NEGOCIO]]="Enviar E-mail",1,"")</f>
        <v/>
      </c>
      <c r="U846" t="str">
        <f>TEXT(Tabela1[[#This Row],[DATA]],"dd/mm/aaaa")</f>
        <v>22/04/2026</v>
      </c>
    </row>
    <row r="847" spans="1:21" x14ac:dyDescent="0.25">
      <c r="A847" s="4">
        <v>46134.615601851852</v>
      </c>
      <c r="B847" s="5" t="s">
        <v>19</v>
      </c>
      <c r="C847" s="5" t="s">
        <v>37</v>
      </c>
      <c r="D847" s="5">
        <v>182</v>
      </c>
      <c r="E847" s="6">
        <v>13265421000196</v>
      </c>
      <c r="F847" s="5">
        <v>182</v>
      </c>
      <c r="G847" s="7">
        <v>177687998853261</v>
      </c>
      <c r="H847" s="5" t="s">
        <v>395</v>
      </c>
      <c r="I847" s="5" t="s">
        <v>52</v>
      </c>
      <c r="J847" s="5" t="s">
        <v>22</v>
      </c>
      <c r="K847" s="5" t="s">
        <v>36</v>
      </c>
      <c r="L847" s="5" t="s">
        <v>36</v>
      </c>
      <c r="M847" s="5" t="s">
        <v>284</v>
      </c>
      <c r="N847" s="5" t="s">
        <v>53</v>
      </c>
      <c r="O847" s="5">
        <v>34</v>
      </c>
      <c r="P847" s="5"/>
      <c r="Q847" s="5"/>
      <c r="R847" s="8">
        <v>0</v>
      </c>
      <c r="S847" s="5" t="s">
        <v>37</v>
      </c>
      <c r="T847" t="str">
        <f>IF(Tabela1[[#This Row],[STATUS_NEGOCIO]]="Enviar E-mail",1,"")</f>
        <v/>
      </c>
      <c r="U847" t="str">
        <f>TEXT(Tabela1[[#This Row],[DATA]],"dd/mm/aaaa")</f>
        <v>22/04/2026</v>
      </c>
    </row>
    <row r="848" spans="1:21" x14ac:dyDescent="0.25">
      <c r="A848" s="4">
        <v>46134.615601851852</v>
      </c>
      <c r="B848" s="5" t="s">
        <v>19</v>
      </c>
      <c r="C848" s="5" t="s">
        <v>37</v>
      </c>
      <c r="D848" s="5">
        <v>183</v>
      </c>
      <c r="E848" s="6">
        <v>13385694000174</v>
      </c>
      <c r="F848" s="5">
        <v>183</v>
      </c>
      <c r="G848" s="7">
        <v>177687998853271</v>
      </c>
      <c r="H848" s="5" t="s">
        <v>396</v>
      </c>
      <c r="I848" s="5">
        <v>3003</v>
      </c>
      <c r="J848" s="5" t="s">
        <v>22</v>
      </c>
      <c r="K848" s="5" t="s">
        <v>23</v>
      </c>
      <c r="L848" s="5" t="s">
        <v>31</v>
      </c>
      <c r="M848" s="5" t="s">
        <v>284</v>
      </c>
      <c r="N848" s="5" t="s">
        <v>53</v>
      </c>
      <c r="O848" s="5">
        <v>128</v>
      </c>
      <c r="P848" s="5"/>
      <c r="Q848" s="5"/>
      <c r="R848" s="8">
        <v>8.1018518518518516E-5</v>
      </c>
      <c r="S848" s="5" t="s">
        <v>37</v>
      </c>
      <c r="T848" t="str">
        <f>IF(Tabela1[[#This Row],[STATUS_NEGOCIO]]="Enviar E-mail",1,"")</f>
        <v/>
      </c>
      <c r="U848" t="str">
        <f>TEXT(Tabela1[[#This Row],[DATA]],"dd/mm/aaaa")</f>
        <v>22/04/2026</v>
      </c>
    </row>
    <row r="849" spans="1:21" x14ac:dyDescent="0.25">
      <c r="A849" s="4">
        <v>46134.615601851852</v>
      </c>
      <c r="B849" s="5" t="s">
        <v>19</v>
      </c>
      <c r="C849" s="5" t="s">
        <v>37</v>
      </c>
      <c r="D849" s="5">
        <v>184</v>
      </c>
      <c r="E849" s="6">
        <v>13410313000160</v>
      </c>
      <c r="F849" s="5">
        <v>184</v>
      </c>
      <c r="G849" s="7">
        <v>177687998853281</v>
      </c>
      <c r="H849" s="5" t="s">
        <v>397</v>
      </c>
      <c r="I849" s="5" t="s">
        <v>52</v>
      </c>
      <c r="J849" s="5" t="s">
        <v>22</v>
      </c>
      <c r="K849" s="5" t="s">
        <v>36</v>
      </c>
      <c r="L849" s="5" t="s">
        <v>36</v>
      </c>
      <c r="M849" s="5" t="s">
        <v>284</v>
      </c>
      <c r="N849" s="5" t="s">
        <v>53</v>
      </c>
      <c r="O849" s="5">
        <v>34</v>
      </c>
      <c r="P849" s="5"/>
      <c r="Q849" s="5"/>
      <c r="R849" s="8">
        <v>0</v>
      </c>
      <c r="S849" s="5" t="s">
        <v>37</v>
      </c>
      <c r="T849" t="str">
        <f>IF(Tabela1[[#This Row],[STATUS_NEGOCIO]]="Enviar E-mail",1,"")</f>
        <v/>
      </c>
      <c r="U849" t="str">
        <f>TEXT(Tabela1[[#This Row],[DATA]],"dd/mm/aaaa")</f>
        <v>22/04/2026</v>
      </c>
    </row>
    <row r="850" spans="1:21" x14ac:dyDescent="0.25">
      <c r="A850" s="4">
        <v>46134.615601851852</v>
      </c>
      <c r="B850" s="5" t="s">
        <v>19</v>
      </c>
      <c r="C850" s="5" t="s">
        <v>37</v>
      </c>
      <c r="D850" s="5">
        <v>187</v>
      </c>
      <c r="E850" s="6">
        <v>13464960000154</v>
      </c>
      <c r="F850" s="5">
        <v>187</v>
      </c>
      <c r="G850" s="7">
        <v>177687998853291</v>
      </c>
      <c r="H850" s="5" t="s">
        <v>399</v>
      </c>
      <c r="I850" s="5">
        <v>3003</v>
      </c>
      <c r="J850" s="5" t="s">
        <v>22</v>
      </c>
      <c r="K850" s="5" t="s">
        <v>23</v>
      </c>
      <c r="L850" s="5" t="s">
        <v>31</v>
      </c>
      <c r="M850" s="5" t="s">
        <v>284</v>
      </c>
      <c r="N850" s="5" t="s">
        <v>53</v>
      </c>
      <c r="O850" s="5">
        <v>128</v>
      </c>
      <c r="P850" s="5"/>
      <c r="Q850" s="5"/>
      <c r="R850" s="8">
        <v>8.1018518518518516E-5</v>
      </c>
      <c r="S850" s="5" t="s">
        <v>37</v>
      </c>
      <c r="T850" t="str">
        <f>IF(Tabela1[[#This Row],[STATUS_NEGOCIO]]="Enviar E-mail",1,"")</f>
        <v/>
      </c>
      <c r="U850" t="str">
        <f>TEXT(Tabela1[[#This Row],[DATA]],"dd/mm/aaaa")</f>
        <v>22/04/2026</v>
      </c>
    </row>
    <row r="851" spans="1:21" x14ac:dyDescent="0.25">
      <c r="A851" s="4">
        <v>46134.615601851852</v>
      </c>
      <c r="B851" s="5" t="s">
        <v>19</v>
      </c>
      <c r="C851" s="5" t="s">
        <v>27</v>
      </c>
      <c r="D851" s="5">
        <v>188</v>
      </c>
      <c r="E851" s="6">
        <v>13495794000153</v>
      </c>
      <c r="F851" s="5">
        <v>188</v>
      </c>
      <c r="G851" s="7">
        <v>177687998853301</v>
      </c>
      <c r="H851" s="5" t="s">
        <v>154</v>
      </c>
      <c r="I851" s="5">
        <v>3003</v>
      </c>
      <c r="J851" s="5" t="s">
        <v>22</v>
      </c>
      <c r="K851" s="5" t="s">
        <v>23</v>
      </c>
      <c r="L851" s="5" t="s">
        <v>40</v>
      </c>
      <c r="M851" s="5" t="s">
        <v>284</v>
      </c>
      <c r="N851" s="5" t="s">
        <v>26</v>
      </c>
      <c r="O851" s="5">
        <v>16</v>
      </c>
      <c r="P851" s="5"/>
      <c r="Q851" s="5"/>
      <c r="R851" s="8">
        <v>2.1412037037037038E-3</v>
      </c>
      <c r="S851" s="8">
        <v>2.0833333333333333E-3</v>
      </c>
      <c r="T851">
        <f>IF(Tabela1[[#This Row],[STATUS_NEGOCIO]]="Enviar E-mail",1,"")</f>
        <v>1</v>
      </c>
      <c r="U851" t="str">
        <f>TEXT(Tabela1[[#This Row],[DATA]],"dd/mm/aaaa")</f>
        <v>22/04/2026</v>
      </c>
    </row>
    <row r="852" spans="1:21" x14ac:dyDescent="0.25">
      <c r="A852" s="4">
        <v>46134.615601851852</v>
      </c>
      <c r="B852" s="5" t="s">
        <v>19</v>
      </c>
      <c r="C852" s="5" t="s">
        <v>37</v>
      </c>
      <c r="D852" s="5">
        <v>190</v>
      </c>
      <c r="E852" s="6">
        <v>13744177000144</v>
      </c>
      <c r="F852" s="5">
        <v>190</v>
      </c>
      <c r="G852" s="7">
        <v>177687998853311</v>
      </c>
      <c r="H852" s="5" t="s">
        <v>401</v>
      </c>
      <c r="I852" s="5" t="s">
        <v>52</v>
      </c>
      <c r="J852" s="5" t="s">
        <v>22</v>
      </c>
      <c r="K852" s="5" t="s">
        <v>36</v>
      </c>
      <c r="L852" s="5" t="s">
        <v>36</v>
      </c>
      <c r="M852" s="5" t="s">
        <v>284</v>
      </c>
      <c r="N852" s="5" t="s">
        <v>53</v>
      </c>
      <c r="O852" s="5">
        <v>34</v>
      </c>
      <c r="P852" s="5"/>
      <c r="Q852" s="5"/>
      <c r="R852" s="8">
        <v>0</v>
      </c>
      <c r="S852" s="5" t="s">
        <v>37</v>
      </c>
      <c r="T852" t="str">
        <f>IF(Tabela1[[#This Row],[STATUS_NEGOCIO]]="Enviar E-mail",1,"")</f>
        <v/>
      </c>
      <c r="U852" t="str">
        <f>TEXT(Tabela1[[#This Row],[DATA]],"dd/mm/aaaa")</f>
        <v>22/04/2026</v>
      </c>
    </row>
    <row r="853" spans="1:21" x14ac:dyDescent="0.25">
      <c r="A853" s="4">
        <v>46134.615601851852</v>
      </c>
      <c r="B853" s="5" t="s">
        <v>19</v>
      </c>
      <c r="C853" s="5" t="s">
        <v>37</v>
      </c>
      <c r="D853" s="5">
        <v>192</v>
      </c>
      <c r="E853" s="6">
        <v>14059527000104</v>
      </c>
      <c r="F853" s="5">
        <v>192</v>
      </c>
      <c r="G853" s="7">
        <v>177687998853321</v>
      </c>
      <c r="H853" s="5" t="s">
        <v>402</v>
      </c>
      <c r="I853" s="5" t="s">
        <v>52</v>
      </c>
      <c r="J853" s="5" t="s">
        <v>22</v>
      </c>
      <c r="K853" s="5" t="s">
        <v>36</v>
      </c>
      <c r="L853" s="5" t="s">
        <v>36</v>
      </c>
      <c r="M853" s="5" t="s">
        <v>284</v>
      </c>
      <c r="N853" s="5" t="s">
        <v>53</v>
      </c>
      <c r="O853" s="5">
        <v>34</v>
      </c>
      <c r="P853" s="5"/>
      <c r="Q853" s="5"/>
      <c r="R853" s="8">
        <v>0</v>
      </c>
      <c r="S853" s="5" t="s">
        <v>37</v>
      </c>
      <c r="T853" t="str">
        <f>IF(Tabela1[[#This Row],[STATUS_NEGOCIO]]="Enviar E-mail",1,"")</f>
        <v/>
      </c>
      <c r="U853" t="str">
        <f>TEXT(Tabela1[[#This Row],[DATA]],"dd/mm/aaaa")</f>
        <v>22/04/2026</v>
      </c>
    </row>
    <row r="854" spans="1:21" x14ac:dyDescent="0.25">
      <c r="A854" s="4">
        <v>46134.615601851852</v>
      </c>
      <c r="B854" s="5" t="s">
        <v>19</v>
      </c>
      <c r="C854" s="5" t="s">
        <v>37</v>
      </c>
      <c r="D854" s="5">
        <v>193</v>
      </c>
      <c r="E854" s="6">
        <v>14370573000111</v>
      </c>
      <c r="F854" s="5">
        <v>193</v>
      </c>
      <c r="G854" s="7">
        <v>177687998853331</v>
      </c>
      <c r="H854" s="5" t="s">
        <v>86</v>
      </c>
      <c r="I854" s="5" t="s">
        <v>52</v>
      </c>
      <c r="J854" s="5" t="s">
        <v>22</v>
      </c>
      <c r="K854" s="5" t="s">
        <v>36</v>
      </c>
      <c r="L854" s="5" t="s">
        <v>36</v>
      </c>
      <c r="M854" s="5" t="s">
        <v>284</v>
      </c>
      <c r="N854" s="5" t="s">
        <v>53</v>
      </c>
      <c r="O854" s="5">
        <v>34</v>
      </c>
      <c r="P854" s="5"/>
      <c r="Q854" s="5"/>
      <c r="R854" s="8">
        <v>0</v>
      </c>
      <c r="S854" s="5" t="s">
        <v>37</v>
      </c>
      <c r="T854" t="str">
        <f>IF(Tabela1[[#This Row],[STATUS_NEGOCIO]]="Enviar E-mail",1,"")</f>
        <v/>
      </c>
      <c r="U854" t="str">
        <f>TEXT(Tabela1[[#This Row],[DATA]],"dd/mm/aaaa")</f>
        <v>22/04/2026</v>
      </c>
    </row>
    <row r="855" spans="1:21" x14ac:dyDescent="0.25">
      <c r="A855" s="4">
        <v>46134.615601851852</v>
      </c>
      <c r="B855" s="5" t="s">
        <v>19</v>
      </c>
      <c r="C855" s="5" t="s">
        <v>37</v>
      </c>
      <c r="D855" s="5">
        <v>194</v>
      </c>
      <c r="E855" s="6">
        <v>14440968000143</v>
      </c>
      <c r="F855" s="5">
        <v>194</v>
      </c>
      <c r="G855" s="7">
        <v>177687998853341</v>
      </c>
      <c r="H855" s="5" t="s">
        <v>403</v>
      </c>
      <c r="I855" s="5" t="s">
        <v>52</v>
      </c>
      <c r="J855" s="5" t="s">
        <v>22</v>
      </c>
      <c r="K855" s="5" t="s">
        <v>36</v>
      </c>
      <c r="L855" s="5" t="s">
        <v>36</v>
      </c>
      <c r="M855" s="5" t="s">
        <v>284</v>
      </c>
      <c r="N855" s="5" t="s">
        <v>53</v>
      </c>
      <c r="O855" s="5">
        <v>34</v>
      </c>
      <c r="P855" s="5"/>
      <c r="Q855" s="5"/>
      <c r="R855" s="8">
        <v>0</v>
      </c>
      <c r="S855" s="5" t="s">
        <v>37</v>
      </c>
      <c r="T855" t="str">
        <f>IF(Tabela1[[#This Row],[STATUS_NEGOCIO]]="Enviar E-mail",1,"")</f>
        <v/>
      </c>
      <c r="U855" t="str">
        <f>TEXT(Tabela1[[#This Row],[DATA]],"dd/mm/aaaa")</f>
        <v>22/04/2026</v>
      </c>
    </row>
    <row r="856" spans="1:21" x14ac:dyDescent="0.25">
      <c r="A856" s="4">
        <v>46134.615601851852</v>
      </c>
      <c r="B856" s="5" t="s">
        <v>19</v>
      </c>
      <c r="C856" s="5" t="s">
        <v>37</v>
      </c>
      <c r="D856" s="5">
        <v>195</v>
      </c>
      <c r="E856" s="6">
        <v>14450781000120</v>
      </c>
      <c r="F856" s="5">
        <v>195</v>
      </c>
      <c r="G856" s="7">
        <v>177687998853361</v>
      </c>
      <c r="H856" s="5" t="s">
        <v>145</v>
      </c>
      <c r="I856" s="5" t="s">
        <v>52</v>
      </c>
      <c r="J856" s="5" t="s">
        <v>22</v>
      </c>
      <c r="K856" s="5" t="s">
        <v>36</v>
      </c>
      <c r="L856" s="5" t="s">
        <v>36</v>
      </c>
      <c r="M856" s="5" t="s">
        <v>284</v>
      </c>
      <c r="N856" s="5" t="s">
        <v>53</v>
      </c>
      <c r="O856" s="5">
        <v>34</v>
      </c>
      <c r="P856" s="5"/>
      <c r="Q856" s="5"/>
      <c r="R856" s="8">
        <v>0</v>
      </c>
      <c r="S856" s="5" t="s">
        <v>37</v>
      </c>
      <c r="T856" t="str">
        <f>IF(Tabela1[[#This Row],[STATUS_NEGOCIO]]="Enviar E-mail",1,"")</f>
        <v/>
      </c>
      <c r="U856" t="str">
        <f>TEXT(Tabela1[[#This Row],[DATA]],"dd/mm/aaaa")</f>
        <v>22/04/2026</v>
      </c>
    </row>
    <row r="857" spans="1:21" x14ac:dyDescent="0.25">
      <c r="A857" s="4">
        <v>46134.615601851852</v>
      </c>
      <c r="B857" s="5" t="s">
        <v>19</v>
      </c>
      <c r="C857" s="5" t="s">
        <v>37</v>
      </c>
      <c r="D857" s="5">
        <v>196</v>
      </c>
      <c r="E857" s="6">
        <v>14565807000186</v>
      </c>
      <c r="F857" s="5">
        <v>196</v>
      </c>
      <c r="G857" s="7">
        <v>177687998853371</v>
      </c>
      <c r="H857" s="5" t="s">
        <v>226</v>
      </c>
      <c r="I857" s="5" t="s">
        <v>52</v>
      </c>
      <c r="J857" s="5" t="s">
        <v>22</v>
      </c>
      <c r="K857" s="5" t="s">
        <v>36</v>
      </c>
      <c r="L857" s="5" t="s">
        <v>36</v>
      </c>
      <c r="M857" s="5" t="s">
        <v>284</v>
      </c>
      <c r="N857" s="5" t="s">
        <v>53</v>
      </c>
      <c r="O857" s="5">
        <v>34</v>
      </c>
      <c r="P857" s="5"/>
      <c r="Q857" s="5"/>
      <c r="R857" s="8">
        <v>0</v>
      </c>
      <c r="S857" s="5" t="s">
        <v>37</v>
      </c>
      <c r="T857" t="str">
        <f>IF(Tabela1[[#This Row],[STATUS_NEGOCIO]]="Enviar E-mail",1,"")</f>
        <v/>
      </c>
      <c r="U857" t="str">
        <f>TEXT(Tabela1[[#This Row],[DATA]],"dd/mm/aaaa")</f>
        <v>22/04/2026</v>
      </c>
    </row>
    <row r="858" spans="1:21" x14ac:dyDescent="0.25">
      <c r="A858" s="4">
        <v>46134.615601851852</v>
      </c>
      <c r="B858" s="5" t="s">
        <v>19</v>
      </c>
      <c r="C858" s="5" t="s">
        <v>37</v>
      </c>
      <c r="D858" s="5">
        <v>197</v>
      </c>
      <c r="E858" s="6">
        <v>14766966000149</v>
      </c>
      <c r="F858" s="5">
        <v>197</v>
      </c>
      <c r="G858" s="7">
        <v>177687998853381</v>
      </c>
      <c r="H858" s="5" t="s">
        <v>142</v>
      </c>
      <c r="I858" s="5" t="s">
        <v>52</v>
      </c>
      <c r="J858" s="5" t="s">
        <v>22</v>
      </c>
      <c r="K858" s="5" t="s">
        <v>36</v>
      </c>
      <c r="L858" s="5" t="s">
        <v>36</v>
      </c>
      <c r="M858" s="5" t="s">
        <v>284</v>
      </c>
      <c r="N858" s="5" t="s">
        <v>53</v>
      </c>
      <c r="O858" s="5">
        <v>34</v>
      </c>
      <c r="P858" s="5"/>
      <c r="Q858" s="5"/>
      <c r="R858" s="8">
        <v>0</v>
      </c>
      <c r="S858" s="5" t="s">
        <v>37</v>
      </c>
      <c r="T858" t="str">
        <f>IF(Tabela1[[#This Row],[STATUS_NEGOCIO]]="Enviar E-mail",1,"")</f>
        <v/>
      </c>
      <c r="U858" t="str">
        <f>TEXT(Tabela1[[#This Row],[DATA]],"dd/mm/aaaa")</f>
        <v>22/04/2026</v>
      </c>
    </row>
    <row r="859" spans="1:21" x14ac:dyDescent="0.25">
      <c r="A859" s="4">
        <v>46134.615601851852</v>
      </c>
      <c r="B859" s="5" t="s">
        <v>19</v>
      </c>
      <c r="C859" s="5" t="s">
        <v>37</v>
      </c>
      <c r="D859" s="5">
        <v>198</v>
      </c>
      <c r="E859" s="6">
        <v>14811950000100</v>
      </c>
      <c r="F859" s="5">
        <v>198</v>
      </c>
      <c r="G859" s="7">
        <v>177687998853391</v>
      </c>
      <c r="H859" s="5" t="s">
        <v>404</v>
      </c>
      <c r="I859" s="5" t="s">
        <v>52</v>
      </c>
      <c r="J859" s="5" t="s">
        <v>22</v>
      </c>
      <c r="K859" s="5" t="s">
        <v>36</v>
      </c>
      <c r="L859" s="5" t="s">
        <v>36</v>
      </c>
      <c r="M859" s="5" t="s">
        <v>284</v>
      </c>
      <c r="N859" s="5" t="s">
        <v>53</v>
      </c>
      <c r="O859" s="5">
        <v>34</v>
      </c>
      <c r="P859" s="5"/>
      <c r="Q859" s="5"/>
      <c r="R859" s="8">
        <v>0</v>
      </c>
      <c r="S859" s="5" t="s">
        <v>37</v>
      </c>
      <c r="T859" t="str">
        <f>IF(Tabela1[[#This Row],[STATUS_NEGOCIO]]="Enviar E-mail",1,"")</f>
        <v/>
      </c>
      <c r="U859" t="str">
        <f>TEXT(Tabela1[[#This Row],[DATA]],"dd/mm/aaaa")</f>
        <v>22/04/2026</v>
      </c>
    </row>
    <row r="860" spans="1:21" x14ac:dyDescent="0.25">
      <c r="A860" s="4">
        <v>46134.615601851852</v>
      </c>
      <c r="B860" s="5" t="s">
        <v>19</v>
      </c>
      <c r="C860" s="5" t="s">
        <v>37</v>
      </c>
      <c r="D860" s="5">
        <v>199</v>
      </c>
      <c r="E860" s="6">
        <v>14965593000135</v>
      </c>
      <c r="F860" s="5">
        <v>199</v>
      </c>
      <c r="G860" s="7">
        <v>177687998853401</v>
      </c>
      <c r="H860" s="5" t="s">
        <v>405</v>
      </c>
      <c r="I860" s="5" t="s">
        <v>52</v>
      </c>
      <c r="J860" s="5" t="s">
        <v>22</v>
      </c>
      <c r="K860" s="5" t="s">
        <v>36</v>
      </c>
      <c r="L860" s="5" t="s">
        <v>36</v>
      </c>
      <c r="M860" s="5" t="s">
        <v>284</v>
      </c>
      <c r="N860" s="5" t="s">
        <v>53</v>
      </c>
      <c r="O860" s="5">
        <v>34</v>
      </c>
      <c r="P860" s="5"/>
      <c r="Q860" s="5"/>
      <c r="R860" s="8">
        <v>0</v>
      </c>
      <c r="S860" s="5" t="s">
        <v>37</v>
      </c>
      <c r="T860" t="str">
        <f>IF(Tabela1[[#This Row],[STATUS_NEGOCIO]]="Enviar E-mail",1,"")</f>
        <v/>
      </c>
      <c r="U860" t="str">
        <f>TEXT(Tabela1[[#This Row],[DATA]],"dd/mm/aaaa")</f>
        <v>22/04/2026</v>
      </c>
    </row>
    <row r="861" spans="1:21" x14ac:dyDescent="0.25">
      <c r="A861" s="4">
        <v>46134.615613425929</v>
      </c>
      <c r="B861" s="5" t="s">
        <v>19</v>
      </c>
      <c r="C861" s="5" t="s">
        <v>37</v>
      </c>
      <c r="D861" s="5">
        <v>200</v>
      </c>
      <c r="E861" s="6">
        <v>15255973000149</v>
      </c>
      <c r="F861" s="5">
        <v>200</v>
      </c>
      <c r="G861" s="7">
        <v>177687998953411</v>
      </c>
      <c r="H861" s="5" t="s">
        <v>406</v>
      </c>
      <c r="I861" s="5" t="s">
        <v>52</v>
      </c>
      <c r="J861" s="5" t="s">
        <v>22</v>
      </c>
      <c r="K861" s="5" t="s">
        <v>36</v>
      </c>
      <c r="L861" s="5" t="s">
        <v>36</v>
      </c>
      <c r="M861" s="5" t="s">
        <v>284</v>
      </c>
      <c r="N861" s="5" t="s">
        <v>53</v>
      </c>
      <c r="O861" s="5">
        <v>34</v>
      </c>
      <c r="P861" s="5"/>
      <c r="Q861" s="5"/>
      <c r="R861" s="8">
        <v>0</v>
      </c>
      <c r="S861" s="5" t="s">
        <v>37</v>
      </c>
      <c r="T861" t="str">
        <f>IF(Tabela1[[#This Row],[STATUS_NEGOCIO]]="Enviar E-mail",1,"")</f>
        <v/>
      </c>
      <c r="U861" t="str">
        <f>TEXT(Tabela1[[#This Row],[DATA]],"dd/mm/aaaa")</f>
        <v>22/04/2026</v>
      </c>
    </row>
    <row r="862" spans="1:21" x14ac:dyDescent="0.25">
      <c r="A862" s="4">
        <v>46134.615613425929</v>
      </c>
      <c r="B862" s="5" t="s">
        <v>19</v>
      </c>
      <c r="C862" s="5" t="s">
        <v>37</v>
      </c>
      <c r="D862" s="5">
        <v>202</v>
      </c>
      <c r="E862" s="6">
        <v>16385008000153</v>
      </c>
      <c r="F862" s="5">
        <v>202</v>
      </c>
      <c r="G862" s="7">
        <v>177687998953421</v>
      </c>
      <c r="H862" s="5" t="s">
        <v>408</v>
      </c>
      <c r="I862" s="5">
        <v>3003</v>
      </c>
      <c r="J862" s="5" t="s">
        <v>22</v>
      </c>
      <c r="K862" s="5" t="s">
        <v>23</v>
      </c>
      <c r="L862" s="5" t="s">
        <v>31</v>
      </c>
      <c r="M862" s="5" t="s">
        <v>284</v>
      </c>
      <c r="N862" s="5" t="s">
        <v>53</v>
      </c>
      <c r="O862" s="5">
        <v>147</v>
      </c>
      <c r="P862" s="5"/>
      <c r="Q862" s="5"/>
      <c r="R862" s="8">
        <v>8.1018518518518516E-5</v>
      </c>
      <c r="S862" s="5" t="s">
        <v>37</v>
      </c>
      <c r="T862" t="str">
        <f>IF(Tabela1[[#This Row],[STATUS_NEGOCIO]]="Enviar E-mail",1,"")</f>
        <v/>
      </c>
      <c r="U862" t="str">
        <f>TEXT(Tabela1[[#This Row],[DATA]],"dd/mm/aaaa")</f>
        <v>22/04/2026</v>
      </c>
    </row>
    <row r="863" spans="1:21" x14ac:dyDescent="0.25">
      <c r="A863" s="4">
        <v>46134.615613425929</v>
      </c>
      <c r="B863" s="5" t="s">
        <v>19</v>
      </c>
      <c r="C863" s="5" t="s">
        <v>37</v>
      </c>
      <c r="D863" s="5">
        <v>203</v>
      </c>
      <c r="E863" s="6">
        <v>16720728000128</v>
      </c>
      <c r="F863" s="5">
        <v>203</v>
      </c>
      <c r="G863" s="7">
        <v>177687998953431</v>
      </c>
      <c r="H863" s="5" t="s">
        <v>409</v>
      </c>
      <c r="I863" s="5">
        <v>3003</v>
      </c>
      <c r="J863" s="5" t="s">
        <v>22</v>
      </c>
      <c r="K863" s="5" t="s">
        <v>23</v>
      </c>
      <c r="L863" s="5" t="s">
        <v>31</v>
      </c>
      <c r="M863" s="5" t="s">
        <v>284</v>
      </c>
      <c r="N863" s="5" t="s">
        <v>53</v>
      </c>
      <c r="O863" s="5">
        <v>128</v>
      </c>
      <c r="P863" s="5"/>
      <c r="Q863" s="5"/>
      <c r="R863" s="8">
        <v>8.1018518518518516E-5</v>
      </c>
      <c r="S863" s="5" t="s">
        <v>37</v>
      </c>
      <c r="T863" t="str">
        <f>IF(Tabela1[[#This Row],[STATUS_NEGOCIO]]="Enviar E-mail",1,"")</f>
        <v/>
      </c>
      <c r="U863" t="str">
        <f>TEXT(Tabela1[[#This Row],[DATA]],"dd/mm/aaaa")</f>
        <v>22/04/2026</v>
      </c>
    </row>
    <row r="864" spans="1:21" x14ac:dyDescent="0.25">
      <c r="A864" s="4">
        <v>46134.615613425929</v>
      </c>
      <c r="B864" s="5" t="s">
        <v>19</v>
      </c>
      <c r="C864" s="5" t="s">
        <v>37</v>
      </c>
      <c r="D864" s="5">
        <v>204</v>
      </c>
      <c r="E864" s="6">
        <v>16918406000198</v>
      </c>
      <c r="F864" s="5">
        <v>204</v>
      </c>
      <c r="G864" s="7">
        <v>177687998953441</v>
      </c>
      <c r="H864" s="5" t="s">
        <v>410</v>
      </c>
      <c r="I864" s="5">
        <v>3003</v>
      </c>
      <c r="J864" s="5" t="s">
        <v>22</v>
      </c>
      <c r="K864" s="5" t="s">
        <v>23</v>
      </c>
      <c r="L864" s="5" t="s">
        <v>31</v>
      </c>
      <c r="M864" s="5" t="s">
        <v>284</v>
      </c>
      <c r="N864" s="5" t="s">
        <v>53</v>
      </c>
      <c r="O864" s="5">
        <v>128</v>
      </c>
      <c r="P864" s="5"/>
      <c r="Q864" s="5"/>
      <c r="R864" s="8">
        <v>8.1018518518518516E-5</v>
      </c>
      <c r="S864" s="5" t="s">
        <v>37</v>
      </c>
      <c r="T864" t="str">
        <f>IF(Tabela1[[#This Row],[STATUS_NEGOCIO]]="Enviar E-mail",1,"")</f>
        <v/>
      </c>
      <c r="U864" t="str">
        <f>TEXT(Tabela1[[#This Row],[DATA]],"dd/mm/aaaa")</f>
        <v>22/04/2026</v>
      </c>
    </row>
    <row r="865" spans="1:21" x14ac:dyDescent="0.25">
      <c r="A865" s="4">
        <v>46134.615648148145</v>
      </c>
      <c r="B865" s="5" t="s">
        <v>19</v>
      </c>
      <c r="C865" s="5" t="s">
        <v>37</v>
      </c>
      <c r="D865" s="5">
        <v>205</v>
      </c>
      <c r="E865" s="6">
        <v>16918406000198</v>
      </c>
      <c r="F865" s="5">
        <v>205</v>
      </c>
      <c r="G865" s="7">
        <v>177687999253461</v>
      </c>
      <c r="H865" s="5" t="s">
        <v>410</v>
      </c>
      <c r="I865" s="5">
        <v>3003</v>
      </c>
      <c r="J865" s="5" t="s">
        <v>22</v>
      </c>
      <c r="K865" s="5" t="s">
        <v>23</v>
      </c>
      <c r="L865" s="5" t="s">
        <v>31</v>
      </c>
      <c r="M865" s="5" t="s">
        <v>284</v>
      </c>
      <c r="N865" s="5" t="s">
        <v>53</v>
      </c>
      <c r="O865" s="5">
        <v>128</v>
      </c>
      <c r="P865" s="5"/>
      <c r="Q865" s="5"/>
      <c r="R865" s="8">
        <v>8.1018518518518516E-5</v>
      </c>
      <c r="S865" s="5" t="s">
        <v>37</v>
      </c>
      <c r="T865" t="str">
        <f>IF(Tabela1[[#This Row],[STATUS_NEGOCIO]]="Enviar E-mail",1,"")</f>
        <v/>
      </c>
      <c r="U865" t="str">
        <f>TEXT(Tabela1[[#This Row],[DATA]],"dd/mm/aaaa")</f>
        <v>22/04/2026</v>
      </c>
    </row>
    <row r="866" spans="1:21" x14ac:dyDescent="0.25">
      <c r="A866" s="4">
        <v>46134.615752314814</v>
      </c>
      <c r="B866" s="5" t="s">
        <v>19</v>
      </c>
      <c r="C866" s="5" t="s">
        <v>37</v>
      </c>
      <c r="D866" s="5">
        <v>206</v>
      </c>
      <c r="E866" s="6">
        <v>16927109000109</v>
      </c>
      <c r="F866" s="5">
        <v>206</v>
      </c>
      <c r="G866" s="7">
        <v>177688000153531</v>
      </c>
      <c r="H866" s="5" t="s">
        <v>411</v>
      </c>
      <c r="I866" s="5">
        <v>3003</v>
      </c>
      <c r="J866" s="5" t="s">
        <v>22</v>
      </c>
      <c r="K866" s="5" t="s">
        <v>23</v>
      </c>
      <c r="L866" s="5" t="s">
        <v>31</v>
      </c>
      <c r="M866" s="5" t="s">
        <v>284</v>
      </c>
      <c r="N866" s="5" t="s">
        <v>53</v>
      </c>
      <c r="O866" s="5">
        <v>128</v>
      </c>
      <c r="P866" s="5"/>
      <c r="Q866" s="5"/>
      <c r="R866" s="8">
        <v>8.1018518518518516E-5</v>
      </c>
      <c r="S866" s="5" t="s">
        <v>37</v>
      </c>
      <c r="T866" t="str">
        <f>IF(Tabela1[[#This Row],[STATUS_NEGOCIO]]="Enviar E-mail",1,"")</f>
        <v/>
      </c>
      <c r="U866" t="str">
        <f>TEXT(Tabela1[[#This Row],[DATA]],"dd/mm/aaaa")</f>
        <v>22/04/2026</v>
      </c>
    </row>
    <row r="867" spans="1:21" x14ac:dyDescent="0.25">
      <c r="A867" s="4">
        <v>46134.615752314814</v>
      </c>
      <c r="B867" s="5" t="s">
        <v>19</v>
      </c>
      <c r="C867" s="5" t="s">
        <v>37</v>
      </c>
      <c r="D867" s="5">
        <v>207</v>
      </c>
      <c r="E867" s="6">
        <v>16959774000184</v>
      </c>
      <c r="F867" s="5">
        <v>207</v>
      </c>
      <c r="G867" s="7">
        <v>177688000153541</v>
      </c>
      <c r="H867" s="5" t="s">
        <v>412</v>
      </c>
      <c r="I867" s="5">
        <v>3003</v>
      </c>
      <c r="J867" s="5" t="s">
        <v>22</v>
      </c>
      <c r="K867" s="5" t="s">
        <v>23</v>
      </c>
      <c r="L867" s="5" t="s">
        <v>31</v>
      </c>
      <c r="M867" s="5" t="s">
        <v>284</v>
      </c>
      <c r="N867" s="5" t="s">
        <v>53</v>
      </c>
      <c r="O867" s="5">
        <v>128</v>
      </c>
      <c r="P867" s="5"/>
      <c r="Q867" s="5"/>
      <c r="R867" s="8">
        <v>8.1018518518518516E-5</v>
      </c>
      <c r="S867" s="5" t="s">
        <v>37</v>
      </c>
      <c r="T867" t="str">
        <f>IF(Tabela1[[#This Row],[STATUS_NEGOCIO]]="Enviar E-mail",1,"")</f>
        <v/>
      </c>
      <c r="U867" t="str">
        <f>TEXT(Tabela1[[#This Row],[DATA]],"dd/mm/aaaa")</f>
        <v>22/04/2026</v>
      </c>
    </row>
    <row r="868" spans="1:21" x14ac:dyDescent="0.25">
      <c r="A868" s="4">
        <v>46134.615763888891</v>
      </c>
      <c r="B868" s="5" t="s">
        <v>19</v>
      </c>
      <c r="C868" s="5" t="s">
        <v>37</v>
      </c>
      <c r="D868" s="5">
        <v>208</v>
      </c>
      <c r="E868" s="6">
        <v>17043182000180</v>
      </c>
      <c r="F868" s="5">
        <v>208</v>
      </c>
      <c r="G868" s="7">
        <v>177688000253571</v>
      </c>
      <c r="H868" s="5" t="s">
        <v>235</v>
      </c>
      <c r="I868" s="5">
        <v>3003</v>
      </c>
      <c r="J868" s="5" t="s">
        <v>22</v>
      </c>
      <c r="K868" s="5" t="s">
        <v>23</v>
      </c>
      <c r="L868" s="5" t="s">
        <v>31</v>
      </c>
      <c r="M868" s="5" t="s">
        <v>284</v>
      </c>
      <c r="N868" s="5" t="s">
        <v>53</v>
      </c>
      <c r="O868" s="5">
        <v>128</v>
      </c>
      <c r="P868" s="5"/>
      <c r="Q868" s="5"/>
      <c r="R868" s="8">
        <v>8.1018518518518516E-5</v>
      </c>
      <c r="S868" s="5" t="s">
        <v>37</v>
      </c>
      <c r="T868" t="str">
        <f>IF(Tabela1[[#This Row],[STATUS_NEGOCIO]]="Enviar E-mail",1,"")</f>
        <v/>
      </c>
      <c r="U868" t="str">
        <f>TEXT(Tabela1[[#This Row],[DATA]],"dd/mm/aaaa")</f>
        <v>22/04/2026</v>
      </c>
    </row>
    <row r="869" spans="1:21" x14ac:dyDescent="0.25">
      <c r="A869" s="4">
        <v>46134.615763888891</v>
      </c>
      <c r="B869" s="5" t="s">
        <v>19</v>
      </c>
      <c r="C869" s="5" t="s">
        <v>37</v>
      </c>
      <c r="D869" s="5">
        <v>209</v>
      </c>
      <c r="E869" s="6">
        <v>17230906000103</v>
      </c>
      <c r="F869" s="5">
        <v>209</v>
      </c>
      <c r="G869" s="7">
        <v>177688000253581</v>
      </c>
      <c r="H869" s="5" t="s">
        <v>246</v>
      </c>
      <c r="I869" s="5">
        <v>3003</v>
      </c>
      <c r="J869" s="5" t="s">
        <v>22</v>
      </c>
      <c r="K869" s="5" t="s">
        <v>23</v>
      </c>
      <c r="L869" s="5" t="s">
        <v>31</v>
      </c>
      <c r="M869" s="5" t="s">
        <v>284</v>
      </c>
      <c r="N869" s="5" t="s">
        <v>53</v>
      </c>
      <c r="O869" s="5">
        <v>128</v>
      </c>
      <c r="P869" s="5"/>
      <c r="Q869" s="5"/>
      <c r="R869" s="8">
        <v>8.1018518518518516E-5</v>
      </c>
      <c r="S869" s="5" t="s">
        <v>37</v>
      </c>
      <c r="T869" t="str">
        <f>IF(Tabela1[[#This Row],[STATUS_NEGOCIO]]="Enviar E-mail",1,"")</f>
        <v/>
      </c>
      <c r="U869" t="str">
        <f>TEXT(Tabela1[[#This Row],[DATA]],"dd/mm/aaaa")</f>
        <v>22/04/2026</v>
      </c>
    </row>
    <row r="870" spans="1:21" x14ac:dyDescent="0.25">
      <c r="A870" s="4">
        <v>46134.615798611114</v>
      </c>
      <c r="B870" s="5" t="s">
        <v>19</v>
      </c>
      <c r="C870" s="5" t="s">
        <v>37</v>
      </c>
      <c r="D870" s="5">
        <v>210</v>
      </c>
      <c r="E870" s="6">
        <v>17232038000192</v>
      </c>
      <c r="F870" s="5">
        <v>210</v>
      </c>
      <c r="G870" s="7">
        <v>177688000553601</v>
      </c>
      <c r="H870" s="5" t="s">
        <v>413</v>
      </c>
      <c r="I870" s="5">
        <v>3003</v>
      </c>
      <c r="J870" s="5" t="s">
        <v>22</v>
      </c>
      <c r="K870" s="5" t="s">
        <v>23</v>
      </c>
      <c r="L870" s="5" t="s">
        <v>31</v>
      </c>
      <c r="M870" s="5" t="s">
        <v>284</v>
      </c>
      <c r="N870" s="5" t="s">
        <v>53</v>
      </c>
      <c r="O870" s="5">
        <v>128</v>
      </c>
      <c r="P870" s="5"/>
      <c r="Q870" s="5"/>
      <c r="R870" s="8">
        <v>8.1018518518518516E-5</v>
      </c>
      <c r="S870" s="5" t="s">
        <v>37</v>
      </c>
      <c r="T870" t="str">
        <f>IF(Tabela1[[#This Row],[STATUS_NEGOCIO]]="Enviar E-mail",1,"")</f>
        <v/>
      </c>
      <c r="U870" t="str">
        <f>TEXT(Tabela1[[#This Row],[DATA]],"dd/mm/aaaa")</f>
        <v>22/04/2026</v>
      </c>
    </row>
    <row r="871" spans="1:21" x14ac:dyDescent="0.25">
      <c r="A871" s="4">
        <v>46134.61582175926</v>
      </c>
      <c r="B871" s="5" t="s">
        <v>19</v>
      </c>
      <c r="C871" s="5" t="s">
        <v>37</v>
      </c>
      <c r="D871" s="5">
        <v>211</v>
      </c>
      <c r="E871" s="6">
        <v>17404008000116</v>
      </c>
      <c r="F871" s="5">
        <v>211</v>
      </c>
      <c r="G871" s="7">
        <v>177688000753631</v>
      </c>
      <c r="H871" s="5" t="s">
        <v>414</v>
      </c>
      <c r="I871" s="5">
        <v>3003</v>
      </c>
      <c r="J871" s="5" t="s">
        <v>22</v>
      </c>
      <c r="K871" s="5" t="s">
        <v>23</v>
      </c>
      <c r="L871" s="5" t="s">
        <v>31</v>
      </c>
      <c r="M871" s="5" t="s">
        <v>284</v>
      </c>
      <c r="N871" s="5" t="s">
        <v>53</v>
      </c>
      <c r="O871" s="5">
        <v>128</v>
      </c>
      <c r="P871" s="5"/>
      <c r="Q871" s="5"/>
      <c r="R871" s="8">
        <v>8.1018518518518516E-5</v>
      </c>
      <c r="S871" s="5" t="s">
        <v>37</v>
      </c>
      <c r="T871" t="str">
        <f>IF(Tabela1[[#This Row],[STATUS_NEGOCIO]]="Enviar E-mail",1,"")</f>
        <v/>
      </c>
      <c r="U871" t="str">
        <f>TEXT(Tabela1[[#This Row],[DATA]],"dd/mm/aaaa")</f>
        <v>22/04/2026</v>
      </c>
    </row>
    <row r="872" spans="1:21" x14ac:dyDescent="0.25">
      <c r="A872" s="4">
        <v>46134.615833333337</v>
      </c>
      <c r="B872" s="5" t="s">
        <v>19</v>
      </c>
      <c r="C872" s="5" t="s">
        <v>37</v>
      </c>
      <c r="D872" s="5">
        <v>212</v>
      </c>
      <c r="E872" s="6">
        <v>17446625000184</v>
      </c>
      <c r="F872" s="5">
        <v>212</v>
      </c>
      <c r="G872" s="7">
        <v>177688000853651</v>
      </c>
      <c r="H872" s="5" t="s">
        <v>415</v>
      </c>
      <c r="I872" s="5">
        <v>3003</v>
      </c>
      <c r="J872" s="5" t="s">
        <v>22</v>
      </c>
      <c r="K872" s="5" t="s">
        <v>23</v>
      </c>
      <c r="L872" s="5" t="s">
        <v>31</v>
      </c>
      <c r="M872" s="5" t="s">
        <v>284</v>
      </c>
      <c r="N872" s="5" t="s">
        <v>53</v>
      </c>
      <c r="O872" s="5">
        <v>128</v>
      </c>
      <c r="P872" s="5"/>
      <c r="Q872" s="5"/>
      <c r="R872" s="8">
        <v>8.1018518518518516E-5</v>
      </c>
      <c r="S872" s="5" t="s">
        <v>37</v>
      </c>
      <c r="T872" t="str">
        <f>IF(Tabela1[[#This Row],[STATUS_NEGOCIO]]="Enviar E-mail",1,"")</f>
        <v/>
      </c>
      <c r="U872" t="str">
        <f>TEXT(Tabela1[[#This Row],[DATA]],"dd/mm/aaaa")</f>
        <v>22/04/2026</v>
      </c>
    </row>
    <row r="873" spans="1:21" x14ac:dyDescent="0.25">
      <c r="A873" s="4">
        <v>46134.615844907406</v>
      </c>
      <c r="B873" s="5" t="s">
        <v>19</v>
      </c>
      <c r="C873" s="5" t="s">
        <v>37</v>
      </c>
      <c r="D873" s="5">
        <v>213</v>
      </c>
      <c r="E873" s="6">
        <v>17845803000140</v>
      </c>
      <c r="F873" s="5">
        <v>213</v>
      </c>
      <c r="G873" s="7">
        <v>177688000953671</v>
      </c>
      <c r="H873" s="5" t="s">
        <v>75</v>
      </c>
      <c r="I873" s="5">
        <v>3003</v>
      </c>
      <c r="J873" s="5" t="s">
        <v>22</v>
      </c>
      <c r="K873" s="5" t="s">
        <v>23</v>
      </c>
      <c r="L873" s="5" t="s">
        <v>31</v>
      </c>
      <c r="M873" s="5" t="s">
        <v>284</v>
      </c>
      <c r="N873" s="5" t="s">
        <v>53</v>
      </c>
      <c r="O873" s="5">
        <v>128</v>
      </c>
      <c r="P873" s="5"/>
      <c r="Q873" s="5"/>
      <c r="R873" s="8">
        <v>8.1018518518518516E-5</v>
      </c>
      <c r="S873" s="5" t="s">
        <v>37</v>
      </c>
      <c r="T873" t="str">
        <f>IF(Tabela1[[#This Row],[STATUS_NEGOCIO]]="Enviar E-mail",1,"")</f>
        <v/>
      </c>
      <c r="U873" t="str">
        <f>TEXT(Tabela1[[#This Row],[DATA]],"dd/mm/aaaa")</f>
        <v>22/04/2026</v>
      </c>
    </row>
    <row r="874" spans="1:21" x14ac:dyDescent="0.25">
      <c r="A874" s="4">
        <v>46134.615856481483</v>
      </c>
      <c r="B874" s="5" t="s">
        <v>19</v>
      </c>
      <c r="C874" s="5" t="s">
        <v>37</v>
      </c>
      <c r="D874" s="5">
        <v>214</v>
      </c>
      <c r="E874" s="6">
        <v>18341732000100</v>
      </c>
      <c r="F874" s="5">
        <v>214</v>
      </c>
      <c r="G874" s="7">
        <v>177688001053691</v>
      </c>
      <c r="H874" s="5" t="s">
        <v>416</v>
      </c>
      <c r="I874" s="5">
        <v>3003</v>
      </c>
      <c r="J874" s="5" t="s">
        <v>22</v>
      </c>
      <c r="K874" s="5" t="s">
        <v>23</v>
      </c>
      <c r="L874" s="5" t="s">
        <v>31</v>
      </c>
      <c r="M874" s="5" t="s">
        <v>284</v>
      </c>
      <c r="N874" s="5" t="s">
        <v>53</v>
      </c>
      <c r="O874" s="5">
        <v>131</v>
      </c>
      <c r="P874" s="5"/>
      <c r="Q874" s="5"/>
      <c r="R874" s="8">
        <v>1.1574074074074073E-5</v>
      </c>
      <c r="S874" s="5" t="s">
        <v>37</v>
      </c>
      <c r="T874" t="str">
        <f>IF(Tabela1[[#This Row],[STATUS_NEGOCIO]]="Enviar E-mail",1,"")</f>
        <v/>
      </c>
      <c r="U874" t="str">
        <f>TEXT(Tabela1[[#This Row],[DATA]],"dd/mm/aaaa")</f>
        <v>22/04/2026</v>
      </c>
    </row>
    <row r="875" spans="1:21" x14ac:dyDescent="0.25">
      <c r="A875" s="4">
        <v>46134.615856481483</v>
      </c>
      <c r="B875" s="5" t="s">
        <v>19</v>
      </c>
      <c r="C875" s="5" t="s">
        <v>37</v>
      </c>
      <c r="D875" s="5">
        <v>215</v>
      </c>
      <c r="E875" s="6">
        <v>18414594000142</v>
      </c>
      <c r="F875" s="5">
        <v>215</v>
      </c>
      <c r="G875" s="7">
        <v>177688001053701</v>
      </c>
      <c r="H875" s="5" t="s">
        <v>417</v>
      </c>
      <c r="I875" s="5">
        <v>3003</v>
      </c>
      <c r="J875" s="5" t="s">
        <v>22</v>
      </c>
      <c r="K875" s="5" t="s">
        <v>23</v>
      </c>
      <c r="L875" s="5" t="s">
        <v>31</v>
      </c>
      <c r="M875" s="5" t="s">
        <v>284</v>
      </c>
      <c r="N875" s="5" t="s">
        <v>53</v>
      </c>
      <c r="O875" s="5">
        <v>128</v>
      </c>
      <c r="P875" s="5"/>
      <c r="Q875" s="5"/>
      <c r="R875" s="8">
        <v>8.1018518518518516E-5</v>
      </c>
      <c r="S875" s="5" t="s">
        <v>37</v>
      </c>
      <c r="T875" t="str">
        <f>IF(Tabela1[[#This Row],[STATUS_NEGOCIO]]="Enviar E-mail",1,"")</f>
        <v/>
      </c>
      <c r="U875" t="str">
        <f>TEXT(Tabela1[[#This Row],[DATA]],"dd/mm/aaaa")</f>
        <v>22/04/2026</v>
      </c>
    </row>
    <row r="876" spans="1:21" x14ac:dyDescent="0.25">
      <c r="A876" s="4">
        <v>46134.615914351853</v>
      </c>
      <c r="B876" s="5" t="s">
        <v>19</v>
      </c>
      <c r="C876" s="5" t="s">
        <v>37</v>
      </c>
      <c r="D876" s="5">
        <v>216</v>
      </c>
      <c r="E876" s="6">
        <v>18705825000177</v>
      </c>
      <c r="F876" s="5">
        <v>216</v>
      </c>
      <c r="G876" s="7">
        <v>177688001553741</v>
      </c>
      <c r="H876" s="5" t="s">
        <v>418</v>
      </c>
      <c r="I876" s="5">
        <v>3003</v>
      </c>
      <c r="J876" s="5" t="s">
        <v>22</v>
      </c>
      <c r="K876" s="5" t="s">
        <v>23</v>
      </c>
      <c r="L876" s="5" t="s">
        <v>31</v>
      </c>
      <c r="M876" s="5" t="s">
        <v>284</v>
      </c>
      <c r="N876" s="5" t="s">
        <v>53</v>
      </c>
      <c r="O876" s="5">
        <v>128</v>
      </c>
      <c r="P876" s="5"/>
      <c r="Q876" s="5"/>
      <c r="R876" s="8">
        <v>8.1018518518518516E-5</v>
      </c>
      <c r="S876" s="5" t="s">
        <v>37</v>
      </c>
      <c r="T876" t="str">
        <f>IF(Tabela1[[#This Row],[STATUS_NEGOCIO]]="Enviar E-mail",1,"")</f>
        <v/>
      </c>
      <c r="U876" t="str">
        <f>TEXT(Tabela1[[#This Row],[DATA]],"dd/mm/aaaa")</f>
        <v>22/04/2026</v>
      </c>
    </row>
    <row r="877" spans="1:21" x14ac:dyDescent="0.25">
      <c r="A877" s="4">
        <v>46134.615937499999</v>
      </c>
      <c r="B877" s="5" t="s">
        <v>19</v>
      </c>
      <c r="C877" s="5" t="s">
        <v>37</v>
      </c>
      <c r="D877" s="5">
        <v>217</v>
      </c>
      <c r="E877" s="6">
        <v>18863657000148</v>
      </c>
      <c r="F877" s="5">
        <v>217</v>
      </c>
      <c r="G877" s="7">
        <v>177688001753831</v>
      </c>
      <c r="H877" s="5" t="s">
        <v>158</v>
      </c>
      <c r="I877" s="5">
        <v>3003</v>
      </c>
      <c r="J877" s="5" t="s">
        <v>22</v>
      </c>
      <c r="K877" s="5" t="s">
        <v>23</v>
      </c>
      <c r="L877" s="5" t="s">
        <v>31</v>
      </c>
      <c r="M877" s="5" t="s">
        <v>284</v>
      </c>
      <c r="N877" s="5" t="s">
        <v>53</v>
      </c>
      <c r="O877" s="5">
        <v>128</v>
      </c>
      <c r="P877" s="5"/>
      <c r="Q877" s="5"/>
      <c r="R877" s="8">
        <v>8.1018518518518516E-5</v>
      </c>
      <c r="S877" s="5" t="s">
        <v>37</v>
      </c>
      <c r="T877" t="str">
        <f>IF(Tabela1[[#This Row],[STATUS_NEGOCIO]]="Enviar E-mail",1,"")</f>
        <v/>
      </c>
      <c r="U877" t="str">
        <f>TEXT(Tabela1[[#This Row],[DATA]],"dd/mm/aaaa")</f>
        <v>22/04/2026</v>
      </c>
    </row>
    <row r="878" spans="1:21" x14ac:dyDescent="0.25">
      <c r="A878" s="4">
        <v>46134.615960648145</v>
      </c>
      <c r="B878" s="5" t="s">
        <v>19</v>
      </c>
      <c r="C878" s="5" t="s">
        <v>37</v>
      </c>
      <c r="D878" s="5">
        <v>218</v>
      </c>
      <c r="E878" s="6">
        <v>18889258000156</v>
      </c>
      <c r="F878" s="5">
        <v>218</v>
      </c>
      <c r="G878" s="7">
        <v>177688001953881</v>
      </c>
      <c r="H878" s="5" t="s">
        <v>419</v>
      </c>
      <c r="I878" s="5">
        <v>3003</v>
      </c>
      <c r="J878" s="5" t="s">
        <v>22</v>
      </c>
      <c r="K878" s="5" t="s">
        <v>23</v>
      </c>
      <c r="L878" s="5" t="s">
        <v>31</v>
      </c>
      <c r="M878" s="5" t="s">
        <v>284</v>
      </c>
      <c r="N878" s="5" t="s">
        <v>53</v>
      </c>
      <c r="O878" s="5">
        <v>128</v>
      </c>
      <c r="P878" s="5"/>
      <c r="Q878" s="5"/>
      <c r="R878" s="8">
        <v>8.1018518518518516E-5</v>
      </c>
      <c r="S878" s="5" t="s">
        <v>37</v>
      </c>
      <c r="T878" t="str">
        <f>IF(Tabela1[[#This Row],[STATUS_NEGOCIO]]="Enviar E-mail",1,"")</f>
        <v/>
      </c>
      <c r="U878" t="str">
        <f>TEXT(Tabela1[[#This Row],[DATA]],"dd/mm/aaaa")</f>
        <v>22/04/2026</v>
      </c>
    </row>
    <row r="879" spans="1:21" x14ac:dyDescent="0.25">
      <c r="A879" s="4">
        <v>46134.615983796299</v>
      </c>
      <c r="B879" s="5" t="s">
        <v>19</v>
      </c>
      <c r="C879" s="5" t="s">
        <v>37</v>
      </c>
      <c r="D879" s="5">
        <v>219</v>
      </c>
      <c r="E879" s="6">
        <v>18977285000180</v>
      </c>
      <c r="F879" s="5">
        <v>219</v>
      </c>
      <c r="G879" s="7">
        <v>177688002153901</v>
      </c>
      <c r="H879" s="5" t="s">
        <v>420</v>
      </c>
      <c r="I879" s="5">
        <v>3003</v>
      </c>
      <c r="J879" s="5" t="s">
        <v>22</v>
      </c>
      <c r="K879" s="5" t="s">
        <v>23</v>
      </c>
      <c r="L879" s="5" t="s">
        <v>31</v>
      </c>
      <c r="M879" s="5" t="s">
        <v>284</v>
      </c>
      <c r="N879" s="5" t="s">
        <v>53</v>
      </c>
      <c r="O879" s="5">
        <v>128</v>
      </c>
      <c r="P879" s="5"/>
      <c r="Q879" s="5"/>
      <c r="R879" s="8">
        <v>8.1018518518518516E-5</v>
      </c>
      <c r="S879" s="5" t="s">
        <v>37</v>
      </c>
      <c r="T879" t="str">
        <f>IF(Tabela1[[#This Row],[STATUS_NEGOCIO]]="Enviar E-mail",1,"")</f>
        <v/>
      </c>
      <c r="U879" t="str">
        <f>TEXT(Tabela1[[#This Row],[DATA]],"dd/mm/aaaa")</f>
        <v>22/04/2026</v>
      </c>
    </row>
    <row r="880" spans="1:21" x14ac:dyDescent="0.25">
      <c r="A880" s="4">
        <v>46134.616006944445</v>
      </c>
      <c r="B880" s="5" t="s">
        <v>19</v>
      </c>
      <c r="C880" s="5" t="s">
        <v>37</v>
      </c>
      <c r="D880" s="5">
        <v>221</v>
      </c>
      <c r="E880" s="6">
        <v>19047535000146</v>
      </c>
      <c r="F880" s="5">
        <v>221</v>
      </c>
      <c r="G880" s="7">
        <v>177688002353921</v>
      </c>
      <c r="H880" s="5" t="s">
        <v>48</v>
      </c>
      <c r="I880" s="5">
        <v>3003</v>
      </c>
      <c r="J880" s="5" t="s">
        <v>22</v>
      </c>
      <c r="K880" s="5" t="s">
        <v>23</v>
      </c>
      <c r="L880" s="5" t="s">
        <v>31</v>
      </c>
      <c r="M880" s="5" t="s">
        <v>284</v>
      </c>
      <c r="N880" s="5" t="s">
        <v>53</v>
      </c>
      <c r="O880" s="5">
        <v>128</v>
      </c>
      <c r="P880" s="5"/>
      <c r="Q880" s="5"/>
      <c r="R880" s="8">
        <v>8.1018518518518516E-5</v>
      </c>
      <c r="S880" s="5" t="s">
        <v>37</v>
      </c>
      <c r="T880" t="str">
        <f>IF(Tabela1[[#This Row],[STATUS_NEGOCIO]]="Enviar E-mail",1,"")</f>
        <v/>
      </c>
      <c r="U880" t="str">
        <f>TEXT(Tabela1[[#This Row],[DATA]],"dd/mm/aaaa")</f>
        <v>22/04/2026</v>
      </c>
    </row>
    <row r="881" spans="1:21" x14ac:dyDescent="0.25">
      <c r="A881" s="4">
        <v>46134.616030092591</v>
      </c>
      <c r="B881" s="5" t="s">
        <v>19</v>
      </c>
      <c r="C881" s="5" t="s">
        <v>37</v>
      </c>
      <c r="D881" s="5">
        <v>223</v>
      </c>
      <c r="E881" s="6">
        <v>19410510000165</v>
      </c>
      <c r="F881" s="5">
        <v>223</v>
      </c>
      <c r="G881" s="7">
        <v>177688002553951</v>
      </c>
      <c r="H881" s="5" t="s">
        <v>422</v>
      </c>
      <c r="I881" s="5">
        <v>3003</v>
      </c>
      <c r="J881" s="5" t="s">
        <v>22</v>
      </c>
      <c r="K881" s="5" t="s">
        <v>23</v>
      </c>
      <c r="L881" s="5" t="s">
        <v>31</v>
      </c>
      <c r="M881" s="5" t="s">
        <v>284</v>
      </c>
      <c r="N881" s="5" t="s">
        <v>53</v>
      </c>
      <c r="O881" s="5">
        <v>128</v>
      </c>
      <c r="P881" s="5"/>
      <c r="Q881" s="5"/>
      <c r="R881" s="8">
        <v>8.1018518518518516E-5</v>
      </c>
      <c r="S881" s="5" t="s">
        <v>37</v>
      </c>
      <c r="T881" t="str">
        <f>IF(Tabela1[[#This Row],[STATUS_NEGOCIO]]="Enviar E-mail",1,"")</f>
        <v/>
      </c>
      <c r="U881" t="str">
        <f>TEXT(Tabela1[[#This Row],[DATA]],"dd/mm/aaaa")</f>
        <v>22/04/2026</v>
      </c>
    </row>
    <row r="882" spans="1:21" x14ac:dyDescent="0.25">
      <c r="A882" s="4">
        <v>46134.616053240738</v>
      </c>
      <c r="B882" s="5" t="s">
        <v>19</v>
      </c>
      <c r="C882" s="5" t="s">
        <v>37</v>
      </c>
      <c r="D882" s="5">
        <v>224</v>
      </c>
      <c r="E882" s="6">
        <v>19420382000211</v>
      </c>
      <c r="F882" s="5">
        <v>224</v>
      </c>
      <c r="G882" s="7">
        <v>177688002753971</v>
      </c>
      <c r="H882" s="5" t="s">
        <v>423</v>
      </c>
      <c r="I882" s="5">
        <v>3003</v>
      </c>
      <c r="J882" s="5" t="s">
        <v>22</v>
      </c>
      <c r="K882" s="5" t="s">
        <v>23</v>
      </c>
      <c r="L882" s="5" t="s">
        <v>31</v>
      </c>
      <c r="M882" s="5" t="s">
        <v>284</v>
      </c>
      <c r="N882" s="5" t="s">
        <v>53</v>
      </c>
      <c r="O882" s="5">
        <v>128</v>
      </c>
      <c r="P882" s="5"/>
      <c r="Q882" s="5"/>
      <c r="R882" s="8">
        <v>8.1018518518518516E-5</v>
      </c>
      <c r="S882" s="5" t="s">
        <v>37</v>
      </c>
      <c r="T882" t="str">
        <f>IF(Tabela1[[#This Row],[STATUS_NEGOCIO]]="Enviar E-mail",1,"")</f>
        <v/>
      </c>
      <c r="U882" t="str">
        <f>TEXT(Tabela1[[#This Row],[DATA]],"dd/mm/aaaa")</f>
        <v>22/04/2026</v>
      </c>
    </row>
    <row r="883" spans="1:21" x14ac:dyDescent="0.25">
      <c r="A883" s="4">
        <v>46134.616076388891</v>
      </c>
      <c r="B883" s="5" t="s">
        <v>19</v>
      </c>
      <c r="C883" s="5" t="s">
        <v>37</v>
      </c>
      <c r="D883" s="5">
        <v>226</v>
      </c>
      <c r="E883" s="6">
        <v>19753199000157</v>
      </c>
      <c r="F883" s="5">
        <v>226</v>
      </c>
      <c r="G883" s="7">
        <v>177688002954001</v>
      </c>
      <c r="H883" s="5" t="s">
        <v>424</v>
      </c>
      <c r="I883" s="5">
        <v>3003</v>
      </c>
      <c r="J883" s="5" t="s">
        <v>22</v>
      </c>
      <c r="K883" s="5" t="s">
        <v>23</v>
      </c>
      <c r="L883" s="5" t="s">
        <v>31</v>
      </c>
      <c r="M883" s="5" t="s">
        <v>284</v>
      </c>
      <c r="N883" s="5" t="s">
        <v>53</v>
      </c>
      <c r="O883" s="5">
        <v>128</v>
      </c>
      <c r="P883" s="5"/>
      <c r="Q883" s="5"/>
      <c r="R883" s="8">
        <v>8.1018518518518516E-5</v>
      </c>
      <c r="S883" s="5" t="s">
        <v>37</v>
      </c>
      <c r="T883" t="str">
        <f>IF(Tabela1[[#This Row],[STATUS_NEGOCIO]]="Enviar E-mail",1,"")</f>
        <v/>
      </c>
      <c r="U883" t="str">
        <f>TEXT(Tabela1[[#This Row],[DATA]],"dd/mm/aaaa")</f>
        <v>22/04/2026</v>
      </c>
    </row>
    <row r="884" spans="1:21" x14ac:dyDescent="0.25">
      <c r="A884" s="4">
        <v>46134.616099537037</v>
      </c>
      <c r="B884" s="5" t="s">
        <v>19</v>
      </c>
      <c r="C884" s="5" t="s">
        <v>37</v>
      </c>
      <c r="D884" s="5">
        <v>229</v>
      </c>
      <c r="E884" s="6">
        <v>20045556000101</v>
      </c>
      <c r="F884" s="5">
        <v>229</v>
      </c>
      <c r="G884" s="7">
        <v>177688003154021</v>
      </c>
      <c r="H884" s="5" t="s">
        <v>43</v>
      </c>
      <c r="I884" s="5">
        <v>3003</v>
      </c>
      <c r="J884" s="5" t="s">
        <v>22</v>
      </c>
      <c r="K884" s="5" t="s">
        <v>23</v>
      </c>
      <c r="L884" s="5" t="s">
        <v>31</v>
      </c>
      <c r="M884" s="5" t="s">
        <v>284</v>
      </c>
      <c r="N884" s="5" t="s">
        <v>53</v>
      </c>
      <c r="O884" s="5">
        <v>128</v>
      </c>
      <c r="P884" s="5"/>
      <c r="Q884" s="5"/>
      <c r="R884" s="8">
        <v>8.1018518518518516E-5</v>
      </c>
      <c r="S884" s="5" t="s">
        <v>37</v>
      </c>
      <c r="T884" t="str">
        <f>IF(Tabela1[[#This Row],[STATUS_NEGOCIO]]="Enviar E-mail",1,"")</f>
        <v/>
      </c>
      <c r="U884" t="str">
        <f>TEXT(Tabela1[[#This Row],[DATA]],"dd/mm/aaaa")</f>
        <v>22/04/2026</v>
      </c>
    </row>
    <row r="885" spans="1:21" x14ac:dyDescent="0.25">
      <c r="A885" s="4">
        <v>46134.616111111114</v>
      </c>
      <c r="B885" s="5" t="s">
        <v>19</v>
      </c>
      <c r="C885" s="5" t="s">
        <v>37</v>
      </c>
      <c r="D885" s="5">
        <v>230</v>
      </c>
      <c r="E885" s="6">
        <v>20331303000102</v>
      </c>
      <c r="F885" s="5">
        <v>230</v>
      </c>
      <c r="G885" s="7">
        <v>177688003254051</v>
      </c>
      <c r="H885" s="5" t="s">
        <v>237</v>
      </c>
      <c r="I885" s="5">
        <v>3003</v>
      </c>
      <c r="J885" s="5" t="s">
        <v>22</v>
      </c>
      <c r="K885" s="5" t="s">
        <v>23</v>
      </c>
      <c r="L885" s="5" t="s">
        <v>31</v>
      </c>
      <c r="M885" s="5" t="s">
        <v>284</v>
      </c>
      <c r="N885" s="5" t="s">
        <v>53</v>
      </c>
      <c r="O885" s="5">
        <v>128</v>
      </c>
      <c r="P885" s="5"/>
      <c r="Q885" s="5"/>
      <c r="R885" s="8">
        <v>6.9444444444444444E-5</v>
      </c>
      <c r="S885" s="5" t="s">
        <v>37</v>
      </c>
      <c r="T885" t="str">
        <f>IF(Tabela1[[#This Row],[STATUS_NEGOCIO]]="Enviar E-mail",1,"")</f>
        <v/>
      </c>
      <c r="U885" t="str">
        <f>TEXT(Tabela1[[#This Row],[DATA]],"dd/mm/aaaa")</f>
        <v>22/04/2026</v>
      </c>
    </row>
    <row r="886" spans="1:21" x14ac:dyDescent="0.25">
      <c r="A886" s="4">
        <v>46134.616111111114</v>
      </c>
      <c r="B886" s="5" t="s">
        <v>19</v>
      </c>
      <c r="C886" s="5" t="s">
        <v>37</v>
      </c>
      <c r="D886" s="5">
        <v>231</v>
      </c>
      <c r="E886" s="6">
        <v>20415965000152</v>
      </c>
      <c r="F886" s="5">
        <v>231</v>
      </c>
      <c r="G886" s="7">
        <v>177688003254071</v>
      </c>
      <c r="H886" s="5" t="s">
        <v>427</v>
      </c>
      <c r="I886" s="5">
        <v>3003</v>
      </c>
      <c r="J886" s="5" t="s">
        <v>22</v>
      </c>
      <c r="K886" s="5" t="s">
        <v>23</v>
      </c>
      <c r="L886" s="5" t="s">
        <v>31</v>
      </c>
      <c r="M886" s="5" t="s">
        <v>284</v>
      </c>
      <c r="N886" s="5" t="s">
        <v>53</v>
      </c>
      <c r="O886" s="5">
        <v>128</v>
      </c>
      <c r="P886" s="5"/>
      <c r="Q886" s="5"/>
      <c r="R886" s="8">
        <v>8.1018518518518516E-5</v>
      </c>
      <c r="S886" s="5" t="s">
        <v>37</v>
      </c>
      <c r="T886" t="str">
        <f>IF(Tabela1[[#This Row],[STATUS_NEGOCIO]]="Enviar E-mail",1,"")</f>
        <v/>
      </c>
      <c r="U886" t="str">
        <f>TEXT(Tabela1[[#This Row],[DATA]],"dd/mm/aaaa")</f>
        <v>22/04/2026</v>
      </c>
    </row>
    <row r="887" spans="1:21" x14ac:dyDescent="0.25">
      <c r="A887" s="4">
        <v>46134.616122685184</v>
      </c>
      <c r="B887" s="5" t="s">
        <v>19</v>
      </c>
      <c r="C887" s="5" t="s">
        <v>37</v>
      </c>
      <c r="D887" s="5">
        <v>232</v>
      </c>
      <c r="E887" s="6">
        <v>20458968000173</v>
      </c>
      <c r="F887" s="5">
        <v>232</v>
      </c>
      <c r="G887" s="7">
        <v>177688003354081</v>
      </c>
      <c r="H887" s="5" t="s">
        <v>133</v>
      </c>
      <c r="I887" s="5">
        <v>3003</v>
      </c>
      <c r="J887" s="5" t="s">
        <v>22</v>
      </c>
      <c r="K887" s="5" t="s">
        <v>23</v>
      </c>
      <c r="L887" s="5" t="s">
        <v>31</v>
      </c>
      <c r="M887" s="5" t="s">
        <v>284</v>
      </c>
      <c r="N887" s="5" t="s">
        <v>53</v>
      </c>
      <c r="O887" s="5">
        <v>128</v>
      </c>
      <c r="P887" s="5"/>
      <c r="Q887" s="5"/>
      <c r="R887" s="8">
        <v>8.1018518518518516E-5</v>
      </c>
      <c r="S887" s="5" t="s">
        <v>37</v>
      </c>
      <c r="T887" t="str">
        <f>IF(Tabela1[[#This Row],[STATUS_NEGOCIO]]="Enviar E-mail",1,"")</f>
        <v/>
      </c>
      <c r="U887" t="str">
        <f>TEXT(Tabela1[[#This Row],[DATA]],"dd/mm/aaaa")</f>
        <v>22/04/2026</v>
      </c>
    </row>
    <row r="888" spans="1:21" x14ac:dyDescent="0.25">
      <c r="A888" s="4">
        <v>46134.61614583333</v>
      </c>
      <c r="B888" s="5" t="s">
        <v>19</v>
      </c>
      <c r="C888" s="5" t="s">
        <v>37</v>
      </c>
      <c r="D888" s="5">
        <v>233</v>
      </c>
      <c r="E888" s="6">
        <v>20458968000254</v>
      </c>
      <c r="F888" s="5">
        <v>233</v>
      </c>
      <c r="G888" s="7">
        <v>177688003554101</v>
      </c>
      <c r="H888" s="5" t="s">
        <v>133</v>
      </c>
      <c r="I888" s="5">
        <v>3003</v>
      </c>
      <c r="J888" s="5" t="s">
        <v>22</v>
      </c>
      <c r="K888" s="5" t="s">
        <v>23</v>
      </c>
      <c r="L888" s="5" t="s">
        <v>31</v>
      </c>
      <c r="M888" s="5" t="s">
        <v>284</v>
      </c>
      <c r="N888" s="5" t="s">
        <v>53</v>
      </c>
      <c r="O888" s="5">
        <v>128</v>
      </c>
      <c r="P888" s="5"/>
      <c r="Q888" s="5"/>
      <c r="R888" s="8">
        <v>8.1018518518518516E-5</v>
      </c>
      <c r="S888" s="5" t="s">
        <v>37</v>
      </c>
      <c r="T888" t="str">
        <f>IF(Tabela1[[#This Row],[STATUS_NEGOCIO]]="Enviar E-mail",1,"")</f>
        <v/>
      </c>
      <c r="U888" t="str">
        <f>TEXT(Tabela1[[#This Row],[DATA]],"dd/mm/aaaa")</f>
        <v>22/04/2026</v>
      </c>
    </row>
    <row r="889" spans="1:21" x14ac:dyDescent="0.25">
      <c r="A889" s="4">
        <v>46134.616168981483</v>
      </c>
      <c r="B889" s="5" t="s">
        <v>19</v>
      </c>
      <c r="C889" s="5" t="s">
        <v>37</v>
      </c>
      <c r="D889" s="5">
        <v>234</v>
      </c>
      <c r="E889" s="6">
        <v>20813461000190</v>
      </c>
      <c r="F889" s="5">
        <v>234</v>
      </c>
      <c r="G889" s="7">
        <v>177688003754111</v>
      </c>
      <c r="H889" s="5" t="s">
        <v>428</v>
      </c>
      <c r="I889" s="5">
        <v>3003</v>
      </c>
      <c r="J889" s="5" t="s">
        <v>22</v>
      </c>
      <c r="K889" s="5" t="s">
        <v>23</v>
      </c>
      <c r="L889" s="5" t="s">
        <v>31</v>
      </c>
      <c r="M889" s="5" t="s">
        <v>284</v>
      </c>
      <c r="N889" s="5" t="s">
        <v>53</v>
      </c>
      <c r="O889" s="5">
        <v>128</v>
      </c>
      <c r="P889" s="5"/>
      <c r="Q889" s="5"/>
      <c r="R889" s="8">
        <v>6.9444444444444444E-5</v>
      </c>
      <c r="S889" s="5" t="s">
        <v>37</v>
      </c>
      <c r="T889" t="str">
        <f>IF(Tabela1[[#This Row],[STATUS_NEGOCIO]]="Enviar E-mail",1,"")</f>
        <v/>
      </c>
      <c r="U889" t="str">
        <f>TEXT(Tabela1[[#This Row],[DATA]],"dd/mm/aaaa")</f>
        <v>22/04/2026</v>
      </c>
    </row>
    <row r="890" spans="1:21" x14ac:dyDescent="0.25">
      <c r="A890" s="4">
        <v>46134.61619212963</v>
      </c>
      <c r="B890" s="5" t="s">
        <v>19</v>
      </c>
      <c r="C890" s="5" t="s">
        <v>37</v>
      </c>
      <c r="D890" s="5">
        <v>235</v>
      </c>
      <c r="E890" s="6">
        <v>20816553000124</v>
      </c>
      <c r="F890" s="5">
        <v>235</v>
      </c>
      <c r="G890" s="7">
        <v>177688003954141</v>
      </c>
      <c r="H890" s="5" t="s">
        <v>429</v>
      </c>
      <c r="I890" s="5">
        <v>3003</v>
      </c>
      <c r="J890" s="5" t="s">
        <v>22</v>
      </c>
      <c r="K890" s="5" t="s">
        <v>23</v>
      </c>
      <c r="L890" s="5" t="s">
        <v>31</v>
      </c>
      <c r="M890" s="5" t="s">
        <v>284</v>
      </c>
      <c r="N890" s="5" t="s">
        <v>53</v>
      </c>
      <c r="O890" s="5">
        <v>128</v>
      </c>
      <c r="P890" s="5"/>
      <c r="Q890" s="5"/>
      <c r="R890" s="8">
        <v>6.9444444444444444E-5</v>
      </c>
      <c r="S890" s="5" t="s">
        <v>37</v>
      </c>
      <c r="T890" t="str">
        <f>IF(Tabela1[[#This Row],[STATUS_NEGOCIO]]="Enviar E-mail",1,"")</f>
        <v/>
      </c>
      <c r="U890" t="str">
        <f>TEXT(Tabela1[[#This Row],[DATA]],"dd/mm/aaaa")</f>
        <v>22/04/2026</v>
      </c>
    </row>
    <row r="891" spans="1:21" x14ac:dyDescent="0.25">
      <c r="A891" s="4">
        <v>46134.616215277776</v>
      </c>
      <c r="B891" s="5" t="s">
        <v>19</v>
      </c>
      <c r="C891" s="5" t="s">
        <v>37</v>
      </c>
      <c r="D891" s="5">
        <v>236</v>
      </c>
      <c r="E891" s="6">
        <v>20843735000194</v>
      </c>
      <c r="F891" s="5">
        <v>236</v>
      </c>
      <c r="G891" s="7">
        <v>177688004154151</v>
      </c>
      <c r="H891" s="5" t="s">
        <v>430</v>
      </c>
      <c r="I891" s="5" t="s">
        <v>52</v>
      </c>
      <c r="J891" s="5" t="s">
        <v>22</v>
      </c>
      <c r="K891" s="5" t="s">
        <v>36</v>
      </c>
      <c r="L891" s="5" t="s">
        <v>36</v>
      </c>
      <c r="M891" s="5" t="s">
        <v>284</v>
      </c>
      <c r="N891" s="5" t="s">
        <v>53</v>
      </c>
      <c r="O891" s="5">
        <v>1</v>
      </c>
      <c r="P891" s="5"/>
      <c r="Q891" s="5"/>
      <c r="R891" s="8">
        <v>0</v>
      </c>
      <c r="S891" s="5" t="s">
        <v>37</v>
      </c>
      <c r="T891" t="str">
        <f>IF(Tabela1[[#This Row],[STATUS_NEGOCIO]]="Enviar E-mail",1,"")</f>
        <v/>
      </c>
      <c r="U891" t="str">
        <f>TEXT(Tabela1[[#This Row],[DATA]],"dd/mm/aaaa")</f>
        <v>22/04/2026</v>
      </c>
    </row>
    <row r="892" spans="1:21" x14ac:dyDescent="0.25">
      <c r="A892" s="4">
        <v>46134.616238425922</v>
      </c>
      <c r="B892" s="5" t="s">
        <v>19</v>
      </c>
      <c r="C892" s="5" t="s">
        <v>37</v>
      </c>
      <c r="D892" s="5">
        <v>237</v>
      </c>
      <c r="E892" s="6">
        <v>20920341000192</v>
      </c>
      <c r="F892" s="5">
        <v>237</v>
      </c>
      <c r="G892" s="7">
        <v>177688004354171</v>
      </c>
      <c r="H892" s="5" t="s">
        <v>143</v>
      </c>
      <c r="I892" s="5">
        <v>3003</v>
      </c>
      <c r="J892" s="5" t="s">
        <v>22</v>
      </c>
      <c r="K892" s="5" t="s">
        <v>23</v>
      </c>
      <c r="L892" s="5" t="s">
        <v>31</v>
      </c>
      <c r="M892" s="5" t="s">
        <v>284</v>
      </c>
      <c r="N892" s="5" t="s">
        <v>53</v>
      </c>
      <c r="O892" s="5">
        <v>128</v>
      </c>
      <c r="P892" s="5"/>
      <c r="Q892" s="5"/>
      <c r="R892" s="8">
        <v>6.9444444444444444E-5</v>
      </c>
      <c r="S892" s="5" t="s">
        <v>37</v>
      </c>
      <c r="T892" t="str">
        <f>IF(Tabela1[[#This Row],[STATUS_NEGOCIO]]="Enviar E-mail",1,"")</f>
        <v/>
      </c>
      <c r="U892" t="str">
        <f>TEXT(Tabela1[[#This Row],[DATA]],"dd/mm/aaaa")</f>
        <v>22/04/2026</v>
      </c>
    </row>
    <row r="893" spans="1:21" x14ac:dyDescent="0.25">
      <c r="A893" s="4">
        <v>46134.616238425922</v>
      </c>
      <c r="B893" s="5" t="s">
        <v>19</v>
      </c>
      <c r="C893" s="5" t="s">
        <v>37</v>
      </c>
      <c r="D893" s="5">
        <v>240</v>
      </c>
      <c r="E893" s="6">
        <v>21108715000132</v>
      </c>
      <c r="F893" s="5">
        <v>240</v>
      </c>
      <c r="G893" s="7">
        <v>177688004354191</v>
      </c>
      <c r="H893" s="5" t="s">
        <v>432</v>
      </c>
      <c r="I893" s="5" t="s">
        <v>52</v>
      </c>
      <c r="J893" s="5" t="s">
        <v>22</v>
      </c>
      <c r="K893" s="5" t="s">
        <v>36</v>
      </c>
      <c r="L893" s="5" t="s">
        <v>36</v>
      </c>
      <c r="M893" s="5" t="s">
        <v>284</v>
      </c>
      <c r="N893" s="5" t="s">
        <v>53</v>
      </c>
      <c r="O893" s="5">
        <v>19</v>
      </c>
      <c r="P893" s="5"/>
      <c r="Q893" s="5"/>
      <c r="R893" s="8">
        <v>0</v>
      </c>
      <c r="S893" s="5" t="s">
        <v>37</v>
      </c>
      <c r="T893" t="str">
        <f>IF(Tabela1[[#This Row],[STATUS_NEGOCIO]]="Enviar E-mail",1,"")</f>
        <v/>
      </c>
      <c r="U893" t="str">
        <f>TEXT(Tabela1[[#This Row],[DATA]],"dd/mm/aaaa")</f>
        <v>22/04/2026</v>
      </c>
    </row>
    <row r="894" spans="1:21" x14ac:dyDescent="0.25">
      <c r="A894" s="4">
        <v>46134.616261574076</v>
      </c>
      <c r="B894" s="5" t="s">
        <v>19</v>
      </c>
      <c r="C894" s="5" t="s">
        <v>37</v>
      </c>
      <c r="D894" s="5">
        <v>241</v>
      </c>
      <c r="E894" s="6">
        <v>21147409000105</v>
      </c>
      <c r="F894" s="5">
        <v>241</v>
      </c>
      <c r="G894" s="7">
        <v>177688004554201</v>
      </c>
      <c r="H894" s="5" t="s">
        <v>433</v>
      </c>
      <c r="I894" s="5">
        <v>3003</v>
      </c>
      <c r="J894" s="5" t="s">
        <v>22</v>
      </c>
      <c r="K894" s="5" t="s">
        <v>23</v>
      </c>
      <c r="L894" s="5" t="s">
        <v>31</v>
      </c>
      <c r="M894" s="5" t="s">
        <v>284</v>
      </c>
      <c r="N894" s="5" t="s">
        <v>53</v>
      </c>
      <c r="O894" s="5">
        <v>128</v>
      </c>
      <c r="P894" s="5"/>
      <c r="Q894" s="5"/>
      <c r="R894" s="8">
        <v>8.1018518518518516E-5</v>
      </c>
      <c r="S894" s="5" t="s">
        <v>37</v>
      </c>
      <c r="T894" t="str">
        <f>IF(Tabela1[[#This Row],[STATUS_NEGOCIO]]="Enviar E-mail",1,"")</f>
        <v/>
      </c>
      <c r="U894" t="str">
        <f>TEXT(Tabela1[[#This Row],[DATA]],"dd/mm/aaaa")</f>
        <v>22/04/2026</v>
      </c>
    </row>
    <row r="895" spans="1:21" x14ac:dyDescent="0.25">
      <c r="A895" s="4">
        <v>46134.616284722222</v>
      </c>
      <c r="B895" s="5" t="s">
        <v>19</v>
      </c>
      <c r="C895" s="5" t="s">
        <v>37</v>
      </c>
      <c r="D895" s="5">
        <v>242</v>
      </c>
      <c r="E895" s="6">
        <v>21466995000150</v>
      </c>
      <c r="F895" s="5">
        <v>242</v>
      </c>
      <c r="G895" s="7">
        <v>177688004754211</v>
      </c>
      <c r="H895" s="5" t="s">
        <v>434</v>
      </c>
      <c r="I895" s="5">
        <v>3003</v>
      </c>
      <c r="J895" s="5" t="s">
        <v>22</v>
      </c>
      <c r="K895" s="5" t="s">
        <v>23</v>
      </c>
      <c r="L895" s="5" t="s">
        <v>31</v>
      </c>
      <c r="M895" s="5" t="s">
        <v>284</v>
      </c>
      <c r="N895" s="5" t="s">
        <v>53</v>
      </c>
      <c r="O895" s="5">
        <v>128</v>
      </c>
      <c r="P895" s="5"/>
      <c r="Q895" s="5"/>
      <c r="R895" s="8">
        <v>6.9444444444444444E-5</v>
      </c>
      <c r="S895" s="5" t="s">
        <v>37</v>
      </c>
      <c r="T895" t="str">
        <f>IF(Tabela1[[#This Row],[STATUS_NEGOCIO]]="Enviar E-mail",1,"")</f>
        <v/>
      </c>
      <c r="U895" t="str">
        <f>TEXT(Tabela1[[#This Row],[DATA]],"dd/mm/aaaa")</f>
        <v>22/04/2026</v>
      </c>
    </row>
    <row r="896" spans="1:21" x14ac:dyDescent="0.25">
      <c r="A896" s="4">
        <v>46134.616307870368</v>
      </c>
      <c r="B896" s="5" t="s">
        <v>19</v>
      </c>
      <c r="C896" s="5" t="s">
        <v>37</v>
      </c>
      <c r="D896" s="5">
        <v>243</v>
      </c>
      <c r="E896" s="6">
        <v>21511926000111</v>
      </c>
      <c r="F896" s="5">
        <v>243</v>
      </c>
      <c r="G896" s="7">
        <v>177688004954231</v>
      </c>
      <c r="H896" s="5" t="s">
        <v>122</v>
      </c>
      <c r="I896" s="5">
        <v>3003</v>
      </c>
      <c r="J896" s="5" t="s">
        <v>22</v>
      </c>
      <c r="K896" s="5" t="s">
        <v>23</v>
      </c>
      <c r="L896" s="5" t="s">
        <v>31</v>
      </c>
      <c r="M896" s="5" t="s">
        <v>284</v>
      </c>
      <c r="N896" s="5" t="s">
        <v>53</v>
      </c>
      <c r="O896" s="5">
        <v>147</v>
      </c>
      <c r="P896" s="5"/>
      <c r="Q896" s="5"/>
      <c r="R896" s="8">
        <v>8.1018518518518516E-5</v>
      </c>
      <c r="S896" s="5" t="s">
        <v>37</v>
      </c>
      <c r="T896" t="str">
        <f>IF(Tabela1[[#This Row],[STATUS_NEGOCIO]]="Enviar E-mail",1,"")</f>
        <v/>
      </c>
      <c r="U896" t="str">
        <f>TEXT(Tabela1[[#This Row],[DATA]],"dd/mm/aaaa")</f>
        <v>22/04/2026</v>
      </c>
    </row>
    <row r="897" spans="1:21" x14ac:dyDescent="0.25">
      <c r="A897" s="4">
        <v>46134.616331018522</v>
      </c>
      <c r="B897" s="5" t="s">
        <v>19</v>
      </c>
      <c r="C897" s="5" t="s">
        <v>37</v>
      </c>
      <c r="D897" s="5">
        <v>244</v>
      </c>
      <c r="E897" s="6">
        <v>21536041000177</v>
      </c>
      <c r="F897" s="5">
        <v>244</v>
      </c>
      <c r="G897" s="7">
        <v>177688005154261</v>
      </c>
      <c r="H897" s="5" t="s">
        <v>435</v>
      </c>
      <c r="I897" s="5">
        <v>3003</v>
      </c>
      <c r="J897" s="5" t="s">
        <v>22</v>
      </c>
      <c r="K897" s="5" t="s">
        <v>23</v>
      </c>
      <c r="L897" s="5" t="s">
        <v>31</v>
      </c>
      <c r="M897" s="5" t="s">
        <v>284</v>
      </c>
      <c r="N897" s="5" t="s">
        <v>53</v>
      </c>
      <c r="O897" s="5">
        <v>147</v>
      </c>
      <c r="P897" s="5"/>
      <c r="Q897" s="5"/>
      <c r="R897" s="8">
        <v>8.1018518518518516E-5</v>
      </c>
      <c r="S897" s="5" t="s">
        <v>37</v>
      </c>
      <c r="T897" t="str">
        <f>IF(Tabela1[[#This Row],[STATUS_NEGOCIO]]="Enviar E-mail",1,"")</f>
        <v/>
      </c>
      <c r="U897" t="str">
        <f>TEXT(Tabela1[[#This Row],[DATA]],"dd/mm/aaaa")</f>
        <v>22/04/2026</v>
      </c>
    </row>
    <row r="898" spans="1:21" x14ac:dyDescent="0.25">
      <c r="A898" s="4">
        <v>46134.616354166668</v>
      </c>
      <c r="B898" s="5" t="s">
        <v>19</v>
      </c>
      <c r="C898" s="5" t="s">
        <v>37</v>
      </c>
      <c r="D898" s="5">
        <v>246</v>
      </c>
      <c r="E898" s="6">
        <v>21918143000157</v>
      </c>
      <c r="F898" s="5">
        <v>246</v>
      </c>
      <c r="G898" s="7">
        <v>177688005354281</v>
      </c>
      <c r="H898" s="5" t="s">
        <v>361</v>
      </c>
      <c r="I898" s="5">
        <v>3003</v>
      </c>
      <c r="J898" s="5" t="s">
        <v>22</v>
      </c>
      <c r="K898" s="5" t="s">
        <v>23</v>
      </c>
      <c r="L898" s="5" t="s">
        <v>31</v>
      </c>
      <c r="M898" s="5" t="s">
        <v>284</v>
      </c>
      <c r="N898" s="5" t="s">
        <v>53</v>
      </c>
      <c r="O898" s="5">
        <v>128</v>
      </c>
      <c r="P898" s="5"/>
      <c r="Q898" s="5"/>
      <c r="R898" s="8">
        <v>8.1018518518518516E-5</v>
      </c>
      <c r="S898" s="5" t="s">
        <v>37</v>
      </c>
      <c r="T898" t="str">
        <f>IF(Tabela1[[#This Row],[STATUS_NEGOCIO]]="Enviar E-mail",1,"")</f>
        <v/>
      </c>
      <c r="U898" t="str">
        <f>TEXT(Tabela1[[#This Row],[DATA]],"dd/mm/aaaa")</f>
        <v>22/04/2026</v>
      </c>
    </row>
    <row r="899" spans="1:21" x14ac:dyDescent="0.25">
      <c r="A899" s="4">
        <v>46134.616377314815</v>
      </c>
      <c r="B899" s="5" t="s">
        <v>19</v>
      </c>
      <c r="C899" s="5" t="s">
        <v>37</v>
      </c>
      <c r="D899" s="5">
        <v>247</v>
      </c>
      <c r="E899" s="6">
        <v>21934634000191</v>
      </c>
      <c r="F899" s="5">
        <v>247</v>
      </c>
      <c r="G899" s="7">
        <v>177688005554311</v>
      </c>
      <c r="H899" s="5" t="s">
        <v>436</v>
      </c>
      <c r="I899" s="5">
        <v>3003</v>
      </c>
      <c r="J899" s="5" t="s">
        <v>22</v>
      </c>
      <c r="K899" s="5" t="s">
        <v>23</v>
      </c>
      <c r="L899" s="5" t="s">
        <v>31</v>
      </c>
      <c r="M899" s="5" t="s">
        <v>284</v>
      </c>
      <c r="N899" s="5" t="s">
        <v>53</v>
      </c>
      <c r="O899" s="5">
        <v>128</v>
      </c>
      <c r="P899" s="5"/>
      <c r="Q899" s="5"/>
      <c r="R899" s="8">
        <v>8.1018518518518516E-5</v>
      </c>
      <c r="S899" s="5" t="s">
        <v>37</v>
      </c>
      <c r="T899" t="str">
        <f>IF(Tabela1[[#This Row],[STATUS_NEGOCIO]]="Enviar E-mail",1,"")</f>
        <v/>
      </c>
      <c r="U899" t="str">
        <f>TEXT(Tabela1[[#This Row],[DATA]],"dd/mm/aaaa")</f>
        <v>22/04/2026</v>
      </c>
    </row>
    <row r="900" spans="1:21" x14ac:dyDescent="0.25">
      <c r="A900" s="4">
        <v>46134.616400462961</v>
      </c>
      <c r="B900" s="5" t="s">
        <v>19</v>
      </c>
      <c r="C900" s="5" t="s">
        <v>37</v>
      </c>
      <c r="D900" s="5">
        <v>248</v>
      </c>
      <c r="E900" s="6">
        <v>22122960000167</v>
      </c>
      <c r="F900" s="5">
        <v>248</v>
      </c>
      <c r="G900" s="7">
        <v>177688005754331</v>
      </c>
      <c r="H900" s="5" t="s">
        <v>437</v>
      </c>
      <c r="I900" s="5">
        <v>3003</v>
      </c>
      <c r="J900" s="5" t="s">
        <v>22</v>
      </c>
      <c r="K900" s="5" t="s">
        <v>23</v>
      </c>
      <c r="L900" s="5" t="s">
        <v>31</v>
      </c>
      <c r="M900" s="5" t="s">
        <v>284</v>
      </c>
      <c r="N900" s="5" t="s">
        <v>53</v>
      </c>
      <c r="O900" s="5">
        <v>128</v>
      </c>
      <c r="P900" s="5"/>
      <c r="Q900" s="5"/>
      <c r="R900" s="8">
        <v>8.1018518518518516E-5</v>
      </c>
      <c r="S900" s="5" t="s">
        <v>37</v>
      </c>
      <c r="T900" t="str">
        <f>IF(Tabela1[[#This Row],[STATUS_NEGOCIO]]="Enviar E-mail",1,"")</f>
        <v/>
      </c>
      <c r="U900" t="str">
        <f>TEXT(Tabela1[[#This Row],[DATA]],"dd/mm/aaaa")</f>
        <v>22/04/2026</v>
      </c>
    </row>
    <row r="901" spans="1:21" x14ac:dyDescent="0.25">
      <c r="A901" s="4">
        <v>46134.616423611114</v>
      </c>
      <c r="B901" s="5" t="s">
        <v>19</v>
      </c>
      <c r="C901" s="5" t="s">
        <v>37</v>
      </c>
      <c r="D901" s="5">
        <v>249</v>
      </c>
      <c r="E901" s="6">
        <v>22213087000118</v>
      </c>
      <c r="F901" s="5">
        <v>249</v>
      </c>
      <c r="G901" s="7">
        <v>177688005954341</v>
      </c>
      <c r="H901" s="5" t="s">
        <v>438</v>
      </c>
      <c r="I901" s="5">
        <v>3003</v>
      </c>
      <c r="J901" s="5" t="s">
        <v>22</v>
      </c>
      <c r="K901" s="5" t="s">
        <v>23</v>
      </c>
      <c r="L901" s="5" t="s">
        <v>31</v>
      </c>
      <c r="M901" s="5" t="s">
        <v>284</v>
      </c>
      <c r="N901" s="5" t="s">
        <v>53</v>
      </c>
      <c r="O901" s="5">
        <v>128</v>
      </c>
      <c r="P901" s="5"/>
      <c r="Q901" s="5"/>
      <c r="R901" s="8">
        <v>8.1018518518518516E-5</v>
      </c>
      <c r="S901" s="5" t="s">
        <v>37</v>
      </c>
      <c r="T901" t="str">
        <f>IF(Tabela1[[#This Row],[STATUS_NEGOCIO]]="Enviar E-mail",1,"")</f>
        <v/>
      </c>
      <c r="U901" t="str">
        <f>TEXT(Tabela1[[#This Row],[DATA]],"dd/mm/aaaa")</f>
        <v>22/04/2026</v>
      </c>
    </row>
    <row r="902" spans="1:21" x14ac:dyDescent="0.25">
      <c r="A902" s="4">
        <v>46134.616446759261</v>
      </c>
      <c r="B902" s="5" t="s">
        <v>19</v>
      </c>
      <c r="C902" s="5" t="s">
        <v>37</v>
      </c>
      <c r="D902" s="5">
        <v>252</v>
      </c>
      <c r="E902" s="6">
        <v>22843195000174</v>
      </c>
      <c r="F902" s="5">
        <v>252</v>
      </c>
      <c r="G902" s="7">
        <v>177688006154361</v>
      </c>
      <c r="H902" s="5" t="s">
        <v>160</v>
      </c>
      <c r="I902" s="5">
        <v>3003</v>
      </c>
      <c r="J902" s="5" t="s">
        <v>22</v>
      </c>
      <c r="K902" s="5" t="s">
        <v>23</v>
      </c>
      <c r="L902" s="5" t="s">
        <v>31</v>
      </c>
      <c r="M902" s="5" t="s">
        <v>284</v>
      </c>
      <c r="N902" s="5" t="s">
        <v>53</v>
      </c>
      <c r="O902" s="5">
        <v>128</v>
      </c>
      <c r="P902" s="5"/>
      <c r="Q902" s="5"/>
      <c r="R902" s="8">
        <v>8.1018518518518516E-5</v>
      </c>
      <c r="S902" s="5" t="s">
        <v>37</v>
      </c>
      <c r="T902" t="str">
        <f>IF(Tabela1[[#This Row],[STATUS_NEGOCIO]]="Enviar E-mail",1,"")</f>
        <v/>
      </c>
      <c r="U902" t="str">
        <f>TEXT(Tabela1[[#This Row],[DATA]],"dd/mm/aaaa")</f>
        <v>22/04/2026</v>
      </c>
    </row>
    <row r="903" spans="1:21" x14ac:dyDescent="0.25">
      <c r="A903" s="4">
        <v>46134.61645833333</v>
      </c>
      <c r="B903" s="5" t="s">
        <v>19</v>
      </c>
      <c r="C903" s="5" t="s">
        <v>37</v>
      </c>
      <c r="D903" s="5">
        <v>254</v>
      </c>
      <c r="E903" s="6">
        <v>23054134000190</v>
      </c>
      <c r="F903" s="5">
        <v>254</v>
      </c>
      <c r="G903" s="7">
        <v>177688006254401</v>
      </c>
      <c r="H903" s="5" t="s">
        <v>441</v>
      </c>
      <c r="I903" s="5">
        <v>3003</v>
      </c>
      <c r="J903" s="5" t="s">
        <v>22</v>
      </c>
      <c r="K903" s="5" t="s">
        <v>23</v>
      </c>
      <c r="L903" s="5" t="s">
        <v>31</v>
      </c>
      <c r="M903" s="5" t="s">
        <v>284</v>
      </c>
      <c r="N903" s="5" t="s">
        <v>26</v>
      </c>
      <c r="O903" s="5">
        <v>131</v>
      </c>
      <c r="P903" s="5"/>
      <c r="Q903" s="5"/>
      <c r="R903" s="8">
        <v>9.2592592592592588E-5</v>
      </c>
      <c r="S903" s="5" t="s">
        <v>37</v>
      </c>
      <c r="T903" t="str">
        <f>IF(Tabela1[[#This Row],[STATUS_NEGOCIO]]="Enviar E-mail",1,"")</f>
        <v/>
      </c>
      <c r="U903" t="str">
        <f>TEXT(Tabela1[[#This Row],[DATA]],"dd/mm/aaaa")</f>
        <v>22/04/2026</v>
      </c>
    </row>
    <row r="904" spans="1:21" x14ac:dyDescent="0.25">
      <c r="A904" s="4">
        <v>46134.616469907407</v>
      </c>
      <c r="B904" s="5" t="s">
        <v>19</v>
      </c>
      <c r="C904" s="5" t="s">
        <v>37</v>
      </c>
      <c r="D904" s="5">
        <v>255</v>
      </c>
      <c r="E904" s="6">
        <v>23108884000106</v>
      </c>
      <c r="F904" s="5">
        <v>255</v>
      </c>
      <c r="G904" s="7">
        <v>177688006354411</v>
      </c>
      <c r="H904" s="5" t="s">
        <v>442</v>
      </c>
      <c r="I904" s="5">
        <v>3003</v>
      </c>
      <c r="J904" s="5" t="s">
        <v>22</v>
      </c>
      <c r="K904" s="5" t="s">
        <v>23</v>
      </c>
      <c r="L904" s="5" t="s">
        <v>31</v>
      </c>
      <c r="M904" s="5" t="s">
        <v>284</v>
      </c>
      <c r="N904" s="5" t="s">
        <v>53</v>
      </c>
      <c r="O904" s="5">
        <v>128</v>
      </c>
      <c r="P904" s="5"/>
      <c r="Q904" s="5"/>
      <c r="R904" s="8">
        <v>8.1018518518518516E-5</v>
      </c>
      <c r="S904" s="5" t="s">
        <v>37</v>
      </c>
      <c r="T904" t="str">
        <f>IF(Tabela1[[#This Row],[STATUS_NEGOCIO]]="Enviar E-mail",1,"")</f>
        <v/>
      </c>
      <c r="U904" t="str">
        <f>TEXT(Tabela1[[#This Row],[DATA]],"dd/mm/aaaa")</f>
        <v>22/04/2026</v>
      </c>
    </row>
    <row r="905" spans="1:21" x14ac:dyDescent="0.25">
      <c r="A905" s="4">
        <v>46134.616493055553</v>
      </c>
      <c r="B905" s="5" t="s">
        <v>19</v>
      </c>
      <c r="C905" s="5" t="s">
        <v>37</v>
      </c>
      <c r="D905" s="5">
        <v>256</v>
      </c>
      <c r="E905" s="6">
        <v>23277156000110</v>
      </c>
      <c r="F905" s="5">
        <v>256</v>
      </c>
      <c r="G905" s="7">
        <v>177688006554421</v>
      </c>
      <c r="H905" s="5" t="s">
        <v>443</v>
      </c>
      <c r="I905" s="5">
        <v>3003</v>
      </c>
      <c r="J905" s="5" t="s">
        <v>22</v>
      </c>
      <c r="K905" s="5" t="s">
        <v>23</v>
      </c>
      <c r="L905" s="5" t="s">
        <v>31</v>
      </c>
      <c r="M905" s="5" t="s">
        <v>284</v>
      </c>
      <c r="N905" s="5" t="s">
        <v>53</v>
      </c>
      <c r="O905" s="5">
        <v>128</v>
      </c>
      <c r="P905" s="5"/>
      <c r="Q905" s="5"/>
      <c r="R905" s="8">
        <v>8.1018518518518516E-5</v>
      </c>
      <c r="S905" s="5" t="s">
        <v>37</v>
      </c>
      <c r="T905" t="str">
        <f>IF(Tabela1[[#This Row],[STATUS_NEGOCIO]]="Enviar E-mail",1,"")</f>
        <v/>
      </c>
      <c r="U905" t="str">
        <f>TEXT(Tabela1[[#This Row],[DATA]],"dd/mm/aaaa")</f>
        <v>22/04/2026</v>
      </c>
    </row>
    <row r="906" spans="1:21" x14ac:dyDescent="0.25">
      <c r="A906" s="4">
        <v>46134.616516203707</v>
      </c>
      <c r="B906" s="5" t="s">
        <v>19</v>
      </c>
      <c r="C906" s="5" t="s">
        <v>37</v>
      </c>
      <c r="D906" s="5">
        <v>258</v>
      </c>
      <c r="E906" s="6">
        <v>23391798000145</v>
      </c>
      <c r="F906" s="5">
        <v>258</v>
      </c>
      <c r="G906" s="7">
        <v>177688006754431</v>
      </c>
      <c r="H906" s="5" t="s">
        <v>221</v>
      </c>
      <c r="I906" s="5">
        <v>3003</v>
      </c>
      <c r="J906" s="5" t="s">
        <v>22</v>
      </c>
      <c r="K906" s="5" t="s">
        <v>23</v>
      </c>
      <c r="L906" s="5" t="s">
        <v>31</v>
      </c>
      <c r="M906" s="5" t="s">
        <v>284</v>
      </c>
      <c r="N906" s="5" t="s">
        <v>53</v>
      </c>
      <c r="O906" s="5">
        <v>147</v>
      </c>
      <c r="P906" s="5"/>
      <c r="Q906" s="5"/>
      <c r="R906" s="8">
        <v>8.1018518518518516E-5</v>
      </c>
      <c r="S906" s="5" t="s">
        <v>37</v>
      </c>
      <c r="T906" t="str">
        <f>IF(Tabela1[[#This Row],[STATUS_NEGOCIO]]="Enviar E-mail",1,"")</f>
        <v/>
      </c>
      <c r="U906" t="str">
        <f>TEXT(Tabela1[[#This Row],[DATA]],"dd/mm/aaaa")</f>
        <v>22/04/2026</v>
      </c>
    </row>
    <row r="907" spans="1:21" x14ac:dyDescent="0.25">
      <c r="A907" s="4">
        <v>46134.616539351853</v>
      </c>
      <c r="B907" s="5" t="s">
        <v>19</v>
      </c>
      <c r="C907" s="5" t="s">
        <v>37</v>
      </c>
      <c r="D907" s="5">
        <v>259</v>
      </c>
      <c r="E907" s="6">
        <v>23628802000146</v>
      </c>
      <c r="F907" s="5">
        <v>259</v>
      </c>
      <c r="G907" s="7">
        <v>177688006954451</v>
      </c>
      <c r="H907" s="5" t="s">
        <v>245</v>
      </c>
      <c r="I907" s="5">
        <v>3003</v>
      </c>
      <c r="J907" s="5" t="s">
        <v>22</v>
      </c>
      <c r="K907" s="5" t="s">
        <v>23</v>
      </c>
      <c r="L907" s="5" t="s">
        <v>31</v>
      </c>
      <c r="M907" s="5" t="s">
        <v>284</v>
      </c>
      <c r="N907" s="5" t="s">
        <v>53</v>
      </c>
      <c r="O907" s="5">
        <v>128</v>
      </c>
      <c r="P907" s="5"/>
      <c r="Q907" s="5"/>
      <c r="R907" s="8">
        <v>8.1018518518518516E-5</v>
      </c>
      <c r="S907" s="5" t="s">
        <v>37</v>
      </c>
      <c r="T907" t="str">
        <f>IF(Tabela1[[#This Row],[STATUS_NEGOCIO]]="Enviar E-mail",1,"")</f>
        <v/>
      </c>
      <c r="U907" t="str">
        <f>TEXT(Tabela1[[#This Row],[DATA]],"dd/mm/aaaa")</f>
        <v>22/04/2026</v>
      </c>
    </row>
    <row r="908" spans="1:21" x14ac:dyDescent="0.25">
      <c r="A908" s="4">
        <v>46134.616562499999</v>
      </c>
      <c r="B908" s="5" t="s">
        <v>19</v>
      </c>
      <c r="C908" s="5" t="s">
        <v>37</v>
      </c>
      <c r="D908" s="5">
        <v>260</v>
      </c>
      <c r="E908" s="6">
        <v>23836838000115</v>
      </c>
      <c r="F908" s="5">
        <v>260</v>
      </c>
      <c r="G908" s="7">
        <v>177688007154481</v>
      </c>
      <c r="H908" s="5" t="s">
        <v>164</v>
      </c>
      <c r="I908" s="5">
        <v>3003</v>
      </c>
      <c r="J908" s="5" t="s">
        <v>22</v>
      </c>
      <c r="K908" s="5" t="s">
        <v>23</v>
      </c>
      <c r="L908" s="5" t="s">
        <v>31</v>
      </c>
      <c r="M908" s="5" t="s">
        <v>284</v>
      </c>
      <c r="N908" s="5" t="s">
        <v>53</v>
      </c>
      <c r="O908" s="5">
        <v>128</v>
      </c>
      <c r="P908" s="5"/>
      <c r="Q908" s="5"/>
      <c r="R908" s="8">
        <v>8.1018518518518516E-5</v>
      </c>
      <c r="S908" s="5" t="s">
        <v>37</v>
      </c>
      <c r="T908" t="str">
        <f>IF(Tabela1[[#This Row],[STATUS_NEGOCIO]]="Enviar E-mail",1,"")</f>
        <v/>
      </c>
      <c r="U908" t="str">
        <f>TEXT(Tabela1[[#This Row],[DATA]],"dd/mm/aaaa")</f>
        <v>22/04/2026</v>
      </c>
    </row>
    <row r="909" spans="1:21" x14ac:dyDescent="0.25">
      <c r="A909" s="4">
        <v>46134.616585648146</v>
      </c>
      <c r="B909" s="5" t="s">
        <v>19</v>
      </c>
      <c r="C909" s="5" t="s">
        <v>37</v>
      </c>
      <c r="D909" s="5">
        <v>261</v>
      </c>
      <c r="E909" s="6">
        <v>23884500000139</v>
      </c>
      <c r="F909" s="5">
        <v>261</v>
      </c>
      <c r="G909" s="7">
        <v>177688007354541</v>
      </c>
      <c r="H909" s="5" t="s">
        <v>47</v>
      </c>
      <c r="I909" s="5">
        <v>3003</v>
      </c>
      <c r="J909" s="5" t="s">
        <v>22</v>
      </c>
      <c r="K909" s="5" t="s">
        <v>23</v>
      </c>
      <c r="L909" s="5" t="s">
        <v>31</v>
      </c>
      <c r="M909" s="5" t="s">
        <v>284</v>
      </c>
      <c r="N909" s="5" t="s">
        <v>53</v>
      </c>
      <c r="O909" s="5">
        <v>128</v>
      </c>
      <c r="P909" s="5"/>
      <c r="Q909" s="5"/>
      <c r="R909" s="8">
        <v>6.9444444444444444E-5</v>
      </c>
      <c r="S909" s="5" t="s">
        <v>37</v>
      </c>
      <c r="T909" t="str">
        <f>IF(Tabela1[[#This Row],[STATUS_NEGOCIO]]="Enviar E-mail",1,"")</f>
        <v/>
      </c>
      <c r="U909" t="str">
        <f>TEXT(Tabela1[[#This Row],[DATA]],"dd/mm/aaaa")</f>
        <v>22/04/2026</v>
      </c>
    </row>
    <row r="910" spans="1:21" x14ac:dyDescent="0.25">
      <c r="A910" s="4">
        <v>46134.616608796299</v>
      </c>
      <c r="B910" s="5" t="s">
        <v>19</v>
      </c>
      <c r="C910" s="5" t="s">
        <v>37</v>
      </c>
      <c r="D910" s="5">
        <v>262</v>
      </c>
      <c r="E910" s="6">
        <v>24021427000134</v>
      </c>
      <c r="F910" s="5">
        <v>262</v>
      </c>
      <c r="G910" s="7">
        <v>177688007554561</v>
      </c>
      <c r="H910" s="5" t="s">
        <v>444</v>
      </c>
      <c r="I910" s="5">
        <v>3003</v>
      </c>
      <c r="J910" s="5" t="s">
        <v>22</v>
      </c>
      <c r="K910" s="5" t="s">
        <v>23</v>
      </c>
      <c r="L910" s="5" t="s">
        <v>31</v>
      </c>
      <c r="M910" s="5" t="s">
        <v>284</v>
      </c>
      <c r="N910" s="5" t="s">
        <v>53</v>
      </c>
      <c r="O910" s="5">
        <v>128</v>
      </c>
      <c r="P910" s="5"/>
      <c r="Q910" s="5"/>
      <c r="R910" s="8">
        <v>8.1018518518518516E-5</v>
      </c>
      <c r="S910" s="5" t="s">
        <v>37</v>
      </c>
      <c r="T910" t="str">
        <f>IF(Tabela1[[#This Row],[STATUS_NEGOCIO]]="Enviar E-mail",1,"")</f>
        <v/>
      </c>
      <c r="U910" t="str">
        <f>TEXT(Tabela1[[#This Row],[DATA]],"dd/mm/aaaa")</f>
        <v>22/04/2026</v>
      </c>
    </row>
    <row r="911" spans="1:21" x14ac:dyDescent="0.25">
      <c r="A911" s="4">
        <v>46134.616631944446</v>
      </c>
      <c r="B911" s="5" t="s">
        <v>19</v>
      </c>
      <c r="C911" s="5" t="s">
        <v>37</v>
      </c>
      <c r="D911" s="5">
        <v>263</v>
      </c>
      <c r="E911" s="6">
        <v>24265410000122</v>
      </c>
      <c r="F911" s="5">
        <v>263</v>
      </c>
      <c r="G911" s="7">
        <v>177688007754581</v>
      </c>
      <c r="H911" s="5" t="s">
        <v>55</v>
      </c>
      <c r="I911" s="5">
        <v>3003</v>
      </c>
      <c r="J911" s="5" t="s">
        <v>22</v>
      </c>
      <c r="K911" s="5" t="s">
        <v>23</v>
      </c>
      <c r="L911" s="5" t="s">
        <v>31</v>
      </c>
      <c r="M911" s="5" t="s">
        <v>284</v>
      </c>
      <c r="N911" s="5" t="s">
        <v>53</v>
      </c>
      <c r="O911" s="5">
        <v>128</v>
      </c>
      <c r="P911" s="5"/>
      <c r="Q911" s="5"/>
      <c r="R911" s="8">
        <v>8.1018518518518516E-5</v>
      </c>
      <c r="S911" s="5" t="s">
        <v>37</v>
      </c>
      <c r="T911" t="str">
        <f>IF(Tabela1[[#This Row],[STATUS_NEGOCIO]]="Enviar E-mail",1,"")</f>
        <v/>
      </c>
      <c r="U911" t="str">
        <f>TEXT(Tabela1[[#This Row],[DATA]],"dd/mm/aaaa")</f>
        <v>22/04/2026</v>
      </c>
    </row>
    <row r="912" spans="1:21" x14ac:dyDescent="0.25">
      <c r="A912" s="4">
        <v>46134.616655092592</v>
      </c>
      <c r="B912" s="5" t="s">
        <v>19</v>
      </c>
      <c r="C912" s="5" t="s">
        <v>37</v>
      </c>
      <c r="D912" s="5">
        <v>264</v>
      </c>
      <c r="E912" s="6">
        <v>24323383000105</v>
      </c>
      <c r="F912" s="5">
        <v>264</v>
      </c>
      <c r="G912" s="7">
        <v>177688007954611</v>
      </c>
      <c r="H912" s="5" t="s">
        <v>271</v>
      </c>
      <c r="I912" s="5">
        <v>3003</v>
      </c>
      <c r="J912" s="5" t="s">
        <v>22</v>
      </c>
      <c r="K912" s="5" t="s">
        <v>23</v>
      </c>
      <c r="L912" s="5" t="s">
        <v>31</v>
      </c>
      <c r="M912" s="5" t="s">
        <v>284</v>
      </c>
      <c r="N912" s="5" t="s">
        <v>53</v>
      </c>
      <c r="O912" s="5">
        <v>128</v>
      </c>
      <c r="P912" s="5"/>
      <c r="Q912" s="5"/>
      <c r="R912" s="8">
        <v>6.9444444444444444E-5</v>
      </c>
      <c r="S912" s="5" t="s">
        <v>37</v>
      </c>
      <c r="T912" t="str">
        <f>IF(Tabela1[[#This Row],[STATUS_NEGOCIO]]="Enviar E-mail",1,"")</f>
        <v/>
      </c>
      <c r="U912" t="str">
        <f>TEXT(Tabela1[[#This Row],[DATA]],"dd/mm/aaaa")</f>
        <v>22/04/2026</v>
      </c>
    </row>
    <row r="913" spans="1:21" x14ac:dyDescent="0.25">
      <c r="A913" s="4">
        <v>46134.616666666669</v>
      </c>
      <c r="B913" s="5" t="s">
        <v>19</v>
      </c>
      <c r="C913" s="5" t="s">
        <v>37</v>
      </c>
      <c r="D913" s="5">
        <v>265</v>
      </c>
      <c r="E913" s="6">
        <v>24373917000108</v>
      </c>
      <c r="F913" s="5">
        <v>265</v>
      </c>
      <c r="G913" s="7">
        <v>177688008054651</v>
      </c>
      <c r="H913" s="5" t="s">
        <v>445</v>
      </c>
      <c r="I913" s="5">
        <v>3003</v>
      </c>
      <c r="J913" s="5" t="s">
        <v>22</v>
      </c>
      <c r="K913" s="5" t="s">
        <v>23</v>
      </c>
      <c r="L913" s="5" t="s">
        <v>31</v>
      </c>
      <c r="M913" s="5" t="s">
        <v>284</v>
      </c>
      <c r="N913" s="5" t="s">
        <v>53</v>
      </c>
      <c r="O913" s="5">
        <v>128</v>
      </c>
      <c r="P913" s="5"/>
      <c r="Q913" s="5"/>
      <c r="R913" s="8">
        <v>6.9444444444444444E-5</v>
      </c>
      <c r="S913" s="5" t="s">
        <v>37</v>
      </c>
      <c r="T913" t="str">
        <f>IF(Tabela1[[#This Row],[STATUS_NEGOCIO]]="Enviar E-mail",1,"")</f>
        <v/>
      </c>
      <c r="U913" t="str">
        <f>TEXT(Tabela1[[#This Row],[DATA]],"dd/mm/aaaa")</f>
        <v>22/04/2026</v>
      </c>
    </row>
    <row r="914" spans="1:21" x14ac:dyDescent="0.25">
      <c r="A914" s="4">
        <v>46134.616689814815</v>
      </c>
      <c r="B914" s="5" t="s">
        <v>19</v>
      </c>
      <c r="C914" s="5" t="s">
        <v>37</v>
      </c>
      <c r="D914" s="5">
        <v>266</v>
      </c>
      <c r="E914" s="6">
        <v>24415773000105</v>
      </c>
      <c r="F914" s="5">
        <v>266</v>
      </c>
      <c r="G914" s="7">
        <v>177688008254671</v>
      </c>
      <c r="H914" s="5" t="s">
        <v>446</v>
      </c>
      <c r="I914" s="5">
        <v>3003</v>
      </c>
      <c r="J914" s="5" t="s">
        <v>22</v>
      </c>
      <c r="K914" s="5" t="s">
        <v>23</v>
      </c>
      <c r="L914" s="5" t="s">
        <v>31</v>
      </c>
      <c r="M914" s="5" t="s">
        <v>284</v>
      </c>
      <c r="N914" s="5" t="s">
        <v>53</v>
      </c>
      <c r="O914" s="5">
        <v>128</v>
      </c>
      <c r="P914" s="5"/>
      <c r="Q914" s="5"/>
      <c r="R914" s="8">
        <v>8.1018518518518516E-5</v>
      </c>
      <c r="S914" s="5" t="s">
        <v>37</v>
      </c>
      <c r="T914" t="str">
        <f>IF(Tabela1[[#This Row],[STATUS_NEGOCIO]]="Enviar E-mail",1,"")</f>
        <v/>
      </c>
      <c r="U914" t="str">
        <f>TEXT(Tabela1[[#This Row],[DATA]],"dd/mm/aaaa")</f>
        <v>22/04/2026</v>
      </c>
    </row>
    <row r="915" spans="1:21" x14ac:dyDescent="0.25">
      <c r="A915" s="4">
        <v>46134.616712962961</v>
      </c>
      <c r="B915" s="5" t="s">
        <v>19</v>
      </c>
      <c r="C915" s="5" t="s">
        <v>37</v>
      </c>
      <c r="D915" s="5">
        <v>267</v>
      </c>
      <c r="E915" s="6">
        <v>24569455000190</v>
      </c>
      <c r="F915" s="5">
        <v>267</v>
      </c>
      <c r="G915" s="7">
        <v>177688008454691</v>
      </c>
      <c r="H915" s="5" t="s">
        <v>447</v>
      </c>
      <c r="I915" s="5">
        <v>3003</v>
      </c>
      <c r="J915" s="5" t="s">
        <v>22</v>
      </c>
      <c r="K915" s="5" t="s">
        <v>23</v>
      </c>
      <c r="L915" s="5" t="s">
        <v>31</v>
      </c>
      <c r="M915" s="5" t="s">
        <v>284</v>
      </c>
      <c r="N915" s="5" t="s">
        <v>53</v>
      </c>
      <c r="O915" s="5">
        <v>128</v>
      </c>
      <c r="P915" s="5"/>
      <c r="Q915" s="5"/>
      <c r="R915" s="8">
        <v>8.1018518518518516E-5</v>
      </c>
      <c r="S915" s="5" t="s">
        <v>37</v>
      </c>
      <c r="T915" t="str">
        <f>IF(Tabela1[[#This Row],[STATUS_NEGOCIO]]="Enviar E-mail",1,"")</f>
        <v/>
      </c>
      <c r="U915" t="str">
        <f>TEXT(Tabela1[[#This Row],[DATA]],"dd/mm/aaaa")</f>
        <v>22/04/2026</v>
      </c>
    </row>
    <row r="916" spans="1:21" x14ac:dyDescent="0.25">
      <c r="A916" s="4">
        <v>46134.616736111115</v>
      </c>
      <c r="B916" s="5" t="s">
        <v>19</v>
      </c>
      <c r="C916" s="5" t="s">
        <v>37</v>
      </c>
      <c r="D916" s="5">
        <v>268</v>
      </c>
      <c r="E916" s="6">
        <v>24583913000146</v>
      </c>
      <c r="F916" s="5">
        <v>268</v>
      </c>
      <c r="G916" s="7">
        <v>177688008654701</v>
      </c>
      <c r="H916" s="5" t="s">
        <v>65</v>
      </c>
      <c r="I916" s="5" t="s">
        <v>52</v>
      </c>
      <c r="J916" s="5" t="s">
        <v>22</v>
      </c>
      <c r="K916" s="5" t="s">
        <v>62</v>
      </c>
      <c r="L916" s="5" t="s">
        <v>62</v>
      </c>
      <c r="M916" s="5" t="s">
        <v>284</v>
      </c>
      <c r="N916" s="5" t="s">
        <v>53</v>
      </c>
      <c r="O916" s="5">
        <v>17</v>
      </c>
      <c r="P916" s="5"/>
      <c r="Q916" s="5"/>
      <c r="R916" s="8">
        <v>0</v>
      </c>
      <c r="S916" s="5" t="s">
        <v>37</v>
      </c>
      <c r="T916" t="str">
        <f>IF(Tabela1[[#This Row],[STATUS_NEGOCIO]]="Enviar E-mail",1,"")</f>
        <v/>
      </c>
      <c r="U916" t="str">
        <f>TEXT(Tabela1[[#This Row],[DATA]],"dd/mm/aaaa")</f>
        <v>22/04/2026</v>
      </c>
    </row>
    <row r="917" spans="1:21" x14ac:dyDescent="0.25">
      <c r="A917" s="4">
        <v>46134.616759259261</v>
      </c>
      <c r="B917" s="5" t="s">
        <v>19</v>
      </c>
      <c r="C917" s="5" t="s">
        <v>37</v>
      </c>
      <c r="D917" s="5">
        <v>269</v>
      </c>
      <c r="E917" s="6">
        <v>25344452000111</v>
      </c>
      <c r="F917" s="5">
        <v>269</v>
      </c>
      <c r="G917" s="7">
        <v>177688008854711</v>
      </c>
      <c r="H917" s="5" t="s">
        <v>206</v>
      </c>
      <c r="I917" s="5">
        <v>3003</v>
      </c>
      <c r="J917" s="5" t="s">
        <v>22</v>
      </c>
      <c r="K917" s="5" t="s">
        <v>23</v>
      </c>
      <c r="L917" s="5" t="s">
        <v>31</v>
      </c>
      <c r="M917" s="5" t="s">
        <v>284</v>
      </c>
      <c r="N917" s="5" t="s">
        <v>53</v>
      </c>
      <c r="O917" s="5">
        <v>128</v>
      </c>
      <c r="P917" s="5"/>
      <c r="Q917" s="5"/>
      <c r="R917" s="8">
        <v>8.1018518518518516E-5</v>
      </c>
      <c r="S917" s="5" t="s">
        <v>37</v>
      </c>
      <c r="T917" t="str">
        <f>IF(Tabela1[[#This Row],[STATUS_NEGOCIO]]="Enviar E-mail",1,"")</f>
        <v/>
      </c>
      <c r="U917" t="str">
        <f>TEXT(Tabela1[[#This Row],[DATA]],"dd/mm/aaaa")</f>
        <v>22/04/2026</v>
      </c>
    </row>
    <row r="918" spans="1:21" x14ac:dyDescent="0.25">
      <c r="A918" s="4">
        <v>46134.616782407407</v>
      </c>
      <c r="B918" s="5" t="s">
        <v>19</v>
      </c>
      <c r="C918" s="5" t="s">
        <v>37</v>
      </c>
      <c r="D918" s="5">
        <v>270</v>
      </c>
      <c r="E918" s="6">
        <v>25404835000138</v>
      </c>
      <c r="F918" s="5">
        <v>270</v>
      </c>
      <c r="G918" s="7">
        <v>177688009054731</v>
      </c>
      <c r="H918" s="5" t="s">
        <v>233</v>
      </c>
      <c r="I918" s="5">
        <v>3003</v>
      </c>
      <c r="J918" s="5" t="s">
        <v>22</v>
      </c>
      <c r="K918" s="5" t="s">
        <v>23</v>
      </c>
      <c r="L918" s="5" t="s">
        <v>31</v>
      </c>
      <c r="M918" s="5" t="s">
        <v>284</v>
      </c>
      <c r="N918" s="5" t="s">
        <v>53</v>
      </c>
      <c r="O918" s="5">
        <v>128</v>
      </c>
      <c r="P918" s="5"/>
      <c r="Q918" s="5"/>
      <c r="R918" s="8">
        <v>8.1018518518518516E-5</v>
      </c>
      <c r="S918" s="5" t="s">
        <v>37</v>
      </c>
      <c r="T918" t="str">
        <f>IF(Tabela1[[#This Row],[STATUS_NEGOCIO]]="Enviar E-mail",1,"")</f>
        <v/>
      </c>
      <c r="U918" t="str">
        <f>TEXT(Tabela1[[#This Row],[DATA]],"dd/mm/aaaa")</f>
        <v>22/04/2026</v>
      </c>
    </row>
    <row r="919" spans="1:21" x14ac:dyDescent="0.25">
      <c r="A919" s="4">
        <v>46134.61681712963</v>
      </c>
      <c r="B919" s="5" t="s">
        <v>19</v>
      </c>
      <c r="C919" s="5" t="s">
        <v>37</v>
      </c>
      <c r="D919" s="5">
        <v>271</v>
      </c>
      <c r="E919" s="6">
        <v>25405605000193</v>
      </c>
      <c r="F919" s="5">
        <v>271</v>
      </c>
      <c r="G919" s="7">
        <v>177688009354751</v>
      </c>
      <c r="H919" s="5" t="s">
        <v>448</v>
      </c>
      <c r="I919" s="5">
        <v>3003</v>
      </c>
      <c r="J919" s="5" t="s">
        <v>22</v>
      </c>
      <c r="K919" s="5" t="s">
        <v>23</v>
      </c>
      <c r="L919" s="5" t="s">
        <v>31</v>
      </c>
      <c r="M919" s="5" t="s">
        <v>284</v>
      </c>
      <c r="N919" s="5" t="s">
        <v>53</v>
      </c>
      <c r="O919" s="5">
        <v>128</v>
      </c>
      <c r="P919" s="5"/>
      <c r="Q919" s="5"/>
      <c r="R919" s="8">
        <v>6.9444444444444444E-5</v>
      </c>
      <c r="S919" s="5" t="s">
        <v>37</v>
      </c>
      <c r="T919" t="str">
        <f>IF(Tabela1[[#This Row],[STATUS_NEGOCIO]]="Enviar E-mail",1,"")</f>
        <v/>
      </c>
      <c r="U919" t="str">
        <f>TEXT(Tabela1[[#This Row],[DATA]],"dd/mm/aaaa")</f>
        <v>22/04/2026</v>
      </c>
    </row>
    <row r="920" spans="1:21" x14ac:dyDescent="0.25">
      <c r="A920" s="4">
        <v>46134.616840277777</v>
      </c>
      <c r="B920" s="5" t="s">
        <v>19</v>
      </c>
      <c r="C920" s="5" t="s">
        <v>37</v>
      </c>
      <c r="D920" s="5">
        <v>272</v>
      </c>
      <c r="E920" s="6">
        <v>26054449000126</v>
      </c>
      <c r="F920" s="5">
        <v>272</v>
      </c>
      <c r="G920" s="7">
        <v>177688009554761</v>
      </c>
      <c r="H920" s="5" t="s">
        <v>449</v>
      </c>
      <c r="I920" s="5">
        <v>3003</v>
      </c>
      <c r="J920" s="5" t="s">
        <v>22</v>
      </c>
      <c r="K920" s="5" t="s">
        <v>23</v>
      </c>
      <c r="L920" s="5" t="s">
        <v>31</v>
      </c>
      <c r="M920" s="5" t="s">
        <v>284</v>
      </c>
      <c r="N920" s="5" t="s">
        <v>53</v>
      </c>
      <c r="O920" s="5">
        <v>128</v>
      </c>
      <c r="P920" s="5"/>
      <c r="Q920" s="5"/>
      <c r="R920" s="8">
        <v>8.1018518518518516E-5</v>
      </c>
      <c r="S920" s="5" t="s">
        <v>37</v>
      </c>
      <c r="T920" t="str">
        <f>IF(Tabela1[[#This Row],[STATUS_NEGOCIO]]="Enviar E-mail",1,"")</f>
        <v/>
      </c>
      <c r="U920" t="str">
        <f>TEXT(Tabela1[[#This Row],[DATA]],"dd/mm/aaaa")</f>
        <v>22/04/2026</v>
      </c>
    </row>
    <row r="921" spans="1:21" x14ac:dyDescent="0.25">
      <c r="A921" s="4">
        <v>46134.616863425923</v>
      </c>
      <c r="B921" s="5" t="s">
        <v>19</v>
      </c>
      <c r="C921" s="5" t="s">
        <v>37</v>
      </c>
      <c r="D921" s="5">
        <v>273</v>
      </c>
      <c r="E921" s="6">
        <v>26181076000154</v>
      </c>
      <c r="F921" s="5">
        <v>273</v>
      </c>
      <c r="G921" s="7">
        <v>177688009754771</v>
      </c>
      <c r="H921" s="5" t="s">
        <v>88</v>
      </c>
      <c r="I921" s="5">
        <v>3003</v>
      </c>
      <c r="J921" s="5" t="s">
        <v>22</v>
      </c>
      <c r="K921" s="5" t="s">
        <v>23</v>
      </c>
      <c r="L921" s="5" t="s">
        <v>31</v>
      </c>
      <c r="M921" s="5" t="s">
        <v>284</v>
      </c>
      <c r="N921" s="5" t="s">
        <v>53</v>
      </c>
      <c r="O921" s="5">
        <v>128</v>
      </c>
      <c r="P921" s="5"/>
      <c r="Q921" s="5"/>
      <c r="R921" s="8">
        <v>8.1018518518518516E-5</v>
      </c>
      <c r="S921" s="5" t="s">
        <v>37</v>
      </c>
      <c r="T921" t="str">
        <f>IF(Tabela1[[#This Row],[STATUS_NEGOCIO]]="Enviar E-mail",1,"")</f>
        <v/>
      </c>
      <c r="U921" t="str">
        <f>TEXT(Tabela1[[#This Row],[DATA]],"dd/mm/aaaa")</f>
        <v>22/04/2026</v>
      </c>
    </row>
    <row r="922" spans="1:21" x14ac:dyDescent="0.25">
      <c r="A922" s="4">
        <v>46134.616886574076</v>
      </c>
      <c r="B922" s="5" t="s">
        <v>19</v>
      </c>
      <c r="C922" s="5" t="s">
        <v>37</v>
      </c>
      <c r="D922" s="5">
        <v>274</v>
      </c>
      <c r="E922" s="6">
        <v>26185307000106</v>
      </c>
      <c r="F922" s="5">
        <v>274</v>
      </c>
      <c r="G922" s="7">
        <v>177688009954781</v>
      </c>
      <c r="H922" s="5" t="s">
        <v>450</v>
      </c>
      <c r="I922" s="5">
        <v>3003</v>
      </c>
      <c r="J922" s="5" t="s">
        <v>22</v>
      </c>
      <c r="K922" s="5" t="s">
        <v>23</v>
      </c>
      <c r="L922" s="5" t="s">
        <v>31</v>
      </c>
      <c r="M922" s="5" t="s">
        <v>284</v>
      </c>
      <c r="N922" s="5" t="s">
        <v>53</v>
      </c>
      <c r="O922" s="5">
        <v>128</v>
      </c>
      <c r="P922" s="5"/>
      <c r="Q922" s="5"/>
      <c r="R922" s="8">
        <v>6.9444444444444444E-5</v>
      </c>
      <c r="S922" s="5" t="s">
        <v>37</v>
      </c>
      <c r="T922" t="str">
        <f>IF(Tabela1[[#This Row],[STATUS_NEGOCIO]]="Enviar E-mail",1,"")</f>
        <v/>
      </c>
      <c r="U922" t="str">
        <f>TEXT(Tabela1[[#This Row],[DATA]],"dd/mm/aaaa")</f>
        <v>22/04/2026</v>
      </c>
    </row>
    <row r="923" spans="1:21" x14ac:dyDescent="0.25">
      <c r="A923" s="4">
        <v>46134.616909722223</v>
      </c>
      <c r="B923" s="5" t="s">
        <v>19</v>
      </c>
      <c r="C923" s="5" t="s">
        <v>37</v>
      </c>
      <c r="D923" s="5">
        <v>275</v>
      </c>
      <c r="E923" s="6">
        <v>26252435000117</v>
      </c>
      <c r="F923" s="5">
        <v>275</v>
      </c>
      <c r="G923" s="7">
        <v>177688010154821</v>
      </c>
      <c r="H923" s="5" t="s">
        <v>451</v>
      </c>
      <c r="I923" s="5">
        <v>3003</v>
      </c>
      <c r="J923" s="5" t="s">
        <v>22</v>
      </c>
      <c r="K923" s="5" t="s">
        <v>23</v>
      </c>
      <c r="L923" s="5" t="s">
        <v>31</v>
      </c>
      <c r="M923" s="5" t="s">
        <v>284</v>
      </c>
      <c r="N923" s="5" t="s">
        <v>53</v>
      </c>
      <c r="O923" s="5">
        <v>147</v>
      </c>
      <c r="P923" s="5"/>
      <c r="Q923" s="5"/>
      <c r="R923" s="8">
        <v>8.1018518518518516E-5</v>
      </c>
      <c r="S923" s="5" t="s">
        <v>37</v>
      </c>
      <c r="T923" t="str">
        <f>IF(Tabela1[[#This Row],[STATUS_NEGOCIO]]="Enviar E-mail",1,"")</f>
        <v/>
      </c>
      <c r="U923" t="str">
        <f>TEXT(Tabela1[[#This Row],[DATA]],"dd/mm/aaaa")</f>
        <v>22/04/2026</v>
      </c>
    </row>
    <row r="924" spans="1:21" x14ac:dyDescent="0.25">
      <c r="A924" s="4">
        <v>46134.616932870369</v>
      </c>
      <c r="B924" s="5" t="s">
        <v>19</v>
      </c>
      <c r="C924" s="5" t="s">
        <v>37</v>
      </c>
      <c r="D924" s="5">
        <v>276</v>
      </c>
      <c r="E924" s="6">
        <v>26295622000188</v>
      </c>
      <c r="F924" s="5">
        <v>276</v>
      </c>
      <c r="G924" s="7">
        <v>177688010354841</v>
      </c>
      <c r="H924" s="5" t="s">
        <v>63</v>
      </c>
      <c r="I924" s="5">
        <v>3003</v>
      </c>
      <c r="J924" s="5" t="s">
        <v>22</v>
      </c>
      <c r="K924" s="5" t="s">
        <v>23</v>
      </c>
      <c r="L924" s="5" t="s">
        <v>31</v>
      </c>
      <c r="M924" s="5" t="s">
        <v>284</v>
      </c>
      <c r="N924" s="5" t="s">
        <v>53</v>
      </c>
      <c r="O924" s="5">
        <v>128</v>
      </c>
      <c r="P924" s="5"/>
      <c r="Q924" s="5"/>
      <c r="R924" s="8">
        <v>3.4722222222222222E-5</v>
      </c>
      <c r="S924" s="5" t="s">
        <v>37</v>
      </c>
      <c r="T924" t="str">
        <f>IF(Tabela1[[#This Row],[STATUS_NEGOCIO]]="Enviar E-mail",1,"")</f>
        <v/>
      </c>
      <c r="U924" t="str">
        <f>TEXT(Tabela1[[#This Row],[DATA]],"dd/mm/aaaa")</f>
        <v>22/04/2026</v>
      </c>
    </row>
    <row r="925" spans="1:21" x14ac:dyDescent="0.25">
      <c r="A925" s="4">
        <v>46134.616956018515</v>
      </c>
      <c r="B925" s="5" t="s">
        <v>19</v>
      </c>
      <c r="C925" s="5" t="s">
        <v>37</v>
      </c>
      <c r="D925" s="5">
        <v>277</v>
      </c>
      <c r="E925" s="6">
        <v>26344541000120</v>
      </c>
      <c r="F925" s="5">
        <v>277</v>
      </c>
      <c r="G925" s="7">
        <v>177688010554861</v>
      </c>
      <c r="H925" s="5" t="s">
        <v>452</v>
      </c>
      <c r="I925" s="5" t="s">
        <v>52</v>
      </c>
      <c r="J925" s="5" t="s">
        <v>22</v>
      </c>
      <c r="K925" s="5" t="s">
        <v>36</v>
      </c>
      <c r="L925" s="5" t="s">
        <v>36</v>
      </c>
      <c r="M925" s="5" t="s">
        <v>284</v>
      </c>
      <c r="N925" s="5" t="s">
        <v>53</v>
      </c>
      <c r="O925" s="5">
        <v>19</v>
      </c>
      <c r="P925" s="5"/>
      <c r="Q925" s="5"/>
      <c r="R925" s="8">
        <v>0</v>
      </c>
      <c r="S925" s="5" t="s">
        <v>37</v>
      </c>
      <c r="T925" t="str">
        <f>IF(Tabela1[[#This Row],[STATUS_NEGOCIO]]="Enviar E-mail",1,"")</f>
        <v/>
      </c>
      <c r="U925" t="str">
        <f>TEXT(Tabela1[[#This Row],[DATA]],"dd/mm/aaaa")</f>
        <v>22/04/2026</v>
      </c>
    </row>
    <row r="926" spans="1:21" x14ac:dyDescent="0.25">
      <c r="A926" s="4">
        <v>46134.616979166669</v>
      </c>
      <c r="B926" s="5" t="s">
        <v>19</v>
      </c>
      <c r="C926" s="5" t="s">
        <v>37</v>
      </c>
      <c r="D926" s="5">
        <v>278</v>
      </c>
      <c r="E926" s="6">
        <v>26350061000172</v>
      </c>
      <c r="F926" s="5">
        <v>278</v>
      </c>
      <c r="G926" s="7">
        <v>177688010754871</v>
      </c>
      <c r="H926" s="5" t="s">
        <v>453</v>
      </c>
      <c r="I926" s="5">
        <v>3003</v>
      </c>
      <c r="J926" s="5" t="s">
        <v>22</v>
      </c>
      <c r="K926" s="5" t="s">
        <v>23</v>
      </c>
      <c r="L926" s="5" t="s">
        <v>31</v>
      </c>
      <c r="M926" s="5" t="s">
        <v>284</v>
      </c>
      <c r="N926" s="5" t="s">
        <v>53</v>
      </c>
      <c r="O926" s="5">
        <v>128</v>
      </c>
      <c r="P926" s="5"/>
      <c r="Q926" s="5"/>
      <c r="R926" s="8">
        <v>8.1018518518518516E-5</v>
      </c>
      <c r="S926" s="5" t="s">
        <v>37</v>
      </c>
      <c r="T926" t="str">
        <f>IF(Tabela1[[#This Row],[STATUS_NEGOCIO]]="Enviar E-mail",1,"")</f>
        <v/>
      </c>
      <c r="U926" t="str">
        <f>TEXT(Tabela1[[#This Row],[DATA]],"dd/mm/aaaa")</f>
        <v>22/04/2026</v>
      </c>
    </row>
    <row r="927" spans="1:21" x14ac:dyDescent="0.25">
      <c r="A927" s="4">
        <v>46134.617002314815</v>
      </c>
      <c r="B927" s="5" t="s">
        <v>19</v>
      </c>
      <c r="C927" s="5" t="s">
        <v>37</v>
      </c>
      <c r="D927" s="5">
        <v>279</v>
      </c>
      <c r="E927" s="6">
        <v>26401298000135</v>
      </c>
      <c r="F927" s="5">
        <v>279</v>
      </c>
      <c r="G927" s="7">
        <v>177688010954891</v>
      </c>
      <c r="H927" s="5" t="s">
        <v>218</v>
      </c>
      <c r="I927" s="5">
        <v>3003</v>
      </c>
      <c r="J927" s="5" t="s">
        <v>22</v>
      </c>
      <c r="K927" s="5" t="s">
        <v>23</v>
      </c>
      <c r="L927" s="5" t="s">
        <v>31</v>
      </c>
      <c r="M927" s="5" t="s">
        <v>284</v>
      </c>
      <c r="N927" s="5" t="s">
        <v>53</v>
      </c>
      <c r="O927" s="5">
        <v>128</v>
      </c>
      <c r="P927" s="5"/>
      <c r="Q927" s="5"/>
      <c r="R927" s="8">
        <v>8.1018518518518516E-5</v>
      </c>
      <c r="S927" s="5" t="s">
        <v>37</v>
      </c>
      <c r="T927" t="str">
        <f>IF(Tabela1[[#This Row],[STATUS_NEGOCIO]]="Enviar E-mail",1,"")</f>
        <v/>
      </c>
      <c r="U927" t="str">
        <f>TEXT(Tabela1[[#This Row],[DATA]],"dd/mm/aaaa")</f>
        <v>22/04/2026</v>
      </c>
    </row>
    <row r="928" spans="1:21" x14ac:dyDescent="0.25">
      <c r="A928" s="4">
        <v>46134.617025462961</v>
      </c>
      <c r="B928" s="5" t="s">
        <v>19</v>
      </c>
      <c r="C928" s="5" t="s">
        <v>37</v>
      </c>
      <c r="D928" s="5">
        <v>280</v>
      </c>
      <c r="E928" s="6">
        <v>26419801000180</v>
      </c>
      <c r="F928" s="5">
        <v>280</v>
      </c>
      <c r="G928" s="7">
        <v>177688011154921</v>
      </c>
      <c r="H928" s="5" t="s">
        <v>142</v>
      </c>
      <c r="I928" s="5">
        <v>3003</v>
      </c>
      <c r="J928" s="5" t="s">
        <v>22</v>
      </c>
      <c r="K928" s="5" t="s">
        <v>23</v>
      </c>
      <c r="L928" s="5" t="s">
        <v>31</v>
      </c>
      <c r="M928" s="5" t="s">
        <v>284</v>
      </c>
      <c r="N928" s="5" t="s">
        <v>53</v>
      </c>
      <c r="O928" s="5">
        <v>128</v>
      </c>
      <c r="P928" s="5"/>
      <c r="Q928" s="5"/>
      <c r="R928" s="8">
        <v>6.9444444444444444E-5</v>
      </c>
      <c r="S928" s="5" t="s">
        <v>37</v>
      </c>
      <c r="T928" t="str">
        <f>IF(Tabela1[[#This Row],[STATUS_NEGOCIO]]="Enviar E-mail",1,"")</f>
        <v/>
      </c>
      <c r="U928" t="str">
        <f>TEXT(Tabela1[[#This Row],[DATA]],"dd/mm/aaaa")</f>
        <v>22/04/2026</v>
      </c>
    </row>
    <row r="929" spans="1:21" x14ac:dyDescent="0.25">
      <c r="A929" s="4">
        <v>46134.617048611108</v>
      </c>
      <c r="B929" s="5" t="s">
        <v>19</v>
      </c>
      <c r="C929" s="5" t="s">
        <v>37</v>
      </c>
      <c r="D929" s="5">
        <v>281</v>
      </c>
      <c r="E929" s="6">
        <v>26596537000150</v>
      </c>
      <c r="F929" s="5">
        <v>281</v>
      </c>
      <c r="G929" s="7">
        <v>177688011354941</v>
      </c>
      <c r="H929" s="5" t="s">
        <v>454</v>
      </c>
      <c r="I929" s="5">
        <v>3003</v>
      </c>
      <c r="J929" s="5" t="s">
        <v>22</v>
      </c>
      <c r="K929" s="5" t="s">
        <v>23</v>
      </c>
      <c r="L929" s="5" t="s">
        <v>31</v>
      </c>
      <c r="M929" s="5" t="s">
        <v>284</v>
      </c>
      <c r="N929" s="5" t="s">
        <v>53</v>
      </c>
      <c r="O929" s="5">
        <v>128</v>
      </c>
      <c r="P929" s="5"/>
      <c r="Q929" s="5"/>
      <c r="R929" s="8">
        <v>8.1018518518518516E-5</v>
      </c>
      <c r="S929" s="5" t="s">
        <v>37</v>
      </c>
      <c r="T929" t="str">
        <f>IF(Tabela1[[#This Row],[STATUS_NEGOCIO]]="Enviar E-mail",1,"")</f>
        <v/>
      </c>
      <c r="U929" t="str">
        <f>TEXT(Tabela1[[#This Row],[DATA]],"dd/mm/aaaa")</f>
        <v>22/04/2026</v>
      </c>
    </row>
    <row r="930" spans="1:21" x14ac:dyDescent="0.25">
      <c r="A930" s="4">
        <v>46134.617071759261</v>
      </c>
      <c r="B930" s="5" t="s">
        <v>19</v>
      </c>
      <c r="C930" s="5" t="s">
        <v>37</v>
      </c>
      <c r="D930" s="5">
        <v>282</v>
      </c>
      <c r="E930" s="6">
        <v>26753972000140</v>
      </c>
      <c r="F930" s="5">
        <v>282</v>
      </c>
      <c r="G930" s="7">
        <v>177688011554981</v>
      </c>
      <c r="H930" s="5" t="s">
        <v>455</v>
      </c>
      <c r="I930" s="5" t="s">
        <v>52</v>
      </c>
      <c r="J930" s="5" t="s">
        <v>22</v>
      </c>
      <c r="K930" s="5" t="s">
        <v>36</v>
      </c>
      <c r="L930" s="5" t="s">
        <v>36</v>
      </c>
      <c r="M930" s="5" t="s">
        <v>284</v>
      </c>
      <c r="N930" s="5" t="s">
        <v>53</v>
      </c>
      <c r="O930" s="5">
        <v>1</v>
      </c>
      <c r="P930" s="5"/>
      <c r="Q930" s="5"/>
      <c r="R930" s="8">
        <v>0</v>
      </c>
      <c r="S930" s="5" t="s">
        <v>37</v>
      </c>
      <c r="T930" t="str">
        <f>IF(Tabela1[[#This Row],[STATUS_NEGOCIO]]="Enviar E-mail",1,"")</f>
        <v/>
      </c>
      <c r="U930" t="str">
        <f>TEXT(Tabela1[[#This Row],[DATA]],"dd/mm/aaaa")</f>
        <v>22/04/2026</v>
      </c>
    </row>
    <row r="931" spans="1:21" x14ac:dyDescent="0.25">
      <c r="A931" s="4">
        <v>46134.617071759261</v>
      </c>
      <c r="B931" s="5" t="s">
        <v>19</v>
      </c>
      <c r="C931" s="5" t="s">
        <v>37</v>
      </c>
      <c r="D931" s="5">
        <v>283</v>
      </c>
      <c r="E931" s="6">
        <v>26789035000145</v>
      </c>
      <c r="F931" s="5">
        <v>283</v>
      </c>
      <c r="G931" s="7">
        <v>177688011554991</v>
      </c>
      <c r="H931" s="5" t="s">
        <v>456</v>
      </c>
      <c r="I931" s="5">
        <v>3003</v>
      </c>
      <c r="J931" s="5" t="s">
        <v>22</v>
      </c>
      <c r="K931" s="5" t="s">
        <v>23</v>
      </c>
      <c r="L931" s="5" t="s">
        <v>31</v>
      </c>
      <c r="M931" s="5" t="s">
        <v>284</v>
      </c>
      <c r="N931" s="5" t="s">
        <v>26</v>
      </c>
      <c r="O931" s="5">
        <v>131</v>
      </c>
      <c r="P931" s="5"/>
      <c r="Q931" s="5"/>
      <c r="R931" s="8">
        <v>1.273148148148148E-4</v>
      </c>
      <c r="S931" s="5" t="s">
        <v>37</v>
      </c>
      <c r="T931" t="str">
        <f>IF(Tabela1[[#This Row],[STATUS_NEGOCIO]]="Enviar E-mail",1,"")</f>
        <v/>
      </c>
      <c r="U931" t="str">
        <f>TEXT(Tabela1[[#This Row],[DATA]],"dd/mm/aaaa")</f>
        <v>22/04/2026</v>
      </c>
    </row>
    <row r="932" spans="1:21" x14ac:dyDescent="0.25">
      <c r="A932" s="4">
        <v>46134.617094907408</v>
      </c>
      <c r="B932" s="5" t="s">
        <v>19</v>
      </c>
      <c r="C932" s="5" t="s">
        <v>37</v>
      </c>
      <c r="D932" s="5">
        <v>284</v>
      </c>
      <c r="E932" s="6">
        <v>26871189000181</v>
      </c>
      <c r="F932" s="5">
        <v>284</v>
      </c>
      <c r="G932" s="7">
        <v>177688011755001</v>
      </c>
      <c r="H932" s="5" t="s">
        <v>457</v>
      </c>
      <c r="I932" s="5">
        <v>3003</v>
      </c>
      <c r="J932" s="5" t="s">
        <v>22</v>
      </c>
      <c r="K932" s="5" t="s">
        <v>23</v>
      </c>
      <c r="L932" s="5" t="s">
        <v>31</v>
      </c>
      <c r="M932" s="5" t="s">
        <v>284</v>
      </c>
      <c r="N932" s="5" t="s">
        <v>53</v>
      </c>
      <c r="O932" s="5">
        <v>128</v>
      </c>
      <c r="P932" s="5"/>
      <c r="Q932" s="5"/>
      <c r="R932" s="8">
        <v>8.1018518518518516E-5</v>
      </c>
      <c r="S932" s="5" t="s">
        <v>37</v>
      </c>
      <c r="T932" t="str">
        <f>IF(Tabela1[[#This Row],[STATUS_NEGOCIO]]="Enviar E-mail",1,"")</f>
        <v/>
      </c>
      <c r="U932" t="str">
        <f>TEXT(Tabela1[[#This Row],[DATA]],"dd/mm/aaaa")</f>
        <v>22/04/2026</v>
      </c>
    </row>
    <row r="933" spans="1:21" x14ac:dyDescent="0.25">
      <c r="A933" s="4">
        <v>46134.617118055554</v>
      </c>
      <c r="B933" s="5" t="s">
        <v>19</v>
      </c>
      <c r="C933" s="5" t="s">
        <v>37</v>
      </c>
      <c r="D933" s="5">
        <v>285</v>
      </c>
      <c r="E933" s="6">
        <v>26960926000112</v>
      </c>
      <c r="F933" s="5">
        <v>285</v>
      </c>
      <c r="G933" s="7">
        <v>177688011955011</v>
      </c>
      <c r="H933" s="5" t="s">
        <v>273</v>
      </c>
      <c r="I933" s="5">
        <v>3003</v>
      </c>
      <c r="J933" s="5" t="s">
        <v>22</v>
      </c>
      <c r="K933" s="5" t="s">
        <v>23</v>
      </c>
      <c r="L933" s="5" t="s">
        <v>31</v>
      </c>
      <c r="M933" s="5" t="s">
        <v>284</v>
      </c>
      <c r="N933" s="5" t="s">
        <v>53</v>
      </c>
      <c r="O933" s="5">
        <v>128</v>
      </c>
      <c r="P933" s="5"/>
      <c r="Q933" s="5"/>
      <c r="R933" s="8">
        <v>8.1018518518518516E-5</v>
      </c>
      <c r="S933" s="5" t="s">
        <v>37</v>
      </c>
      <c r="T933" t="str">
        <f>IF(Tabela1[[#This Row],[STATUS_NEGOCIO]]="Enviar E-mail",1,"")</f>
        <v/>
      </c>
      <c r="U933" t="str">
        <f>TEXT(Tabela1[[#This Row],[DATA]],"dd/mm/aaaa")</f>
        <v>22/04/2026</v>
      </c>
    </row>
    <row r="934" spans="1:21" x14ac:dyDescent="0.25">
      <c r="A934" s="4">
        <v>46134.6171412037</v>
      </c>
      <c r="B934" s="5" t="s">
        <v>19</v>
      </c>
      <c r="C934" s="5" t="s">
        <v>37</v>
      </c>
      <c r="D934" s="5">
        <v>286</v>
      </c>
      <c r="E934" s="6">
        <v>26990729000146</v>
      </c>
      <c r="F934" s="5">
        <v>286</v>
      </c>
      <c r="G934" s="7">
        <v>177688012155021</v>
      </c>
      <c r="H934" s="5" t="s">
        <v>458</v>
      </c>
      <c r="I934" s="5">
        <v>3003</v>
      </c>
      <c r="J934" s="5" t="s">
        <v>22</v>
      </c>
      <c r="K934" s="5" t="s">
        <v>23</v>
      </c>
      <c r="L934" s="5" t="s">
        <v>31</v>
      </c>
      <c r="M934" s="5" t="s">
        <v>284</v>
      </c>
      <c r="N934" s="5" t="s">
        <v>53</v>
      </c>
      <c r="O934" s="5">
        <v>131</v>
      </c>
      <c r="P934" s="5"/>
      <c r="Q934" s="5"/>
      <c r="R934" s="8">
        <v>0</v>
      </c>
      <c r="S934" s="5" t="s">
        <v>37</v>
      </c>
      <c r="T934" t="str">
        <f>IF(Tabela1[[#This Row],[STATUS_NEGOCIO]]="Enviar E-mail",1,"")</f>
        <v/>
      </c>
      <c r="U934" t="str">
        <f>TEXT(Tabela1[[#This Row],[DATA]],"dd/mm/aaaa")</f>
        <v>22/04/2026</v>
      </c>
    </row>
    <row r="935" spans="1:21" x14ac:dyDescent="0.25">
      <c r="A935" s="4">
        <v>46134.617164351854</v>
      </c>
      <c r="B935" s="5" t="s">
        <v>19</v>
      </c>
      <c r="C935" s="5" t="s">
        <v>20</v>
      </c>
      <c r="D935" s="5">
        <v>287</v>
      </c>
      <c r="E935" s="6">
        <v>27015155000158</v>
      </c>
      <c r="F935" s="5">
        <v>287</v>
      </c>
      <c r="G935" s="7">
        <v>177688012355041</v>
      </c>
      <c r="H935" s="5" t="s">
        <v>459</v>
      </c>
      <c r="I935" s="5">
        <v>3003</v>
      </c>
      <c r="J935" s="5" t="s">
        <v>22</v>
      </c>
      <c r="K935" s="5" t="s">
        <v>23</v>
      </c>
      <c r="L935" s="5" t="s">
        <v>265</v>
      </c>
      <c r="M935" s="5" t="s">
        <v>284</v>
      </c>
      <c r="N935" s="5" t="s">
        <v>32</v>
      </c>
      <c r="O935" s="5">
        <v>16</v>
      </c>
      <c r="P935" s="5"/>
      <c r="Q935" s="5"/>
      <c r="R935" s="8">
        <v>6.018518518518519E-4</v>
      </c>
      <c r="S935" s="8">
        <v>1.9675925925925926E-4</v>
      </c>
      <c r="T935" t="str">
        <f>IF(Tabela1[[#This Row],[STATUS_NEGOCIO]]="Enviar E-mail",1,"")</f>
        <v/>
      </c>
      <c r="U935" t="str">
        <f>TEXT(Tabela1[[#This Row],[DATA]],"dd/mm/aaaa")</f>
        <v>22/04/2026</v>
      </c>
    </row>
    <row r="936" spans="1:21" x14ac:dyDescent="0.25">
      <c r="A936" s="4">
        <v>46134.6171875</v>
      </c>
      <c r="B936" s="5" t="s">
        <v>19</v>
      </c>
      <c r="C936" s="5" t="s">
        <v>37</v>
      </c>
      <c r="D936" s="5">
        <v>288</v>
      </c>
      <c r="E936" s="6">
        <v>27037167000183</v>
      </c>
      <c r="F936" s="5">
        <v>288</v>
      </c>
      <c r="G936" s="7">
        <v>177688012555061</v>
      </c>
      <c r="H936" s="5" t="s">
        <v>268</v>
      </c>
      <c r="I936" s="5">
        <v>3003</v>
      </c>
      <c r="J936" s="5" t="s">
        <v>22</v>
      </c>
      <c r="K936" s="5" t="s">
        <v>23</v>
      </c>
      <c r="L936" s="5" t="s">
        <v>31</v>
      </c>
      <c r="M936" s="5" t="s">
        <v>284</v>
      </c>
      <c r="N936" s="5" t="s">
        <v>53</v>
      </c>
      <c r="O936" s="5">
        <v>128</v>
      </c>
      <c r="P936" s="5"/>
      <c r="Q936" s="5"/>
      <c r="R936" s="8">
        <v>8.1018518518518516E-5</v>
      </c>
      <c r="S936" s="5" t="s">
        <v>37</v>
      </c>
      <c r="T936" t="str">
        <f>IF(Tabela1[[#This Row],[STATUS_NEGOCIO]]="Enviar E-mail",1,"")</f>
        <v/>
      </c>
      <c r="U936" t="str">
        <f>TEXT(Tabela1[[#This Row],[DATA]],"dd/mm/aaaa")</f>
        <v>22/04/2026</v>
      </c>
    </row>
    <row r="937" spans="1:21" x14ac:dyDescent="0.25">
      <c r="A937" s="4">
        <v>46134.617210648146</v>
      </c>
      <c r="B937" s="5" t="s">
        <v>19</v>
      </c>
      <c r="C937" s="5" t="s">
        <v>20</v>
      </c>
      <c r="D937" s="5">
        <v>289</v>
      </c>
      <c r="E937" s="6">
        <v>27179316000149</v>
      </c>
      <c r="F937" s="5">
        <v>289</v>
      </c>
      <c r="G937" s="7">
        <v>177688012755121</v>
      </c>
      <c r="H937" s="5" t="s">
        <v>460</v>
      </c>
      <c r="I937" s="5">
        <v>3003</v>
      </c>
      <c r="J937" s="5" t="s">
        <v>22</v>
      </c>
      <c r="K937" s="5" t="s">
        <v>23</v>
      </c>
      <c r="L937" s="5" t="s">
        <v>265</v>
      </c>
      <c r="M937" s="5" t="s">
        <v>284</v>
      </c>
      <c r="N937" s="5" t="s">
        <v>32</v>
      </c>
      <c r="O937" s="5">
        <v>16</v>
      </c>
      <c r="P937" s="5"/>
      <c r="Q937" s="5"/>
      <c r="R937" s="8">
        <v>4.6296296296296298E-4</v>
      </c>
      <c r="S937" s="8">
        <v>1.9675925925925926E-4</v>
      </c>
      <c r="T937" t="str">
        <f>IF(Tabela1[[#This Row],[STATUS_NEGOCIO]]="Enviar E-mail",1,"")</f>
        <v/>
      </c>
      <c r="U937" t="str">
        <f>TEXT(Tabela1[[#This Row],[DATA]],"dd/mm/aaaa")</f>
        <v>22/04/2026</v>
      </c>
    </row>
    <row r="938" spans="1:21" x14ac:dyDescent="0.25">
      <c r="A938" s="4">
        <v>46134.6172337963</v>
      </c>
      <c r="B938" s="5" t="s">
        <v>19</v>
      </c>
      <c r="C938" s="5" t="s">
        <v>37</v>
      </c>
      <c r="D938" s="5">
        <v>290</v>
      </c>
      <c r="E938" s="6">
        <v>27316226000152</v>
      </c>
      <c r="F938" s="5">
        <v>290</v>
      </c>
      <c r="G938" s="7">
        <v>177688012955151</v>
      </c>
      <c r="H938" s="5" t="s">
        <v>461</v>
      </c>
      <c r="I938" s="5">
        <v>3003</v>
      </c>
      <c r="J938" s="5" t="s">
        <v>22</v>
      </c>
      <c r="K938" s="5" t="s">
        <v>23</v>
      </c>
      <c r="L938" s="5" t="s">
        <v>31</v>
      </c>
      <c r="M938" s="5" t="s">
        <v>284</v>
      </c>
      <c r="N938" s="5" t="s">
        <v>53</v>
      </c>
      <c r="O938" s="5">
        <v>128</v>
      </c>
      <c r="P938" s="5"/>
      <c r="Q938" s="5"/>
      <c r="R938" s="8">
        <v>8.1018518518518516E-5</v>
      </c>
      <c r="S938" s="5" t="s">
        <v>37</v>
      </c>
      <c r="T938" t="str">
        <f>IF(Tabela1[[#This Row],[STATUS_NEGOCIO]]="Enviar E-mail",1,"")</f>
        <v/>
      </c>
      <c r="U938" t="str">
        <f>TEXT(Tabela1[[#This Row],[DATA]],"dd/mm/aaaa")</f>
        <v>22/04/2026</v>
      </c>
    </row>
    <row r="939" spans="1:21" x14ac:dyDescent="0.25">
      <c r="A939" s="4">
        <v>46134.617256944446</v>
      </c>
      <c r="B939" s="5" t="s">
        <v>19</v>
      </c>
      <c r="C939" s="5" t="s">
        <v>37</v>
      </c>
      <c r="D939" s="5">
        <v>291</v>
      </c>
      <c r="E939" s="6">
        <v>27379033000140</v>
      </c>
      <c r="F939" s="5">
        <v>291</v>
      </c>
      <c r="G939" s="7">
        <v>177688013155161</v>
      </c>
      <c r="H939" s="5" t="s">
        <v>70</v>
      </c>
      <c r="I939" s="5" t="s">
        <v>52</v>
      </c>
      <c r="J939" s="5" t="s">
        <v>22</v>
      </c>
      <c r="K939" s="5" t="s">
        <v>62</v>
      </c>
      <c r="L939" s="5" t="s">
        <v>62</v>
      </c>
      <c r="M939" s="5" t="s">
        <v>284</v>
      </c>
      <c r="N939" s="5" t="s">
        <v>53</v>
      </c>
      <c r="O939" s="5">
        <v>17</v>
      </c>
      <c r="P939" s="5"/>
      <c r="Q939" s="5"/>
      <c r="R939" s="8">
        <v>0</v>
      </c>
      <c r="S939" s="5" t="s">
        <v>37</v>
      </c>
      <c r="T939" t="str">
        <f>IF(Tabela1[[#This Row],[STATUS_NEGOCIO]]="Enviar E-mail",1,"")</f>
        <v/>
      </c>
      <c r="U939" t="str">
        <f>TEXT(Tabela1[[#This Row],[DATA]],"dd/mm/aaaa")</f>
        <v>22/04/2026</v>
      </c>
    </row>
    <row r="940" spans="1:21" x14ac:dyDescent="0.25">
      <c r="A940" s="4">
        <v>46134.617280092592</v>
      </c>
      <c r="B940" s="5" t="s">
        <v>19</v>
      </c>
      <c r="C940" s="5" t="s">
        <v>37</v>
      </c>
      <c r="D940" s="5">
        <v>292</v>
      </c>
      <c r="E940" s="6">
        <v>27439229000183</v>
      </c>
      <c r="F940" s="5">
        <v>292</v>
      </c>
      <c r="G940" s="7">
        <v>177688013355181</v>
      </c>
      <c r="H940" s="5" t="s">
        <v>437</v>
      </c>
      <c r="I940" s="5">
        <v>3003</v>
      </c>
      <c r="J940" s="5" t="s">
        <v>22</v>
      </c>
      <c r="K940" s="5" t="s">
        <v>23</v>
      </c>
      <c r="L940" s="5" t="s">
        <v>31</v>
      </c>
      <c r="M940" s="5" t="s">
        <v>284</v>
      </c>
      <c r="N940" s="5" t="s">
        <v>53</v>
      </c>
      <c r="O940" s="5">
        <v>128</v>
      </c>
      <c r="P940" s="5"/>
      <c r="Q940" s="5"/>
      <c r="R940" s="8">
        <v>8.1018518518518516E-5</v>
      </c>
      <c r="S940" s="5" t="s">
        <v>37</v>
      </c>
      <c r="T940" t="str">
        <f>IF(Tabela1[[#This Row],[STATUS_NEGOCIO]]="Enviar E-mail",1,"")</f>
        <v/>
      </c>
      <c r="U940" t="str">
        <f>TEXT(Tabela1[[#This Row],[DATA]],"dd/mm/aaaa")</f>
        <v>22/04/2026</v>
      </c>
    </row>
    <row r="941" spans="1:21" x14ac:dyDescent="0.25">
      <c r="A941" s="4">
        <v>46134.617303240739</v>
      </c>
      <c r="B941" s="5" t="s">
        <v>19</v>
      </c>
      <c r="C941" s="5" t="s">
        <v>37</v>
      </c>
      <c r="D941" s="5">
        <v>293</v>
      </c>
      <c r="E941" s="6">
        <v>27559945000102</v>
      </c>
      <c r="F941" s="5">
        <v>293</v>
      </c>
      <c r="G941" s="7">
        <v>177688013555201</v>
      </c>
      <c r="H941" s="5" t="s">
        <v>462</v>
      </c>
      <c r="I941" s="5">
        <v>3003</v>
      </c>
      <c r="J941" s="5" t="s">
        <v>22</v>
      </c>
      <c r="K941" s="5" t="s">
        <v>23</v>
      </c>
      <c r="L941" s="5" t="s">
        <v>31</v>
      </c>
      <c r="M941" s="5" t="s">
        <v>284</v>
      </c>
      <c r="N941" s="5" t="s">
        <v>53</v>
      </c>
      <c r="O941" s="5">
        <v>128</v>
      </c>
      <c r="P941" s="5"/>
      <c r="Q941" s="5"/>
      <c r="R941" s="8">
        <v>8.1018518518518516E-5</v>
      </c>
      <c r="S941" s="5" t="s">
        <v>37</v>
      </c>
      <c r="T941" t="str">
        <f>IF(Tabela1[[#This Row],[STATUS_NEGOCIO]]="Enviar E-mail",1,"")</f>
        <v/>
      </c>
      <c r="U941" t="str">
        <f>TEXT(Tabela1[[#This Row],[DATA]],"dd/mm/aaaa")</f>
        <v>22/04/2026</v>
      </c>
    </row>
    <row r="942" spans="1:21" x14ac:dyDescent="0.25">
      <c r="A942" s="4">
        <v>46134.617326388892</v>
      </c>
      <c r="B942" s="5" t="s">
        <v>19</v>
      </c>
      <c r="C942" s="5" t="s">
        <v>37</v>
      </c>
      <c r="D942" s="5">
        <v>294</v>
      </c>
      <c r="E942" s="6">
        <v>27813377000116</v>
      </c>
      <c r="F942" s="5">
        <v>294</v>
      </c>
      <c r="G942" s="7">
        <v>177688013755211</v>
      </c>
      <c r="H942" s="5" t="s">
        <v>463</v>
      </c>
      <c r="I942" s="5">
        <v>3003</v>
      </c>
      <c r="J942" s="5" t="s">
        <v>22</v>
      </c>
      <c r="K942" s="5" t="s">
        <v>23</v>
      </c>
      <c r="L942" s="5" t="s">
        <v>31</v>
      </c>
      <c r="M942" s="5" t="s">
        <v>284</v>
      </c>
      <c r="N942" s="5" t="s">
        <v>53</v>
      </c>
      <c r="O942" s="5">
        <v>128</v>
      </c>
      <c r="P942" s="5"/>
      <c r="Q942" s="5"/>
      <c r="R942" s="8">
        <v>8.1018518518518516E-5</v>
      </c>
      <c r="S942" s="5" t="s">
        <v>37</v>
      </c>
      <c r="T942" t="str">
        <f>IF(Tabela1[[#This Row],[STATUS_NEGOCIO]]="Enviar E-mail",1,"")</f>
        <v/>
      </c>
      <c r="U942" t="str">
        <f>TEXT(Tabela1[[#This Row],[DATA]],"dd/mm/aaaa")</f>
        <v>22/04/2026</v>
      </c>
    </row>
    <row r="943" spans="1:21" x14ac:dyDescent="0.25">
      <c r="A943" s="4">
        <v>46134.617349537039</v>
      </c>
      <c r="B943" s="5" t="s">
        <v>19</v>
      </c>
      <c r="C943" s="5" t="s">
        <v>37</v>
      </c>
      <c r="D943" s="5">
        <v>295</v>
      </c>
      <c r="E943" s="6">
        <v>27931047000125</v>
      </c>
      <c r="F943" s="5">
        <v>295</v>
      </c>
      <c r="G943" s="7">
        <v>177688013955231</v>
      </c>
      <c r="H943" s="5" t="s">
        <v>464</v>
      </c>
      <c r="I943" s="5">
        <v>3003</v>
      </c>
      <c r="J943" s="5" t="s">
        <v>22</v>
      </c>
      <c r="K943" s="5" t="s">
        <v>23</v>
      </c>
      <c r="L943" s="5" t="s">
        <v>31</v>
      </c>
      <c r="M943" s="5" t="s">
        <v>284</v>
      </c>
      <c r="N943" s="5" t="s">
        <v>53</v>
      </c>
      <c r="O943" s="5">
        <v>128</v>
      </c>
      <c r="P943" s="5"/>
      <c r="Q943" s="5"/>
      <c r="R943" s="8">
        <v>4.6296296296296294E-5</v>
      </c>
      <c r="S943" s="5" t="s">
        <v>37</v>
      </c>
      <c r="T943" t="str">
        <f>IF(Tabela1[[#This Row],[STATUS_NEGOCIO]]="Enviar E-mail",1,"")</f>
        <v/>
      </c>
      <c r="U943" t="str">
        <f>TEXT(Tabela1[[#This Row],[DATA]],"dd/mm/aaaa")</f>
        <v>22/04/2026</v>
      </c>
    </row>
    <row r="944" spans="1:21" x14ac:dyDescent="0.25">
      <c r="A944" s="4">
        <v>46134.617372685185</v>
      </c>
      <c r="B944" s="5" t="s">
        <v>19</v>
      </c>
      <c r="C944" s="5" t="s">
        <v>37</v>
      </c>
      <c r="D944" s="5">
        <v>298</v>
      </c>
      <c r="E944" s="6">
        <v>28093477000188</v>
      </c>
      <c r="F944" s="5">
        <v>298</v>
      </c>
      <c r="G944" s="7">
        <v>177688014155241</v>
      </c>
      <c r="H944" s="5" t="s">
        <v>101</v>
      </c>
      <c r="I944" s="5">
        <v>3003</v>
      </c>
      <c r="J944" s="5" t="s">
        <v>22</v>
      </c>
      <c r="K944" s="5" t="s">
        <v>23</v>
      </c>
      <c r="L944" s="5" t="s">
        <v>31</v>
      </c>
      <c r="M944" s="5" t="s">
        <v>284</v>
      </c>
      <c r="N944" s="5" t="s">
        <v>53</v>
      </c>
      <c r="O944" s="5">
        <v>128</v>
      </c>
      <c r="P944" s="5"/>
      <c r="Q944" s="5"/>
      <c r="R944" s="8">
        <v>8.1018518518518516E-5</v>
      </c>
      <c r="S944" s="5" t="s">
        <v>37</v>
      </c>
      <c r="T944" t="str">
        <f>IF(Tabela1[[#This Row],[STATUS_NEGOCIO]]="Enviar E-mail",1,"")</f>
        <v/>
      </c>
      <c r="U944" t="str">
        <f>TEXT(Tabela1[[#This Row],[DATA]],"dd/mm/aaaa")</f>
        <v>22/04/2026</v>
      </c>
    </row>
    <row r="945" spans="1:21" x14ac:dyDescent="0.25">
      <c r="A945" s="4">
        <v>46134.617395833331</v>
      </c>
      <c r="B945" s="5" t="s">
        <v>19</v>
      </c>
      <c r="C945" s="5" t="s">
        <v>37</v>
      </c>
      <c r="D945" s="5">
        <v>299</v>
      </c>
      <c r="E945" s="6">
        <v>28113645000150</v>
      </c>
      <c r="F945" s="5">
        <v>299</v>
      </c>
      <c r="G945" s="7">
        <v>177688014355271</v>
      </c>
      <c r="H945" s="5" t="s">
        <v>466</v>
      </c>
      <c r="I945" s="5">
        <v>3003</v>
      </c>
      <c r="J945" s="5" t="s">
        <v>22</v>
      </c>
      <c r="K945" s="5" t="s">
        <v>23</v>
      </c>
      <c r="L945" s="5" t="s">
        <v>31</v>
      </c>
      <c r="M945" s="5" t="s">
        <v>284</v>
      </c>
      <c r="N945" s="5" t="s">
        <v>53</v>
      </c>
      <c r="O945" s="5">
        <v>128</v>
      </c>
      <c r="P945" s="5"/>
      <c r="Q945" s="5"/>
      <c r="R945" s="8">
        <v>8.1018518518518516E-5</v>
      </c>
      <c r="S945" s="5" t="s">
        <v>37</v>
      </c>
      <c r="T945" t="str">
        <f>IF(Tabela1[[#This Row],[STATUS_NEGOCIO]]="Enviar E-mail",1,"")</f>
        <v/>
      </c>
      <c r="U945" t="str">
        <f>TEXT(Tabela1[[#This Row],[DATA]],"dd/mm/aaaa")</f>
        <v>22/04/2026</v>
      </c>
    </row>
    <row r="946" spans="1:21" x14ac:dyDescent="0.25">
      <c r="A946" s="4">
        <v>46134.617418981485</v>
      </c>
      <c r="B946" s="5" t="s">
        <v>19</v>
      </c>
      <c r="C946" s="5" t="s">
        <v>37</v>
      </c>
      <c r="D946" s="5">
        <v>300</v>
      </c>
      <c r="E946" s="6">
        <v>28483585000167</v>
      </c>
      <c r="F946" s="5">
        <v>300</v>
      </c>
      <c r="G946" s="7">
        <v>177688014555281</v>
      </c>
      <c r="H946" s="5" t="s">
        <v>467</v>
      </c>
      <c r="I946" s="5" t="s">
        <v>52</v>
      </c>
      <c r="J946" s="5" t="s">
        <v>22</v>
      </c>
      <c r="K946" s="5" t="s">
        <v>36</v>
      </c>
      <c r="L946" s="5" t="s">
        <v>36</v>
      </c>
      <c r="M946" s="5" t="s">
        <v>284</v>
      </c>
      <c r="N946" s="5" t="s">
        <v>53</v>
      </c>
      <c r="O946" s="5">
        <v>19</v>
      </c>
      <c r="P946" s="5"/>
      <c r="Q946" s="5"/>
      <c r="R946" s="8">
        <v>0</v>
      </c>
      <c r="S946" s="5" t="s">
        <v>37</v>
      </c>
      <c r="T946" t="str">
        <f>IF(Tabela1[[#This Row],[STATUS_NEGOCIO]]="Enviar E-mail",1,"")</f>
        <v/>
      </c>
      <c r="U946" t="str">
        <f>TEXT(Tabela1[[#This Row],[DATA]],"dd/mm/aaaa")</f>
        <v>22/04/2026</v>
      </c>
    </row>
    <row r="947" spans="1:21" x14ac:dyDescent="0.25">
      <c r="A947" s="4">
        <v>46134.617511574077</v>
      </c>
      <c r="B947" s="5" t="s">
        <v>19</v>
      </c>
      <c r="C947" s="5" t="s">
        <v>37</v>
      </c>
      <c r="D947" s="5">
        <v>301</v>
      </c>
      <c r="E947" s="6">
        <v>28566081000100</v>
      </c>
      <c r="F947" s="5">
        <v>301</v>
      </c>
      <c r="G947" s="7">
        <v>177688015355361</v>
      </c>
      <c r="H947" s="5" t="s">
        <v>468</v>
      </c>
      <c r="I947" s="5">
        <v>3003</v>
      </c>
      <c r="J947" s="5" t="s">
        <v>22</v>
      </c>
      <c r="K947" s="5" t="s">
        <v>23</v>
      </c>
      <c r="L947" s="5" t="s">
        <v>31</v>
      </c>
      <c r="M947" s="5" t="s">
        <v>284</v>
      </c>
      <c r="N947" s="5" t="s">
        <v>53</v>
      </c>
      <c r="O947" s="5">
        <v>128</v>
      </c>
      <c r="P947" s="5"/>
      <c r="Q947" s="5"/>
      <c r="R947" s="8">
        <v>8.1018518518518516E-5</v>
      </c>
      <c r="S947" s="5" t="s">
        <v>37</v>
      </c>
      <c r="T947" t="str">
        <f>IF(Tabela1[[#This Row],[STATUS_NEGOCIO]]="Enviar E-mail",1,"")</f>
        <v/>
      </c>
      <c r="U947" t="str">
        <f>TEXT(Tabela1[[#This Row],[DATA]],"dd/mm/aaaa")</f>
        <v>22/04/2026</v>
      </c>
    </row>
    <row r="948" spans="1:21" x14ac:dyDescent="0.25">
      <c r="A948" s="4">
        <v>46134.617534722223</v>
      </c>
      <c r="B948" s="5" t="s">
        <v>19</v>
      </c>
      <c r="C948" s="5" t="s">
        <v>37</v>
      </c>
      <c r="D948" s="5">
        <v>302</v>
      </c>
      <c r="E948" s="6">
        <v>28584852000192</v>
      </c>
      <c r="F948" s="5">
        <v>302</v>
      </c>
      <c r="G948" s="7">
        <v>177688015555381</v>
      </c>
      <c r="H948" s="5" t="s">
        <v>469</v>
      </c>
      <c r="I948" s="5">
        <v>3003</v>
      </c>
      <c r="J948" s="5" t="s">
        <v>22</v>
      </c>
      <c r="K948" s="5" t="s">
        <v>23</v>
      </c>
      <c r="L948" s="5" t="s">
        <v>31</v>
      </c>
      <c r="M948" s="5" t="s">
        <v>284</v>
      </c>
      <c r="N948" s="5" t="s">
        <v>53</v>
      </c>
      <c r="O948" s="5">
        <v>128</v>
      </c>
      <c r="P948" s="5"/>
      <c r="Q948" s="5"/>
      <c r="R948" s="8">
        <v>8.1018518518518516E-5</v>
      </c>
      <c r="S948" s="5" t="s">
        <v>37</v>
      </c>
      <c r="T948" t="str">
        <f>IF(Tabela1[[#This Row],[STATUS_NEGOCIO]]="Enviar E-mail",1,"")</f>
        <v/>
      </c>
      <c r="U948" t="str">
        <f>TEXT(Tabela1[[#This Row],[DATA]],"dd/mm/aaaa")</f>
        <v>22/04/2026</v>
      </c>
    </row>
    <row r="949" spans="1:21" x14ac:dyDescent="0.25">
      <c r="A949" s="4">
        <v>46134.61755787037</v>
      </c>
      <c r="B949" s="5" t="s">
        <v>19</v>
      </c>
      <c r="C949" s="5" t="s">
        <v>37</v>
      </c>
      <c r="D949" s="5">
        <v>304</v>
      </c>
      <c r="E949" s="6">
        <v>28673609000140</v>
      </c>
      <c r="F949" s="5">
        <v>304</v>
      </c>
      <c r="G949" s="7">
        <v>177688015755391</v>
      </c>
      <c r="H949" s="5" t="s">
        <v>470</v>
      </c>
      <c r="I949" s="5">
        <v>3003</v>
      </c>
      <c r="J949" s="5" t="s">
        <v>22</v>
      </c>
      <c r="K949" s="5" t="s">
        <v>23</v>
      </c>
      <c r="L949" s="5" t="s">
        <v>31</v>
      </c>
      <c r="M949" s="5" t="s">
        <v>284</v>
      </c>
      <c r="N949" s="5" t="s">
        <v>53</v>
      </c>
      <c r="O949" s="5">
        <v>128</v>
      </c>
      <c r="P949" s="5"/>
      <c r="Q949" s="5"/>
      <c r="R949" s="8">
        <v>8.1018518518518516E-5</v>
      </c>
      <c r="S949" s="5" t="s">
        <v>37</v>
      </c>
      <c r="T949" t="str">
        <f>IF(Tabela1[[#This Row],[STATUS_NEGOCIO]]="Enviar E-mail",1,"")</f>
        <v/>
      </c>
      <c r="U949" t="str">
        <f>TEXT(Tabela1[[#This Row],[DATA]],"dd/mm/aaaa")</f>
        <v>22/04/2026</v>
      </c>
    </row>
    <row r="950" spans="1:21" x14ac:dyDescent="0.25">
      <c r="A950" s="4">
        <v>46134.617581018516</v>
      </c>
      <c r="B950" s="5" t="s">
        <v>19</v>
      </c>
      <c r="C950" s="5" t="s">
        <v>37</v>
      </c>
      <c r="D950" s="5">
        <v>305</v>
      </c>
      <c r="E950" s="6">
        <v>28679579000180</v>
      </c>
      <c r="F950" s="5">
        <v>305</v>
      </c>
      <c r="G950" s="7">
        <v>177688015955411</v>
      </c>
      <c r="H950" s="5" t="s">
        <v>196</v>
      </c>
      <c r="I950" s="5">
        <v>3003</v>
      </c>
      <c r="J950" s="5" t="s">
        <v>22</v>
      </c>
      <c r="K950" s="5" t="s">
        <v>23</v>
      </c>
      <c r="L950" s="5" t="s">
        <v>31</v>
      </c>
      <c r="M950" s="5" t="s">
        <v>284</v>
      </c>
      <c r="N950" s="5" t="s">
        <v>53</v>
      </c>
      <c r="O950" s="5">
        <v>128</v>
      </c>
      <c r="P950" s="5"/>
      <c r="Q950" s="5"/>
      <c r="R950" s="8">
        <v>8.1018518518518516E-5</v>
      </c>
      <c r="S950" s="5" t="s">
        <v>37</v>
      </c>
      <c r="T950" t="str">
        <f>IF(Tabela1[[#This Row],[STATUS_NEGOCIO]]="Enviar E-mail",1,"")</f>
        <v/>
      </c>
      <c r="U950" t="str">
        <f>TEXT(Tabela1[[#This Row],[DATA]],"dd/mm/aaaa")</f>
        <v>22/04/2026</v>
      </c>
    </row>
    <row r="951" spans="1:21" x14ac:dyDescent="0.25">
      <c r="A951" s="4">
        <v>46134.617604166669</v>
      </c>
      <c r="B951" s="5" t="s">
        <v>19</v>
      </c>
      <c r="C951" s="5" t="s">
        <v>37</v>
      </c>
      <c r="D951" s="5">
        <v>306</v>
      </c>
      <c r="E951" s="6">
        <v>28757458000109</v>
      </c>
      <c r="F951" s="5">
        <v>306</v>
      </c>
      <c r="G951" s="7">
        <v>177688016155421</v>
      </c>
      <c r="H951" s="5" t="s">
        <v>471</v>
      </c>
      <c r="I951" s="5" t="s">
        <v>52</v>
      </c>
      <c r="J951" s="5" t="s">
        <v>22</v>
      </c>
      <c r="K951" s="5" t="s">
        <v>36</v>
      </c>
      <c r="L951" s="5" t="s">
        <v>36</v>
      </c>
      <c r="M951" s="5" t="s">
        <v>284</v>
      </c>
      <c r="N951" s="5" t="s">
        <v>53</v>
      </c>
      <c r="O951" s="5">
        <v>19</v>
      </c>
      <c r="P951" s="5"/>
      <c r="Q951" s="5"/>
      <c r="R951" s="8">
        <v>0</v>
      </c>
      <c r="S951" s="5" t="s">
        <v>37</v>
      </c>
      <c r="T951" t="str">
        <f>IF(Tabela1[[#This Row],[STATUS_NEGOCIO]]="Enviar E-mail",1,"")</f>
        <v/>
      </c>
      <c r="U951" t="str">
        <f>TEXT(Tabela1[[#This Row],[DATA]],"dd/mm/aaaa")</f>
        <v>22/04/2026</v>
      </c>
    </row>
    <row r="952" spans="1:21" x14ac:dyDescent="0.25">
      <c r="A952" s="4">
        <v>46134.617627314816</v>
      </c>
      <c r="B952" s="5" t="s">
        <v>19</v>
      </c>
      <c r="C952" s="5" t="s">
        <v>37</v>
      </c>
      <c r="D952" s="5">
        <v>307</v>
      </c>
      <c r="E952" s="6">
        <v>28774621000141</v>
      </c>
      <c r="F952" s="5">
        <v>307</v>
      </c>
      <c r="G952" s="7">
        <v>177688016355451</v>
      </c>
      <c r="H952" s="5" t="s">
        <v>472</v>
      </c>
      <c r="I952" s="5">
        <v>3003</v>
      </c>
      <c r="J952" s="5" t="s">
        <v>22</v>
      </c>
      <c r="K952" s="5" t="s">
        <v>23</v>
      </c>
      <c r="L952" s="5" t="s">
        <v>31</v>
      </c>
      <c r="M952" s="5" t="s">
        <v>284</v>
      </c>
      <c r="N952" s="5" t="s">
        <v>53</v>
      </c>
      <c r="O952" s="5">
        <v>128</v>
      </c>
      <c r="P952" s="5"/>
      <c r="Q952" s="5"/>
      <c r="R952" s="8">
        <v>8.1018518518518516E-5</v>
      </c>
      <c r="S952" s="5" t="s">
        <v>37</v>
      </c>
      <c r="T952" t="str">
        <f>IF(Tabela1[[#This Row],[STATUS_NEGOCIO]]="Enviar E-mail",1,"")</f>
        <v/>
      </c>
      <c r="U952" t="str">
        <f>TEXT(Tabela1[[#This Row],[DATA]],"dd/mm/aaaa")</f>
        <v>22/04/2026</v>
      </c>
    </row>
    <row r="953" spans="1:21" x14ac:dyDescent="0.25">
      <c r="A953" s="4">
        <v>46134.617650462962</v>
      </c>
      <c r="B953" s="5" t="s">
        <v>19</v>
      </c>
      <c r="C953" s="5" t="s">
        <v>37</v>
      </c>
      <c r="D953" s="5">
        <v>308</v>
      </c>
      <c r="E953" s="6">
        <v>28801829000102</v>
      </c>
      <c r="F953" s="5">
        <v>308</v>
      </c>
      <c r="G953" s="7">
        <v>177688016555501</v>
      </c>
      <c r="H953" s="5" t="s">
        <v>473</v>
      </c>
      <c r="I953" s="5">
        <v>3003</v>
      </c>
      <c r="J953" s="5" t="s">
        <v>22</v>
      </c>
      <c r="K953" s="5" t="s">
        <v>23</v>
      </c>
      <c r="L953" s="5" t="s">
        <v>31</v>
      </c>
      <c r="M953" s="5" t="s">
        <v>284</v>
      </c>
      <c r="N953" s="5" t="s">
        <v>53</v>
      </c>
      <c r="O953" s="5">
        <v>147</v>
      </c>
      <c r="P953" s="5"/>
      <c r="Q953" s="5"/>
      <c r="R953" s="8">
        <v>8.1018518518518516E-5</v>
      </c>
      <c r="S953" s="5" t="s">
        <v>37</v>
      </c>
      <c r="T953" t="str">
        <f>IF(Tabela1[[#This Row],[STATUS_NEGOCIO]]="Enviar E-mail",1,"")</f>
        <v/>
      </c>
      <c r="U953" t="str">
        <f>TEXT(Tabela1[[#This Row],[DATA]],"dd/mm/aaaa")</f>
        <v>22/04/2026</v>
      </c>
    </row>
    <row r="954" spans="1:21" x14ac:dyDescent="0.25">
      <c r="A954" s="4">
        <v>46134.617673611108</v>
      </c>
      <c r="B954" s="5" t="s">
        <v>19</v>
      </c>
      <c r="C954" s="5" t="s">
        <v>37</v>
      </c>
      <c r="D954" s="5">
        <v>309</v>
      </c>
      <c r="E954" s="6">
        <v>28804490000106</v>
      </c>
      <c r="F954" s="5">
        <v>309</v>
      </c>
      <c r="G954" s="7">
        <v>177688016755521</v>
      </c>
      <c r="H954" s="5" t="s">
        <v>177</v>
      </c>
      <c r="I954" s="5" t="s">
        <v>52</v>
      </c>
      <c r="J954" s="5" t="s">
        <v>22</v>
      </c>
      <c r="K954" s="5" t="s">
        <v>36</v>
      </c>
      <c r="L954" s="5" t="s">
        <v>36</v>
      </c>
      <c r="M954" s="5" t="s">
        <v>284</v>
      </c>
      <c r="N954" s="5" t="s">
        <v>53</v>
      </c>
      <c r="O954" s="5">
        <v>19</v>
      </c>
      <c r="P954" s="5"/>
      <c r="Q954" s="5"/>
      <c r="R954" s="8">
        <v>0</v>
      </c>
      <c r="S954" s="5" t="s">
        <v>37</v>
      </c>
      <c r="T954" t="str">
        <f>IF(Tabela1[[#This Row],[STATUS_NEGOCIO]]="Enviar E-mail",1,"")</f>
        <v/>
      </c>
      <c r="U954" t="str">
        <f>TEXT(Tabela1[[#This Row],[DATA]],"dd/mm/aaaa")</f>
        <v>22/04/2026</v>
      </c>
    </row>
    <row r="955" spans="1:21" x14ac:dyDescent="0.25">
      <c r="A955" s="4">
        <v>46134.617696759262</v>
      </c>
      <c r="B955" s="5" t="s">
        <v>19</v>
      </c>
      <c r="C955" s="5" t="s">
        <v>37</v>
      </c>
      <c r="D955" s="5">
        <v>310</v>
      </c>
      <c r="E955" s="6">
        <v>28818441000114</v>
      </c>
      <c r="F955" s="5">
        <v>310</v>
      </c>
      <c r="G955" s="7">
        <v>177688016955541</v>
      </c>
      <c r="H955" s="5" t="s">
        <v>474</v>
      </c>
      <c r="I955" s="5">
        <v>3003</v>
      </c>
      <c r="J955" s="5" t="s">
        <v>22</v>
      </c>
      <c r="K955" s="5" t="s">
        <v>23</v>
      </c>
      <c r="L955" s="5" t="s">
        <v>31</v>
      </c>
      <c r="M955" s="5" t="s">
        <v>284</v>
      </c>
      <c r="N955" s="5" t="s">
        <v>53</v>
      </c>
      <c r="O955" s="5">
        <v>128</v>
      </c>
      <c r="P955" s="5"/>
      <c r="Q955" s="5"/>
      <c r="R955" s="8">
        <v>6.9444444444444444E-5</v>
      </c>
      <c r="S955" s="5" t="s">
        <v>37</v>
      </c>
      <c r="T955" t="str">
        <f>IF(Tabela1[[#This Row],[STATUS_NEGOCIO]]="Enviar E-mail",1,"")</f>
        <v/>
      </c>
      <c r="U955" t="str">
        <f>TEXT(Tabela1[[#This Row],[DATA]],"dd/mm/aaaa")</f>
        <v>22/04/2026</v>
      </c>
    </row>
    <row r="956" spans="1:21" x14ac:dyDescent="0.25">
      <c r="A956" s="4">
        <v>46134.617719907408</v>
      </c>
      <c r="B956" s="5" t="s">
        <v>19</v>
      </c>
      <c r="C956" s="5" t="s">
        <v>37</v>
      </c>
      <c r="D956" s="5">
        <v>311</v>
      </c>
      <c r="E956" s="6">
        <v>28839589000135</v>
      </c>
      <c r="F956" s="5">
        <v>311</v>
      </c>
      <c r="G956" s="7">
        <v>177688017155551</v>
      </c>
      <c r="H956" s="5" t="s">
        <v>475</v>
      </c>
      <c r="I956" s="5">
        <v>3003</v>
      </c>
      <c r="J956" s="5" t="s">
        <v>22</v>
      </c>
      <c r="K956" s="5" t="s">
        <v>23</v>
      </c>
      <c r="L956" s="5" t="s">
        <v>31</v>
      </c>
      <c r="M956" s="5" t="s">
        <v>284</v>
      </c>
      <c r="N956" s="5" t="s">
        <v>53</v>
      </c>
      <c r="O956" s="5">
        <v>128</v>
      </c>
      <c r="P956" s="5"/>
      <c r="Q956" s="5"/>
      <c r="R956" s="8">
        <v>8.1018518518518516E-5</v>
      </c>
      <c r="S956" s="5" t="s">
        <v>37</v>
      </c>
      <c r="T956" t="str">
        <f>IF(Tabela1[[#This Row],[STATUS_NEGOCIO]]="Enviar E-mail",1,"")</f>
        <v/>
      </c>
      <c r="U956" t="str">
        <f>TEXT(Tabela1[[#This Row],[DATA]],"dd/mm/aaaa")</f>
        <v>22/04/2026</v>
      </c>
    </row>
    <row r="957" spans="1:21" x14ac:dyDescent="0.25">
      <c r="A957" s="4">
        <v>46134.617743055554</v>
      </c>
      <c r="B957" s="5" t="s">
        <v>19</v>
      </c>
      <c r="C957" s="5" t="s">
        <v>37</v>
      </c>
      <c r="D957" s="5">
        <v>312</v>
      </c>
      <c r="E957" s="6">
        <v>28886281000140</v>
      </c>
      <c r="F957" s="5">
        <v>312</v>
      </c>
      <c r="G957" s="7">
        <v>177688017355581</v>
      </c>
      <c r="H957" s="5" t="s">
        <v>476</v>
      </c>
      <c r="I957" s="5">
        <v>3003</v>
      </c>
      <c r="J957" s="5" t="s">
        <v>22</v>
      </c>
      <c r="K957" s="5" t="s">
        <v>23</v>
      </c>
      <c r="L957" s="5" t="s">
        <v>31</v>
      </c>
      <c r="M957" s="5" t="s">
        <v>284</v>
      </c>
      <c r="N957" s="5" t="s">
        <v>53</v>
      </c>
      <c r="O957" s="5">
        <v>128</v>
      </c>
      <c r="P957" s="5"/>
      <c r="Q957" s="5"/>
      <c r="R957" s="8">
        <v>8.1018518518518516E-5</v>
      </c>
      <c r="S957" s="5" t="s">
        <v>37</v>
      </c>
      <c r="T957" t="str">
        <f>IF(Tabela1[[#This Row],[STATUS_NEGOCIO]]="Enviar E-mail",1,"")</f>
        <v/>
      </c>
      <c r="U957" t="str">
        <f>TEXT(Tabela1[[#This Row],[DATA]],"dd/mm/aaaa")</f>
        <v>22/04/2026</v>
      </c>
    </row>
    <row r="958" spans="1:21" x14ac:dyDescent="0.25">
      <c r="A958" s="4">
        <v>46134.617743055554</v>
      </c>
      <c r="B958" s="5" t="s">
        <v>19</v>
      </c>
      <c r="C958" s="5" t="s">
        <v>37</v>
      </c>
      <c r="D958" s="5">
        <v>313</v>
      </c>
      <c r="E958" s="6">
        <v>28889028000140</v>
      </c>
      <c r="F958" s="5">
        <v>313</v>
      </c>
      <c r="G958" s="7">
        <v>177688017355591</v>
      </c>
      <c r="H958" s="5" t="s">
        <v>477</v>
      </c>
      <c r="I958" s="5">
        <v>3003</v>
      </c>
      <c r="J958" s="5" t="s">
        <v>22</v>
      </c>
      <c r="K958" s="5" t="s">
        <v>23</v>
      </c>
      <c r="L958" s="5" t="s">
        <v>31</v>
      </c>
      <c r="M958" s="5" t="s">
        <v>284</v>
      </c>
      <c r="N958" s="5" t="s">
        <v>53</v>
      </c>
      <c r="O958" s="5">
        <v>128</v>
      </c>
      <c r="P958" s="5"/>
      <c r="Q958" s="5"/>
      <c r="R958" s="8">
        <v>8.1018518518518516E-5</v>
      </c>
      <c r="S958" s="5" t="s">
        <v>37</v>
      </c>
      <c r="T958" t="str">
        <f>IF(Tabela1[[#This Row],[STATUS_NEGOCIO]]="Enviar E-mail",1,"")</f>
        <v/>
      </c>
      <c r="U958" t="str">
        <f>TEXT(Tabela1[[#This Row],[DATA]],"dd/mm/aaaa")</f>
        <v>22/04/2026</v>
      </c>
    </row>
    <row r="959" spans="1:21" x14ac:dyDescent="0.25">
      <c r="A959" s="4">
        <v>46134.617743055554</v>
      </c>
      <c r="B959" s="5" t="s">
        <v>19</v>
      </c>
      <c r="C959" s="5" t="s">
        <v>37</v>
      </c>
      <c r="D959" s="5">
        <v>314</v>
      </c>
      <c r="E959" s="6">
        <v>29203700000165</v>
      </c>
      <c r="F959" s="5">
        <v>314</v>
      </c>
      <c r="G959" s="7">
        <v>177688017355601</v>
      </c>
      <c r="H959" s="5" t="s">
        <v>478</v>
      </c>
      <c r="I959" s="5">
        <v>3003</v>
      </c>
      <c r="J959" s="5" t="s">
        <v>22</v>
      </c>
      <c r="K959" s="5" t="s">
        <v>23</v>
      </c>
      <c r="L959" s="5" t="s">
        <v>31</v>
      </c>
      <c r="M959" s="5" t="s">
        <v>284</v>
      </c>
      <c r="N959" s="5" t="s">
        <v>53</v>
      </c>
      <c r="O959" s="5">
        <v>128</v>
      </c>
      <c r="P959" s="5"/>
      <c r="Q959" s="5"/>
      <c r="R959" s="8">
        <v>8.1018518518518516E-5</v>
      </c>
      <c r="S959" s="5" t="s">
        <v>37</v>
      </c>
      <c r="T959" t="str">
        <f>IF(Tabela1[[#This Row],[STATUS_NEGOCIO]]="Enviar E-mail",1,"")</f>
        <v/>
      </c>
      <c r="U959" t="str">
        <f>TEXT(Tabela1[[#This Row],[DATA]],"dd/mm/aaaa")</f>
        <v>22/04/2026</v>
      </c>
    </row>
    <row r="960" spans="1:21" x14ac:dyDescent="0.25">
      <c r="A960" s="4">
        <v>46134.617743055554</v>
      </c>
      <c r="B960" s="5" t="s">
        <v>19</v>
      </c>
      <c r="C960" s="5" t="s">
        <v>37</v>
      </c>
      <c r="D960" s="5">
        <v>315</v>
      </c>
      <c r="E960" s="6">
        <v>29230335000188</v>
      </c>
      <c r="F960" s="5">
        <v>315</v>
      </c>
      <c r="G960" s="7">
        <v>177688017355611</v>
      </c>
      <c r="H960" s="5" t="s">
        <v>479</v>
      </c>
      <c r="I960" s="5">
        <v>3003</v>
      </c>
      <c r="J960" s="5" t="s">
        <v>22</v>
      </c>
      <c r="K960" s="5" t="s">
        <v>23</v>
      </c>
      <c r="L960" s="5" t="s">
        <v>31</v>
      </c>
      <c r="M960" s="5" t="s">
        <v>284</v>
      </c>
      <c r="N960" s="5" t="s">
        <v>53</v>
      </c>
      <c r="O960" s="5">
        <v>128</v>
      </c>
      <c r="P960" s="5"/>
      <c r="Q960" s="5"/>
      <c r="R960" s="8">
        <v>8.1018518518518516E-5</v>
      </c>
      <c r="S960" s="5" t="s">
        <v>37</v>
      </c>
      <c r="T960" t="str">
        <f>IF(Tabela1[[#This Row],[STATUS_NEGOCIO]]="Enviar E-mail",1,"")</f>
        <v/>
      </c>
      <c r="U960" t="str">
        <f>TEXT(Tabela1[[#This Row],[DATA]],"dd/mm/aaaa")</f>
        <v>22/04/2026</v>
      </c>
    </row>
    <row r="961" spans="1:21" x14ac:dyDescent="0.25">
      <c r="A961" s="4">
        <v>46134.617743055554</v>
      </c>
      <c r="B961" s="5" t="s">
        <v>19</v>
      </c>
      <c r="C961" s="5" t="s">
        <v>37</v>
      </c>
      <c r="D961" s="5">
        <v>318</v>
      </c>
      <c r="E961" s="6">
        <v>29313890000173</v>
      </c>
      <c r="F961" s="5">
        <v>318</v>
      </c>
      <c r="G961" s="7">
        <v>177688017355621</v>
      </c>
      <c r="H961" s="5" t="s">
        <v>481</v>
      </c>
      <c r="I961" s="5" t="s">
        <v>52</v>
      </c>
      <c r="J961" s="5" t="s">
        <v>22</v>
      </c>
      <c r="K961" s="5" t="s">
        <v>36</v>
      </c>
      <c r="L961" s="5" t="s">
        <v>36</v>
      </c>
      <c r="M961" s="5" t="s">
        <v>284</v>
      </c>
      <c r="N961" s="5" t="s">
        <v>53</v>
      </c>
      <c r="O961" s="5">
        <v>1</v>
      </c>
      <c r="P961" s="5"/>
      <c r="Q961" s="5"/>
      <c r="R961" s="8">
        <v>0</v>
      </c>
      <c r="S961" s="5" t="s">
        <v>37</v>
      </c>
      <c r="T961" t="str">
        <f>IF(Tabela1[[#This Row],[STATUS_NEGOCIO]]="Enviar E-mail",1,"")</f>
        <v/>
      </c>
      <c r="U961" t="str">
        <f>TEXT(Tabela1[[#This Row],[DATA]],"dd/mm/aaaa")</f>
        <v>22/04/2026</v>
      </c>
    </row>
    <row r="962" spans="1:21" x14ac:dyDescent="0.25">
      <c r="A962" s="4">
        <v>46134.617743055554</v>
      </c>
      <c r="B962" s="5" t="s">
        <v>19</v>
      </c>
      <c r="C962" s="5" t="s">
        <v>37</v>
      </c>
      <c r="D962" s="5">
        <v>320</v>
      </c>
      <c r="E962" s="6">
        <v>29348695000189</v>
      </c>
      <c r="F962" s="5">
        <v>320</v>
      </c>
      <c r="G962" s="7">
        <v>177688017355631</v>
      </c>
      <c r="H962" s="5" t="s">
        <v>482</v>
      </c>
      <c r="I962" s="5" t="s">
        <v>52</v>
      </c>
      <c r="J962" s="5" t="s">
        <v>22</v>
      </c>
      <c r="K962" s="5" t="s">
        <v>36</v>
      </c>
      <c r="L962" s="5" t="s">
        <v>36</v>
      </c>
      <c r="M962" s="5" t="s">
        <v>284</v>
      </c>
      <c r="N962" s="5" t="s">
        <v>53</v>
      </c>
      <c r="O962" s="5">
        <v>34</v>
      </c>
      <c r="P962" s="5"/>
      <c r="Q962" s="5"/>
      <c r="R962" s="8">
        <v>0</v>
      </c>
      <c r="S962" s="5" t="s">
        <v>37</v>
      </c>
      <c r="T962" t="str">
        <f>IF(Tabela1[[#This Row],[STATUS_NEGOCIO]]="Enviar E-mail",1,"")</f>
        <v/>
      </c>
      <c r="U962" t="str">
        <f>TEXT(Tabela1[[#This Row],[DATA]],"dd/mm/aaaa")</f>
        <v>22/04/2026</v>
      </c>
    </row>
    <row r="963" spans="1:21" x14ac:dyDescent="0.25">
      <c r="A963" s="4">
        <v>46134.617743055554</v>
      </c>
      <c r="B963" s="5" t="s">
        <v>19</v>
      </c>
      <c r="C963" s="5" t="s">
        <v>37</v>
      </c>
      <c r="D963" s="5">
        <v>322</v>
      </c>
      <c r="E963" s="6">
        <v>29549276000105</v>
      </c>
      <c r="F963" s="5">
        <v>322</v>
      </c>
      <c r="G963" s="7">
        <v>177688017355641</v>
      </c>
      <c r="H963" s="5" t="s">
        <v>484</v>
      </c>
      <c r="I963" s="5" t="s">
        <v>52</v>
      </c>
      <c r="J963" s="5" t="s">
        <v>22</v>
      </c>
      <c r="K963" s="5" t="s">
        <v>36</v>
      </c>
      <c r="L963" s="5" t="s">
        <v>36</v>
      </c>
      <c r="M963" s="5" t="s">
        <v>284</v>
      </c>
      <c r="N963" s="5" t="s">
        <v>53</v>
      </c>
      <c r="O963" s="5">
        <v>34</v>
      </c>
      <c r="P963" s="5"/>
      <c r="Q963" s="5"/>
      <c r="R963" s="8">
        <v>0</v>
      </c>
      <c r="S963" s="5" t="s">
        <v>37</v>
      </c>
      <c r="T963" t="str">
        <f>IF(Tabela1[[#This Row],[STATUS_NEGOCIO]]="Enviar E-mail",1,"")</f>
        <v/>
      </c>
      <c r="U963" t="str">
        <f>TEXT(Tabela1[[#This Row],[DATA]],"dd/mm/aaaa")</f>
        <v>22/04/2026</v>
      </c>
    </row>
    <row r="964" spans="1:21" x14ac:dyDescent="0.25">
      <c r="A964" s="4">
        <v>46134.617743055554</v>
      </c>
      <c r="B964" s="5" t="s">
        <v>19</v>
      </c>
      <c r="C964" s="5" t="s">
        <v>37</v>
      </c>
      <c r="D964" s="5">
        <v>323</v>
      </c>
      <c r="E964" s="6">
        <v>29627007000110</v>
      </c>
      <c r="F964" s="5">
        <v>323</v>
      </c>
      <c r="G964" s="7">
        <v>177688017355651</v>
      </c>
      <c r="H964" s="5" t="s">
        <v>485</v>
      </c>
      <c r="I964" s="5" t="s">
        <v>52</v>
      </c>
      <c r="J964" s="5" t="s">
        <v>22</v>
      </c>
      <c r="K964" s="5" t="s">
        <v>36</v>
      </c>
      <c r="L964" s="5" t="s">
        <v>36</v>
      </c>
      <c r="M964" s="5" t="s">
        <v>284</v>
      </c>
      <c r="N964" s="5" t="s">
        <v>53</v>
      </c>
      <c r="O964" s="5">
        <v>34</v>
      </c>
      <c r="P964" s="5"/>
      <c r="Q964" s="5"/>
      <c r="R964" s="8">
        <v>0</v>
      </c>
      <c r="S964" s="5" t="s">
        <v>37</v>
      </c>
      <c r="T964" t="str">
        <f>IF(Tabela1[[#This Row],[STATUS_NEGOCIO]]="Enviar E-mail",1,"")</f>
        <v/>
      </c>
      <c r="U964" t="str">
        <f>TEXT(Tabela1[[#This Row],[DATA]],"dd/mm/aaaa")</f>
        <v>22/04/2026</v>
      </c>
    </row>
    <row r="965" spans="1:21" x14ac:dyDescent="0.25">
      <c r="A965" s="4">
        <v>46134.617743055554</v>
      </c>
      <c r="B965" s="5" t="s">
        <v>19</v>
      </c>
      <c r="C965" s="5" t="s">
        <v>37</v>
      </c>
      <c r="D965" s="5">
        <v>325</v>
      </c>
      <c r="E965" s="6">
        <v>29654365000111</v>
      </c>
      <c r="F965" s="5">
        <v>325</v>
      </c>
      <c r="G965" s="7">
        <v>177688017355661</v>
      </c>
      <c r="H965" s="5" t="s">
        <v>487</v>
      </c>
      <c r="I965" s="5" t="s">
        <v>52</v>
      </c>
      <c r="J965" s="5" t="s">
        <v>22</v>
      </c>
      <c r="K965" s="5" t="s">
        <v>36</v>
      </c>
      <c r="L965" s="5" t="s">
        <v>36</v>
      </c>
      <c r="M965" s="5" t="s">
        <v>284</v>
      </c>
      <c r="N965" s="5" t="s">
        <v>53</v>
      </c>
      <c r="O965" s="5">
        <v>34</v>
      </c>
      <c r="P965" s="5"/>
      <c r="Q965" s="5"/>
      <c r="R965" s="8">
        <v>0</v>
      </c>
      <c r="S965" s="5" t="s">
        <v>37</v>
      </c>
      <c r="T965" t="str">
        <f>IF(Tabela1[[#This Row],[STATUS_NEGOCIO]]="Enviar E-mail",1,"")</f>
        <v/>
      </c>
      <c r="U965" t="str">
        <f>TEXT(Tabela1[[#This Row],[DATA]],"dd/mm/aaaa")</f>
        <v>22/04/2026</v>
      </c>
    </row>
    <row r="966" spans="1:21" x14ac:dyDescent="0.25">
      <c r="A966" s="4">
        <v>46134.617754629631</v>
      </c>
      <c r="B966" s="5" t="s">
        <v>19</v>
      </c>
      <c r="C966" s="5" t="s">
        <v>37</v>
      </c>
      <c r="D966" s="5">
        <v>326</v>
      </c>
      <c r="E966" s="6">
        <v>29688710000138</v>
      </c>
      <c r="F966" s="5">
        <v>326</v>
      </c>
      <c r="G966" s="7">
        <v>177688017455671</v>
      </c>
      <c r="H966" s="5" t="s">
        <v>169</v>
      </c>
      <c r="I966" s="5">
        <v>3003</v>
      </c>
      <c r="J966" s="5" t="s">
        <v>22</v>
      </c>
      <c r="K966" s="5" t="s">
        <v>23</v>
      </c>
      <c r="L966" s="5" t="s">
        <v>31</v>
      </c>
      <c r="M966" s="5" t="s">
        <v>284</v>
      </c>
      <c r="N966" s="5" t="s">
        <v>53</v>
      </c>
      <c r="O966" s="5">
        <v>128</v>
      </c>
      <c r="P966" s="5"/>
      <c r="Q966" s="5"/>
      <c r="R966" s="8">
        <v>8.1018518518518516E-5</v>
      </c>
      <c r="S966" s="5" t="s">
        <v>37</v>
      </c>
      <c r="T966" t="str">
        <f>IF(Tabela1[[#This Row],[STATUS_NEGOCIO]]="Enviar E-mail",1,"")</f>
        <v/>
      </c>
      <c r="U966" t="str">
        <f>TEXT(Tabela1[[#This Row],[DATA]],"dd/mm/aaaa")</f>
        <v>22/04/2026</v>
      </c>
    </row>
    <row r="967" spans="1:21" x14ac:dyDescent="0.25">
      <c r="A967" s="4">
        <v>46134.617754629631</v>
      </c>
      <c r="B967" s="5" t="s">
        <v>19</v>
      </c>
      <c r="C967" s="5" t="s">
        <v>37</v>
      </c>
      <c r="D967" s="5">
        <v>327</v>
      </c>
      <c r="E967" s="6">
        <v>29732268000108</v>
      </c>
      <c r="F967" s="5">
        <v>327</v>
      </c>
      <c r="G967" s="7">
        <v>177688017455681</v>
      </c>
      <c r="H967" s="5" t="s">
        <v>71</v>
      </c>
      <c r="I967" s="5" t="s">
        <v>52</v>
      </c>
      <c r="J967" s="5" t="s">
        <v>22</v>
      </c>
      <c r="K967" s="5" t="s">
        <v>36</v>
      </c>
      <c r="L967" s="5" t="s">
        <v>36</v>
      </c>
      <c r="M967" s="5" t="s">
        <v>284</v>
      </c>
      <c r="N967" s="5" t="s">
        <v>53</v>
      </c>
      <c r="O967" s="5">
        <v>19</v>
      </c>
      <c r="P967" s="5"/>
      <c r="Q967" s="5"/>
      <c r="R967" s="8">
        <v>0</v>
      </c>
      <c r="S967" s="5" t="s">
        <v>37</v>
      </c>
      <c r="T967" t="str">
        <f>IF(Tabela1[[#This Row],[STATUS_NEGOCIO]]="Enviar E-mail",1,"")</f>
        <v/>
      </c>
      <c r="U967" t="str">
        <f>TEXT(Tabela1[[#This Row],[DATA]],"dd/mm/aaaa")</f>
        <v>22/04/2026</v>
      </c>
    </row>
    <row r="968" spans="1:21" x14ac:dyDescent="0.25">
      <c r="A968" s="4">
        <v>46134.617754629631</v>
      </c>
      <c r="B968" s="5" t="s">
        <v>19</v>
      </c>
      <c r="C968" s="5" t="s">
        <v>37</v>
      </c>
      <c r="D968" s="5">
        <v>328</v>
      </c>
      <c r="E968" s="6">
        <v>29762098000104</v>
      </c>
      <c r="F968" s="5">
        <v>328</v>
      </c>
      <c r="G968" s="7">
        <v>177688017455691</v>
      </c>
      <c r="H968" s="5" t="s">
        <v>488</v>
      </c>
      <c r="I968" s="5" t="s">
        <v>52</v>
      </c>
      <c r="J968" s="5" t="s">
        <v>22</v>
      </c>
      <c r="K968" s="5" t="s">
        <v>36</v>
      </c>
      <c r="L968" s="5" t="s">
        <v>36</v>
      </c>
      <c r="M968" s="5" t="s">
        <v>284</v>
      </c>
      <c r="N968" s="5" t="s">
        <v>53</v>
      </c>
      <c r="O968" s="5">
        <v>34</v>
      </c>
      <c r="P968" s="5"/>
      <c r="Q968" s="5"/>
      <c r="R968" s="8">
        <v>0</v>
      </c>
      <c r="S968" s="5" t="s">
        <v>37</v>
      </c>
      <c r="T968" t="str">
        <f>IF(Tabela1[[#This Row],[STATUS_NEGOCIO]]="Enviar E-mail",1,"")</f>
        <v/>
      </c>
      <c r="U968" t="str">
        <f>TEXT(Tabela1[[#This Row],[DATA]],"dd/mm/aaaa")</f>
        <v>22/04/2026</v>
      </c>
    </row>
    <row r="969" spans="1:21" x14ac:dyDescent="0.25">
      <c r="A969" s="4">
        <v>46134.617766203701</v>
      </c>
      <c r="B969" s="5" t="s">
        <v>19</v>
      </c>
      <c r="C969" s="5" t="s">
        <v>37</v>
      </c>
      <c r="D969" s="5">
        <v>329</v>
      </c>
      <c r="E969" s="6">
        <v>29763215000146</v>
      </c>
      <c r="F969" s="5">
        <v>329</v>
      </c>
      <c r="G969" s="7">
        <v>177688017555711</v>
      </c>
      <c r="H969" s="5" t="s">
        <v>489</v>
      </c>
      <c r="I969" s="5">
        <v>3003</v>
      </c>
      <c r="J969" s="5" t="s">
        <v>22</v>
      </c>
      <c r="K969" s="5" t="s">
        <v>23</v>
      </c>
      <c r="L969" s="5" t="s">
        <v>31</v>
      </c>
      <c r="M969" s="5" t="s">
        <v>284</v>
      </c>
      <c r="N969" s="5" t="s">
        <v>53</v>
      </c>
      <c r="O969" s="5">
        <v>128</v>
      </c>
      <c r="P969" s="5"/>
      <c r="Q969" s="5"/>
      <c r="R969" s="8">
        <v>6.9444444444444444E-5</v>
      </c>
      <c r="S969" s="5" t="s">
        <v>37</v>
      </c>
      <c r="T969" t="str">
        <f>IF(Tabela1[[#This Row],[STATUS_NEGOCIO]]="Enviar E-mail",1,"")</f>
        <v/>
      </c>
      <c r="U969" t="str">
        <f>TEXT(Tabela1[[#This Row],[DATA]],"dd/mm/aaaa")</f>
        <v>22/04/2026</v>
      </c>
    </row>
    <row r="970" spans="1:21" x14ac:dyDescent="0.25">
      <c r="A970" s="4">
        <v>46134.617789351854</v>
      </c>
      <c r="B970" s="5" t="s">
        <v>19</v>
      </c>
      <c r="C970" s="5" t="s">
        <v>37</v>
      </c>
      <c r="D970" s="5">
        <v>330</v>
      </c>
      <c r="E970" s="6">
        <v>29804549000110</v>
      </c>
      <c r="F970" s="5">
        <v>330</v>
      </c>
      <c r="G970" s="7">
        <v>177688017755741</v>
      </c>
      <c r="H970" s="5" t="s">
        <v>186</v>
      </c>
      <c r="I970" s="5">
        <v>3003</v>
      </c>
      <c r="J970" s="5" t="s">
        <v>22</v>
      </c>
      <c r="K970" s="5" t="s">
        <v>23</v>
      </c>
      <c r="L970" s="5" t="s">
        <v>31</v>
      </c>
      <c r="M970" s="5" t="s">
        <v>284</v>
      </c>
      <c r="N970" s="5" t="s">
        <v>53</v>
      </c>
      <c r="O970" s="5">
        <v>128</v>
      </c>
      <c r="P970" s="5"/>
      <c r="Q970" s="5"/>
      <c r="R970" s="8">
        <v>8.1018518518518516E-5</v>
      </c>
      <c r="S970" s="5" t="s">
        <v>37</v>
      </c>
      <c r="T970" t="str">
        <f>IF(Tabela1[[#This Row],[STATUS_NEGOCIO]]="Enviar E-mail",1,"")</f>
        <v/>
      </c>
      <c r="U970" t="str">
        <f>TEXT(Tabela1[[#This Row],[DATA]],"dd/mm/aaaa")</f>
        <v>22/04/2026</v>
      </c>
    </row>
    <row r="971" spans="1:21" x14ac:dyDescent="0.25">
      <c r="A971" s="4">
        <v>46134.617812500001</v>
      </c>
      <c r="B971" s="5" t="s">
        <v>19</v>
      </c>
      <c r="C971" s="5" t="s">
        <v>37</v>
      </c>
      <c r="D971" s="5">
        <v>331</v>
      </c>
      <c r="E971" s="6">
        <v>29971512000187</v>
      </c>
      <c r="F971" s="5">
        <v>331</v>
      </c>
      <c r="G971" s="7">
        <v>177688017955781</v>
      </c>
      <c r="H971" s="5" t="s">
        <v>490</v>
      </c>
      <c r="I971" s="5">
        <v>3003</v>
      </c>
      <c r="J971" s="5" t="s">
        <v>22</v>
      </c>
      <c r="K971" s="5" t="s">
        <v>23</v>
      </c>
      <c r="L971" s="5" t="s">
        <v>31</v>
      </c>
      <c r="M971" s="5" t="s">
        <v>284</v>
      </c>
      <c r="N971" s="5" t="s">
        <v>53</v>
      </c>
      <c r="O971" s="5">
        <v>128</v>
      </c>
      <c r="P971" s="5"/>
      <c r="Q971" s="5"/>
      <c r="R971" s="8">
        <v>8.1018518518518516E-5</v>
      </c>
      <c r="S971" s="5" t="s">
        <v>37</v>
      </c>
      <c r="T971" t="str">
        <f>IF(Tabela1[[#This Row],[STATUS_NEGOCIO]]="Enviar E-mail",1,"")</f>
        <v/>
      </c>
      <c r="U971" t="str">
        <f>TEXT(Tabela1[[#This Row],[DATA]],"dd/mm/aaaa")</f>
        <v>22/04/2026</v>
      </c>
    </row>
    <row r="972" spans="1:21" x14ac:dyDescent="0.25">
      <c r="A972" s="4">
        <v>46134.617835648147</v>
      </c>
      <c r="B972" s="5" t="s">
        <v>19</v>
      </c>
      <c r="C972" s="5" t="s">
        <v>37</v>
      </c>
      <c r="D972" s="5">
        <v>332</v>
      </c>
      <c r="E972" s="6">
        <v>29976990000180</v>
      </c>
      <c r="F972" s="5">
        <v>332</v>
      </c>
      <c r="G972" s="7">
        <v>177688018155791</v>
      </c>
      <c r="H972" s="5" t="s">
        <v>491</v>
      </c>
      <c r="I972" s="5">
        <v>3003</v>
      </c>
      <c r="J972" s="5" t="s">
        <v>22</v>
      </c>
      <c r="K972" s="5" t="s">
        <v>23</v>
      </c>
      <c r="L972" s="5" t="s">
        <v>31</v>
      </c>
      <c r="M972" s="5" t="s">
        <v>284</v>
      </c>
      <c r="N972" s="5" t="s">
        <v>53</v>
      </c>
      <c r="O972" s="5">
        <v>147</v>
      </c>
      <c r="P972" s="5"/>
      <c r="Q972" s="5"/>
      <c r="R972" s="8">
        <v>8.1018518518518516E-5</v>
      </c>
      <c r="S972" s="5" t="s">
        <v>37</v>
      </c>
      <c r="T972" t="str">
        <f>IF(Tabela1[[#This Row],[STATUS_NEGOCIO]]="Enviar E-mail",1,"")</f>
        <v/>
      </c>
      <c r="U972" t="str">
        <f>TEXT(Tabela1[[#This Row],[DATA]],"dd/mm/aaaa")</f>
        <v>22/04/2026</v>
      </c>
    </row>
    <row r="973" spans="1:21" x14ac:dyDescent="0.25">
      <c r="A973" s="4">
        <v>46134.617858796293</v>
      </c>
      <c r="B973" s="5" t="s">
        <v>19</v>
      </c>
      <c r="C973" s="5" t="s">
        <v>37</v>
      </c>
      <c r="D973" s="5">
        <v>333</v>
      </c>
      <c r="E973" s="6">
        <v>30116263000121</v>
      </c>
      <c r="F973" s="5">
        <v>333</v>
      </c>
      <c r="G973" s="7">
        <v>177688018355841</v>
      </c>
      <c r="H973" s="5" t="s">
        <v>492</v>
      </c>
      <c r="I973" s="5" t="s">
        <v>52</v>
      </c>
      <c r="J973" s="5" t="s">
        <v>22</v>
      </c>
      <c r="K973" s="5" t="s">
        <v>36</v>
      </c>
      <c r="L973" s="5" t="s">
        <v>36</v>
      </c>
      <c r="M973" s="5" t="s">
        <v>284</v>
      </c>
      <c r="N973" s="5" t="s">
        <v>53</v>
      </c>
      <c r="O973" s="5">
        <v>19</v>
      </c>
      <c r="P973" s="5"/>
      <c r="Q973" s="5"/>
      <c r="R973" s="8">
        <v>0</v>
      </c>
      <c r="S973" s="5" t="s">
        <v>37</v>
      </c>
      <c r="T973" t="str">
        <f>IF(Tabela1[[#This Row],[STATUS_NEGOCIO]]="Enviar E-mail",1,"")</f>
        <v/>
      </c>
      <c r="U973" t="str">
        <f>TEXT(Tabela1[[#This Row],[DATA]],"dd/mm/aaaa")</f>
        <v>22/04/2026</v>
      </c>
    </row>
    <row r="974" spans="1:21" x14ac:dyDescent="0.25">
      <c r="A974" s="4">
        <v>46134.617881944447</v>
      </c>
      <c r="B974" s="5" t="s">
        <v>19</v>
      </c>
      <c r="C974" s="5" t="s">
        <v>37</v>
      </c>
      <c r="D974" s="5">
        <v>334</v>
      </c>
      <c r="E974" s="6">
        <v>30162531000141</v>
      </c>
      <c r="F974" s="5">
        <v>334</v>
      </c>
      <c r="G974" s="7">
        <v>177688018555881</v>
      </c>
      <c r="H974" s="5" t="s">
        <v>167</v>
      </c>
      <c r="I974" s="5">
        <v>3003</v>
      </c>
      <c r="J974" s="5" t="s">
        <v>22</v>
      </c>
      <c r="K974" s="5" t="s">
        <v>23</v>
      </c>
      <c r="L974" s="5" t="s">
        <v>31</v>
      </c>
      <c r="M974" s="5" t="s">
        <v>284</v>
      </c>
      <c r="N974" s="5" t="s">
        <v>53</v>
      </c>
      <c r="O974" s="5">
        <v>128</v>
      </c>
      <c r="P974" s="5"/>
      <c r="Q974" s="5"/>
      <c r="R974" s="8">
        <v>8.1018518518518516E-5</v>
      </c>
      <c r="S974" s="5" t="s">
        <v>37</v>
      </c>
      <c r="T974" t="str">
        <f>IF(Tabela1[[#This Row],[STATUS_NEGOCIO]]="Enviar E-mail",1,"")</f>
        <v/>
      </c>
      <c r="U974" t="str">
        <f>TEXT(Tabela1[[#This Row],[DATA]],"dd/mm/aaaa")</f>
        <v>22/04/2026</v>
      </c>
    </row>
    <row r="975" spans="1:21" x14ac:dyDescent="0.25">
      <c r="A975" s="4">
        <v>46134.617905092593</v>
      </c>
      <c r="B975" s="5" t="s">
        <v>19</v>
      </c>
      <c r="C975" s="5" t="s">
        <v>37</v>
      </c>
      <c r="D975" s="5">
        <v>335</v>
      </c>
      <c r="E975" s="6">
        <v>30165203000107</v>
      </c>
      <c r="F975" s="5">
        <v>335</v>
      </c>
      <c r="G975" s="7">
        <v>177688018755901</v>
      </c>
      <c r="H975" s="5" t="s">
        <v>89</v>
      </c>
      <c r="I975" s="5">
        <v>3003</v>
      </c>
      <c r="J975" s="5" t="s">
        <v>22</v>
      </c>
      <c r="K975" s="5" t="s">
        <v>23</v>
      </c>
      <c r="L975" s="5" t="s">
        <v>31</v>
      </c>
      <c r="M975" s="5" t="s">
        <v>284</v>
      </c>
      <c r="N975" s="5" t="s">
        <v>53</v>
      </c>
      <c r="O975" s="5">
        <v>128</v>
      </c>
      <c r="P975" s="5"/>
      <c r="Q975" s="5"/>
      <c r="R975" s="8">
        <v>8.1018518518518516E-5</v>
      </c>
      <c r="S975" s="5" t="s">
        <v>37</v>
      </c>
      <c r="T975" t="str">
        <f>IF(Tabela1[[#This Row],[STATUS_NEGOCIO]]="Enviar E-mail",1,"")</f>
        <v/>
      </c>
      <c r="U975" t="str">
        <f>TEXT(Tabela1[[#This Row],[DATA]],"dd/mm/aaaa")</f>
        <v>22/04/2026</v>
      </c>
    </row>
    <row r="976" spans="1:21" x14ac:dyDescent="0.25">
      <c r="A976" s="4">
        <v>46134.617928240739</v>
      </c>
      <c r="B976" s="5" t="s">
        <v>19</v>
      </c>
      <c r="C976" s="5" t="s">
        <v>37</v>
      </c>
      <c r="D976" s="5">
        <v>336</v>
      </c>
      <c r="E976" s="6">
        <v>30168759000149</v>
      </c>
      <c r="F976" s="5">
        <v>336</v>
      </c>
      <c r="G976" s="7">
        <v>177688018955941</v>
      </c>
      <c r="H976" s="5" t="s">
        <v>493</v>
      </c>
      <c r="I976" s="5" t="s">
        <v>52</v>
      </c>
      <c r="J976" s="5" t="s">
        <v>22</v>
      </c>
      <c r="K976" s="5" t="s">
        <v>36</v>
      </c>
      <c r="L976" s="5" t="s">
        <v>36</v>
      </c>
      <c r="M976" s="5" t="s">
        <v>284</v>
      </c>
      <c r="N976" s="5" t="s">
        <v>53</v>
      </c>
      <c r="O976" s="5">
        <v>1</v>
      </c>
      <c r="P976" s="5"/>
      <c r="Q976" s="5"/>
      <c r="R976" s="8">
        <v>0</v>
      </c>
      <c r="S976" s="5" t="s">
        <v>37</v>
      </c>
      <c r="T976" t="str">
        <f>IF(Tabela1[[#This Row],[STATUS_NEGOCIO]]="Enviar E-mail",1,"")</f>
        <v/>
      </c>
      <c r="U976" t="str">
        <f>TEXT(Tabela1[[#This Row],[DATA]],"dd/mm/aaaa")</f>
        <v>22/04/2026</v>
      </c>
    </row>
    <row r="977" spans="1:21" x14ac:dyDescent="0.25">
      <c r="A977" s="4">
        <v>46134.617928240739</v>
      </c>
      <c r="B977" s="5" t="s">
        <v>19</v>
      </c>
      <c r="C977" s="5" t="s">
        <v>37</v>
      </c>
      <c r="D977" s="5">
        <v>337</v>
      </c>
      <c r="E977" s="6">
        <v>30182814000155</v>
      </c>
      <c r="F977" s="5">
        <v>337</v>
      </c>
      <c r="G977" s="7">
        <v>177688018955961</v>
      </c>
      <c r="H977" s="5" t="s">
        <v>494</v>
      </c>
      <c r="I977" s="5">
        <v>3003</v>
      </c>
      <c r="J977" s="5" t="s">
        <v>22</v>
      </c>
      <c r="K977" s="5" t="s">
        <v>23</v>
      </c>
      <c r="L977" s="5" t="s">
        <v>31</v>
      </c>
      <c r="M977" s="5" t="s">
        <v>284</v>
      </c>
      <c r="N977" s="5" t="s">
        <v>53</v>
      </c>
      <c r="O977" s="5">
        <v>128</v>
      </c>
      <c r="P977" s="5"/>
      <c r="Q977" s="5"/>
      <c r="R977" s="8">
        <v>8.1018518518518516E-5</v>
      </c>
      <c r="S977" s="5" t="s">
        <v>37</v>
      </c>
      <c r="T977" t="str">
        <f>IF(Tabela1[[#This Row],[STATUS_NEGOCIO]]="Enviar E-mail",1,"")</f>
        <v/>
      </c>
      <c r="U977" t="str">
        <f>TEXT(Tabela1[[#This Row],[DATA]],"dd/mm/aaaa")</f>
        <v>22/04/2026</v>
      </c>
    </row>
    <row r="978" spans="1:21" x14ac:dyDescent="0.25">
      <c r="A978" s="4">
        <v>46134.617928240739</v>
      </c>
      <c r="B978" s="5" t="s">
        <v>19</v>
      </c>
      <c r="C978" s="5" t="s">
        <v>37</v>
      </c>
      <c r="D978" s="5">
        <v>338</v>
      </c>
      <c r="E978" s="6">
        <v>30220686000197</v>
      </c>
      <c r="F978" s="5">
        <v>338</v>
      </c>
      <c r="G978" s="7">
        <v>177688018955971</v>
      </c>
      <c r="H978" s="5" t="s">
        <v>495</v>
      </c>
      <c r="I978" s="5">
        <v>3003</v>
      </c>
      <c r="J978" s="5" t="s">
        <v>22</v>
      </c>
      <c r="K978" s="5" t="s">
        <v>23</v>
      </c>
      <c r="L978" s="5" t="s">
        <v>31</v>
      </c>
      <c r="M978" s="5" t="s">
        <v>284</v>
      </c>
      <c r="N978" s="5" t="s">
        <v>53</v>
      </c>
      <c r="O978" s="5">
        <v>128</v>
      </c>
      <c r="P978" s="5"/>
      <c r="Q978" s="5"/>
      <c r="R978" s="8">
        <v>8.1018518518518516E-5</v>
      </c>
      <c r="S978" s="5" t="s">
        <v>37</v>
      </c>
      <c r="T978" t="str">
        <f>IF(Tabela1[[#This Row],[STATUS_NEGOCIO]]="Enviar E-mail",1,"")</f>
        <v/>
      </c>
      <c r="U978" t="str">
        <f>TEXT(Tabela1[[#This Row],[DATA]],"dd/mm/aaaa")</f>
        <v>22/04/2026</v>
      </c>
    </row>
    <row r="979" spans="1:21" x14ac:dyDescent="0.25">
      <c r="A979" s="4">
        <v>46134.617928240739</v>
      </c>
      <c r="B979" s="5" t="s">
        <v>19</v>
      </c>
      <c r="C979" s="5" t="s">
        <v>27</v>
      </c>
      <c r="D979" s="5">
        <v>339</v>
      </c>
      <c r="E979" s="6">
        <v>30287967000167</v>
      </c>
      <c r="F979" s="5">
        <v>339</v>
      </c>
      <c r="G979" s="7">
        <v>177688018955981</v>
      </c>
      <c r="H979" s="5" t="s">
        <v>240</v>
      </c>
      <c r="I979" s="5">
        <v>3003</v>
      </c>
      <c r="J979" s="5" t="s">
        <v>22</v>
      </c>
      <c r="K979" s="5" t="s">
        <v>23</v>
      </c>
      <c r="L979" s="5" t="s">
        <v>40</v>
      </c>
      <c r="M979" s="5" t="s">
        <v>284</v>
      </c>
      <c r="N979" s="5" t="s">
        <v>26</v>
      </c>
      <c r="O979" s="5">
        <v>16</v>
      </c>
      <c r="P979" s="5"/>
      <c r="Q979" s="5"/>
      <c r="R979" s="8">
        <v>2.0138888888888888E-3</v>
      </c>
      <c r="S979" s="8">
        <v>1.9560185185185184E-3</v>
      </c>
      <c r="T979">
        <f>IF(Tabela1[[#This Row],[STATUS_NEGOCIO]]="Enviar E-mail",1,"")</f>
        <v>1</v>
      </c>
      <c r="U979" t="str">
        <f>TEXT(Tabela1[[#This Row],[DATA]],"dd/mm/aaaa")</f>
        <v>22/04/2026</v>
      </c>
    </row>
    <row r="980" spans="1:21" x14ac:dyDescent="0.25">
      <c r="A980" s="4">
        <v>46134.617939814816</v>
      </c>
      <c r="B980" s="5" t="s">
        <v>19</v>
      </c>
      <c r="C980" s="5" t="s">
        <v>37</v>
      </c>
      <c r="D980" s="5">
        <v>340</v>
      </c>
      <c r="E980" s="6">
        <v>30301105000141</v>
      </c>
      <c r="F980" s="5">
        <v>340</v>
      </c>
      <c r="G980" s="7">
        <v>177688019055991</v>
      </c>
      <c r="H980" s="5" t="s">
        <v>496</v>
      </c>
      <c r="I980" s="5">
        <v>3003</v>
      </c>
      <c r="J980" s="5" t="s">
        <v>22</v>
      </c>
      <c r="K980" s="5" t="s">
        <v>23</v>
      </c>
      <c r="L980" s="5" t="s">
        <v>31</v>
      </c>
      <c r="M980" s="5" t="s">
        <v>284</v>
      </c>
      <c r="N980" s="5" t="s">
        <v>53</v>
      </c>
      <c r="O980" s="5">
        <v>128</v>
      </c>
      <c r="P980" s="5"/>
      <c r="Q980" s="5"/>
      <c r="R980" s="8">
        <v>8.1018518518518516E-5</v>
      </c>
      <c r="S980" s="5" t="s">
        <v>37</v>
      </c>
      <c r="T980" t="str">
        <f>IF(Tabela1[[#This Row],[STATUS_NEGOCIO]]="Enviar E-mail",1,"")</f>
        <v/>
      </c>
      <c r="U980" t="str">
        <f>TEXT(Tabela1[[#This Row],[DATA]],"dd/mm/aaaa")</f>
        <v>22/04/2026</v>
      </c>
    </row>
    <row r="981" spans="1:21" x14ac:dyDescent="0.25">
      <c r="A981" s="4">
        <v>46134.617939814816</v>
      </c>
      <c r="B981" s="5" t="s">
        <v>19</v>
      </c>
      <c r="C981" s="5" t="s">
        <v>37</v>
      </c>
      <c r="D981" s="5">
        <v>341</v>
      </c>
      <c r="E981" s="6">
        <v>30410728000152</v>
      </c>
      <c r="F981" s="5">
        <v>341</v>
      </c>
      <c r="G981" s="7">
        <v>177688019056001</v>
      </c>
      <c r="H981" s="5" t="s">
        <v>184</v>
      </c>
      <c r="I981" s="5">
        <v>3003</v>
      </c>
      <c r="J981" s="5" t="s">
        <v>22</v>
      </c>
      <c r="K981" s="5" t="s">
        <v>23</v>
      </c>
      <c r="L981" s="5" t="s">
        <v>31</v>
      </c>
      <c r="M981" s="5" t="s">
        <v>284</v>
      </c>
      <c r="N981" s="5" t="s">
        <v>53</v>
      </c>
      <c r="O981" s="5">
        <v>128</v>
      </c>
      <c r="P981" s="5"/>
      <c r="Q981" s="5"/>
      <c r="R981" s="8">
        <v>8.1018518518518516E-5</v>
      </c>
      <c r="S981" s="5" t="s">
        <v>37</v>
      </c>
      <c r="T981" t="str">
        <f>IF(Tabela1[[#This Row],[STATUS_NEGOCIO]]="Enviar E-mail",1,"")</f>
        <v/>
      </c>
      <c r="U981" t="str">
        <f>TEXT(Tabela1[[#This Row],[DATA]],"dd/mm/aaaa")</f>
        <v>22/04/2026</v>
      </c>
    </row>
    <row r="982" spans="1:21" x14ac:dyDescent="0.25">
      <c r="A982" s="4">
        <v>46134.617962962962</v>
      </c>
      <c r="B982" s="5" t="s">
        <v>19</v>
      </c>
      <c r="C982" s="5" t="s">
        <v>37</v>
      </c>
      <c r="D982" s="5">
        <v>342</v>
      </c>
      <c r="E982" s="6">
        <v>30540991000166</v>
      </c>
      <c r="F982" s="5">
        <v>342</v>
      </c>
      <c r="G982" s="7">
        <v>177688019256021</v>
      </c>
      <c r="H982" s="5" t="s">
        <v>497</v>
      </c>
      <c r="I982" s="5">
        <v>3003</v>
      </c>
      <c r="J982" s="5" t="s">
        <v>22</v>
      </c>
      <c r="K982" s="5" t="s">
        <v>23</v>
      </c>
      <c r="L982" s="5" t="s">
        <v>31</v>
      </c>
      <c r="M982" s="5" t="s">
        <v>284</v>
      </c>
      <c r="N982" s="5" t="s">
        <v>53</v>
      </c>
      <c r="O982" s="5">
        <v>128</v>
      </c>
      <c r="P982" s="5"/>
      <c r="Q982" s="5"/>
      <c r="R982" s="8">
        <v>8.1018518518518516E-5</v>
      </c>
      <c r="S982" s="5" t="s">
        <v>37</v>
      </c>
      <c r="T982" t="str">
        <f>IF(Tabela1[[#This Row],[STATUS_NEGOCIO]]="Enviar E-mail",1,"")</f>
        <v/>
      </c>
      <c r="U982" t="str">
        <f>TEXT(Tabela1[[#This Row],[DATA]],"dd/mm/aaaa")</f>
        <v>22/04/2026</v>
      </c>
    </row>
    <row r="983" spans="1:21" x14ac:dyDescent="0.25">
      <c r="A983" s="4">
        <v>46134.617974537039</v>
      </c>
      <c r="B983" s="5" t="s">
        <v>19</v>
      </c>
      <c r="C983" s="5" t="s">
        <v>37</v>
      </c>
      <c r="D983" s="5">
        <v>343</v>
      </c>
      <c r="E983" s="6">
        <v>30546429000140</v>
      </c>
      <c r="F983" s="5">
        <v>343</v>
      </c>
      <c r="G983" s="7">
        <v>177688019356031</v>
      </c>
      <c r="H983" s="5" t="s">
        <v>498</v>
      </c>
      <c r="I983" s="5">
        <v>3003</v>
      </c>
      <c r="J983" s="5" t="s">
        <v>22</v>
      </c>
      <c r="K983" s="5" t="s">
        <v>23</v>
      </c>
      <c r="L983" s="5" t="s">
        <v>31</v>
      </c>
      <c r="M983" s="5" t="s">
        <v>284</v>
      </c>
      <c r="N983" s="5" t="s">
        <v>53</v>
      </c>
      <c r="O983" s="5">
        <v>128</v>
      </c>
      <c r="P983" s="5"/>
      <c r="Q983" s="5"/>
      <c r="R983" s="8">
        <v>8.1018518518518516E-5</v>
      </c>
      <c r="S983" s="5" t="s">
        <v>37</v>
      </c>
      <c r="T983" t="str">
        <f>IF(Tabela1[[#This Row],[STATUS_NEGOCIO]]="Enviar E-mail",1,"")</f>
        <v/>
      </c>
      <c r="U983" t="str">
        <f>TEXT(Tabela1[[#This Row],[DATA]],"dd/mm/aaaa")</f>
        <v>22/04/2026</v>
      </c>
    </row>
    <row r="984" spans="1:21" x14ac:dyDescent="0.25">
      <c r="A984" s="4">
        <v>46134.617986111109</v>
      </c>
      <c r="B984" s="5" t="s">
        <v>19</v>
      </c>
      <c r="C984" s="5" t="s">
        <v>37</v>
      </c>
      <c r="D984" s="5">
        <v>344</v>
      </c>
      <c r="E984" s="6">
        <v>30548467000131</v>
      </c>
      <c r="F984" s="5">
        <v>344</v>
      </c>
      <c r="G984" s="7">
        <v>177688019456061</v>
      </c>
      <c r="H984" s="5" t="s">
        <v>499</v>
      </c>
      <c r="I984" s="5" t="s">
        <v>52</v>
      </c>
      <c r="J984" s="5" t="s">
        <v>22</v>
      </c>
      <c r="K984" s="5" t="s">
        <v>36</v>
      </c>
      <c r="L984" s="5" t="s">
        <v>36</v>
      </c>
      <c r="M984" s="5" t="s">
        <v>284</v>
      </c>
      <c r="N984" s="5" t="s">
        <v>53</v>
      </c>
      <c r="O984" s="5">
        <v>1</v>
      </c>
      <c r="P984" s="5"/>
      <c r="Q984" s="5"/>
      <c r="R984" s="8">
        <v>0</v>
      </c>
      <c r="S984" s="5" t="s">
        <v>37</v>
      </c>
      <c r="T984" t="str">
        <f>IF(Tabela1[[#This Row],[STATUS_NEGOCIO]]="Enviar E-mail",1,"")</f>
        <v/>
      </c>
      <c r="U984" t="str">
        <f>TEXT(Tabela1[[#This Row],[DATA]],"dd/mm/aaaa")</f>
        <v>22/04/2026</v>
      </c>
    </row>
    <row r="985" spans="1:21" x14ac:dyDescent="0.25">
      <c r="A985" s="4">
        <v>46134.617986111109</v>
      </c>
      <c r="B985" s="5" t="s">
        <v>19</v>
      </c>
      <c r="C985" s="5" t="s">
        <v>37</v>
      </c>
      <c r="D985" s="5">
        <v>345</v>
      </c>
      <c r="E985" s="6">
        <v>30603615000173</v>
      </c>
      <c r="F985" s="5">
        <v>345</v>
      </c>
      <c r="G985" s="7">
        <v>177688019456121</v>
      </c>
      <c r="H985" s="5" t="s">
        <v>500</v>
      </c>
      <c r="I985" s="5">
        <v>3003</v>
      </c>
      <c r="J985" s="5" t="s">
        <v>22</v>
      </c>
      <c r="K985" s="5" t="s">
        <v>23</v>
      </c>
      <c r="L985" s="5" t="s">
        <v>31</v>
      </c>
      <c r="M985" s="5" t="s">
        <v>284</v>
      </c>
      <c r="N985" s="5" t="s">
        <v>53</v>
      </c>
      <c r="O985" s="5">
        <v>128</v>
      </c>
      <c r="P985" s="5"/>
      <c r="Q985" s="5"/>
      <c r="R985" s="8">
        <v>8.1018518518518516E-5</v>
      </c>
      <c r="S985" s="5" t="s">
        <v>37</v>
      </c>
      <c r="T985" t="str">
        <f>IF(Tabela1[[#This Row],[STATUS_NEGOCIO]]="Enviar E-mail",1,"")</f>
        <v/>
      </c>
      <c r="U985" t="str">
        <f>TEXT(Tabela1[[#This Row],[DATA]],"dd/mm/aaaa")</f>
        <v>22/04/2026</v>
      </c>
    </row>
    <row r="986" spans="1:21" x14ac:dyDescent="0.25">
      <c r="A986" s="4">
        <v>46134.618009259262</v>
      </c>
      <c r="B986" s="5" t="s">
        <v>19</v>
      </c>
      <c r="C986" s="5" t="s">
        <v>37</v>
      </c>
      <c r="D986" s="5">
        <v>346</v>
      </c>
      <c r="E986" s="6">
        <v>30704910000116</v>
      </c>
      <c r="F986" s="5">
        <v>346</v>
      </c>
      <c r="G986" s="7">
        <v>177688019656151</v>
      </c>
      <c r="H986" s="5" t="s">
        <v>501</v>
      </c>
      <c r="I986" s="5">
        <v>3003</v>
      </c>
      <c r="J986" s="5" t="s">
        <v>22</v>
      </c>
      <c r="K986" s="5" t="s">
        <v>23</v>
      </c>
      <c r="L986" s="5" t="s">
        <v>31</v>
      </c>
      <c r="M986" s="5" t="s">
        <v>284</v>
      </c>
      <c r="N986" s="5" t="s">
        <v>53</v>
      </c>
      <c r="O986" s="5">
        <v>128</v>
      </c>
      <c r="P986" s="5"/>
      <c r="Q986" s="5"/>
      <c r="R986" s="8">
        <v>8.1018518518518516E-5</v>
      </c>
      <c r="S986" s="5" t="s">
        <v>37</v>
      </c>
      <c r="T986" t="str">
        <f>IF(Tabela1[[#This Row],[STATUS_NEGOCIO]]="Enviar E-mail",1,"")</f>
        <v/>
      </c>
      <c r="U986" t="str">
        <f>TEXT(Tabela1[[#This Row],[DATA]],"dd/mm/aaaa")</f>
        <v>22/04/2026</v>
      </c>
    </row>
    <row r="987" spans="1:21" x14ac:dyDescent="0.25">
      <c r="A987" s="4">
        <v>46134.618310185186</v>
      </c>
      <c r="B987" s="5" t="s">
        <v>19</v>
      </c>
      <c r="C987" s="5" t="s">
        <v>37</v>
      </c>
      <c r="D987" s="5">
        <v>347</v>
      </c>
      <c r="E987" s="6">
        <v>30780625000184</v>
      </c>
      <c r="F987" s="5">
        <v>347</v>
      </c>
      <c r="G987" s="7">
        <v>177688022256361</v>
      </c>
      <c r="H987" s="5" t="s">
        <v>502</v>
      </c>
      <c r="I987" s="5">
        <v>3003</v>
      </c>
      <c r="J987" s="5" t="s">
        <v>22</v>
      </c>
      <c r="K987" s="5" t="s">
        <v>23</v>
      </c>
      <c r="L987" s="5" t="s">
        <v>31</v>
      </c>
      <c r="M987" s="5" t="s">
        <v>284</v>
      </c>
      <c r="N987" s="5" t="s">
        <v>53</v>
      </c>
      <c r="O987" s="5">
        <v>128</v>
      </c>
      <c r="P987" s="5"/>
      <c r="Q987" s="5"/>
      <c r="R987" s="8">
        <v>6.9444444444444444E-5</v>
      </c>
      <c r="S987" s="5" t="s">
        <v>37</v>
      </c>
      <c r="T987" t="str">
        <f>IF(Tabela1[[#This Row],[STATUS_NEGOCIO]]="Enviar E-mail",1,"")</f>
        <v/>
      </c>
      <c r="U987" t="str">
        <f>TEXT(Tabela1[[#This Row],[DATA]],"dd/mm/aaaa")</f>
        <v>22/04/2026</v>
      </c>
    </row>
    <row r="988" spans="1:21" x14ac:dyDescent="0.25">
      <c r="A988" s="4">
        <v>46134.618321759262</v>
      </c>
      <c r="B988" s="5" t="s">
        <v>19</v>
      </c>
      <c r="C988" s="5" t="s">
        <v>37</v>
      </c>
      <c r="D988" s="5">
        <v>348</v>
      </c>
      <c r="E988" s="6">
        <v>30828743000115</v>
      </c>
      <c r="F988" s="5">
        <v>348</v>
      </c>
      <c r="G988" s="7">
        <v>177688022356391</v>
      </c>
      <c r="H988" s="5" t="s">
        <v>503</v>
      </c>
      <c r="I988" s="5">
        <v>3003</v>
      </c>
      <c r="J988" s="5" t="s">
        <v>22</v>
      </c>
      <c r="K988" s="5" t="s">
        <v>23</v>
      </c>
      <c r="L988" s="5" t="s">
        <v>31</v>
      </c>
      <c r="M988" s="5" t="s">
        <v>284</v>
      </c>
      <c r="N988" s="5" t="s">
        <v>53</v>
      </c>
      <c r="O988" s="5">
        <v>128</v>
      </c>
      <c r="P988" s="5"/>
      <c r="Q988" s="5"/>
      <c r="R988" s="8">
        <v>8.1018518518518516E-5</v>
      </c>
      <c r="S988" s="5" t="s">
        <v>37</v>
      </c>
      <c r="T988" t="str">
        <f>IF(Tabela1[[#This Row],[STATUS_NEGOCIO]]="Enviar E-mail",1,"")</f>
        <v/>
      </c>
      <c r="U988" t="str">
        <f>TEXT(Tabela1[[#This Row],[DATA]],"dd/mm/aaaa")</f>
        <v>22/04/2026</v>
      </c>
    </row>
    <row r="989" spans="1:21" x14ac:dyDescent="0.25">
      <c r="A989" s="4">
        <v>46134.618321759262</v>
      </c>
      <c r="B989" s="5" t="s">
        <v>19</v>
      </c>
      <c r="C989" s="5" t="s">
        <v>37</v>
      </c>
      <c r="D989" s="5">
        <v>349</v>
      </c>
      <c r="E989" s="6">
        <v>30905379000140</v>
      </c>
      <c r="F989" s="5">
        <v>349</v>
      </c>
      <c r="G989" s="7">
        <v>177688022356401</v>
      </c>
      <c r="H989" s="5" t="s">
        <v>108</v>
      </c>
      <c r="I989" s="5">
        <v>3003</v>
      </c>
      <c r="J989" s="5" t="s">
        <v>22</v>
      </c>
      <c r="K989" s="5" t="s">
        <v>23</v>
      </c>
      <c r="L989" s="5" t="s">
        <v>31</v>
      </c>
      <c r="M989" s="5" t="s">
        <v>284</v>
      </c>
      <c r="N989" s="5" t="s">
        <v>53</v>
      </c>
      <c r="O989" s="5">
        <v>128</v>
      </c>
      <c r="P989" s="5"/>
      <c r="Q989" s="5"/>
      <c r="R989" s="8">
        <v>8.1018518518518516E-5</v>
      </c>
      <c r="S989" s="5" t="s">
        <v>37</v>
      </c>
      <c r="T989" t="str">
        <f>IF(Tabela1[[#This Row],[STATUS_NEGOCIO]]="Enviar E-mail",1,"")</f>
        <v/>
      </c>
      <c r="U989" t="str">
        <f>TEXT(Tabela1[[#This Row],[DATA]],"dd/mm/aaaa")</f>
        <v>22/04/2026</v>
      </c>
    </row>
    <row r="990" spans="1:21" x14ac:dyDescent="0.25">
      <c r="A990" s="4">
        <v>46134.618333333332</v>
      </c>
      <c r="B990" s="5" t="s">
        <v>19</v>
      </c>
      <c r="C990" s="5" t="s">
        <v>37</v>
      </c>
      <c r="D990" s="5">
        <v>350</v>
      </c>
      <c r="E990" s="6">
        <v>31084270000151</v>
      </c>
      <c r="F990" s="5">
        <v>350</v>
      </c>
      <c r="G990" s="7">
        <v>177688022456451</v>
      </c>
      <c r="H990" s="5" t="s">
        <v>146</v>
      </c>
      <c r="I990" s="5">
        <v>3003</v>
      </c>
      <c r="J990" s="5" t="s">
        <v>22</v>
      </c>
      <c r="K990" s="5" t="s">
        <v>23</v>
      </c>
      <c r="L990" s="5" t="s">
        <v>31</v>
      </c>
      <c r="M990" s="5" t="s">
        <v>284</v>
      </c>
      <c r="N990" s="5" t="s">
        <v>53</v>
      </c>
      <c r="O990" s="5">
        <v>128</v>
      </c>
      <c r="P990" s="5"/>
      <c r="Q990" s="5"/>
      <c r="R990" s="8">
        <v>8.1018518518518516E-5</v>
      </c>
      <c r="S990" s="5" t="s">
        <v>37</v>
      </c>
      <c r="T990" t="str">
        <f>IF(Tabela1[[#This Row],[STATUS_NEGOCIO]]="Enviar E-mail",1,"")</f>
        <v/>
      </c>
      <c r="U990" t="str">
        <f>TEXT(Tabela1[[#This Row],[DATA]],"dd/mm/aaaa")</f>
        <v>22/04/2026</v>
      </c>
    </row>
    <row r="991" spans="1:21" x14ac:dyDescent="0.25">
      <c r="A991" s="4">
        <v>46134.618344907409</v>
      </c>
      <c r="B991" s="5" t="s">
        <v>19</v>
      </c>
      <c r="C991" s="5" t="s">
        <v>37</v>
      </c>
      <c r="D991" s="5">
        <v>351</v>
      </c>
      <c r="E991" s="6">
        <v>31086168000195</v>
      </c>
      <c r="F991" s="5">
        <v>351</v>
      </c>
      <c r="G991" s="7">
        <v>177688022556481</v>
      </c>
      <c r="H991" s="5" t="s">
        <v>222</v>
      </c>
      <c r="I991" s="5" t="s">
        <v>52</v>
      </c>
      <c r="J991" s="5" t="s">
        <v>22</v>
      </c>
      <c r="K991" s="5" t="s">
        <v>36</v>
      </c>
      <c r="L991" s="5" t="s">
        <v>36</v>
      </c>
      <c r="M991" s="5" t="s">
        <v>284</v>
      </c>
      <c r="N991" s="5" t="s">
        <v>53</v>
      </c>
      <c r="O991" s="5">
        <v>1</v>
      </c>
      <c r="P991" s="5"/>
      <c r="Q991" s="5"/>
      <c r="R991" s="8">
        <v>0</v>
      </c>
      <c r="S991" s="5" t="s">
        <v>37</v>
      </c>
      <c r="T991" t="str">
        <f>IF(Tabela1[[#This Row],[STATUS_NEGOCIO]]="Enviar E-mail",1,"")</f>
        <v/>
      </c>
      <c r="U991" t="str">
        <f>TEXT(Tabela1[[#This Row],[DATA]],"dd/mm/aaaa")</f>
        <v>22/04/2026</v>
      </c>
    </row>
    <row r="992" spans="1:21" x14ac:dyDescent="0.25">
      <c r="A992" s="4">
        <v>46134.618356481478</v>
      </c>
      <c r="B992" s="5" t="s">
        <v>19</v>
      </c>
      <c r="C992" s="5" t="s">
        <v>37</v>
      </c>
      <c r="D992" s="5">
        <v>352</v>
      </c>
      <c r="E992" s="6">
        <v>31131246000126</v>
      </c>
      <c r="F992" s="5">
        <v>352</v>
      </c>
      <c r="G992" s="7">
        <v>177688022656491</v>
      </c>
      <c r="H992" s="5" t="s">
        <v>270</v>
      </c>
      <c r="I992" s="5">
        <v>3003</v>
      </c>
      <c r="J992" s="5" t="s">
        <v>22</v>
      </c>
      <c r="K992" s="5" t="s">
        <v>23</v>
      </c>
      <c r="L992" s="5" t="s">
        <v>31</v>
      </c>
      <c r="M992" s="5" t="s">
        <v>284</v>
      </c>
      <c r="N992" s="5" t="s">
        <v>53</v>
      </c>
      <c r="O992" s="5">
        <v>128</v>
      </c>
      <c r="P992" s="5"/>
      <c r="Q992" s="5"/>
      <c r="R992" s="8">
        <v>8.1018518518518516E-5</v>
      </c>
      <c r="S992" s="5" t="s">
        <v>37</v>
      </c>
      <c r="T992" t="str">
        <f>IF(Tabela1[[#This Row],[STATUS_NEGOCIO]]="Enviar E-mail",1,"")</f>
        <v/>
      </c>
      <c r="U992" t="str">
        <f>TEXT(Tabela1[[#This Row],[DATA]],"dd/mm/aaaa")</f>
        <v>22/04/2026</v>
      </c>
    </row>
    <row r="993" spans="1:21" x14ac:dyDescent="0.25">
      <c r="A993" s="4">
        <v>46134.618425925924</v>
      </c>
      <c r="B993" s="5" t="s">
        <v>19</v>
      </c>
      <c r="C993" s="5" t="s">
        <v>37</v>
      </c>
      <c r="D993" s="5">
        <v>353</v>
      </c>
      <c r="E993" s="6">
        <v>31131998000197</v>
      </c>
      <c r="F993" s="5">
        <v>353</v>
      </c>
      <c r="G993" s="7">
        <v>177688023256571</v>
      </c>
      <c r="H993" s="5" t="s">
        <v>124</v>
      </c>
      <c r="I993" s="5">
        <v>3003</v>
      </c>
      <c r="J993" s="5" t="s">
        <v>22</v>
      </c>
      <c r="K993" s="5" t="s">
        <v>23</v>
      </c>
      <c r="L993" s="5" t="s">
        <v>31</v>
      </c>
      <c r="M993" s="5" t="s">
        <v>284</v>
      </c>
      <c r="N993" s="5" t="s">
        <v>53</v>
      </c>
      <c r="O993" s="5">
        <v>128</v>
      </c>
      <c r="P993" s="5"/>
      <c r="Q993" s="5"/>
      <c r="R993" s="8">
        <v>8.1018518518518516E-5</v>
      </c>
      <c r="S993" s="5" t="s">
        <v>37</v>
      </c>
      <c r="T993" t="str">
        <f>IF(Tabela1[[#This Row],[STATUS_NEGOCIO]]="Enviar E-mail",1,"")</f>
        <v/>
      </c>
      <c r="U993" t="str">
        <f>TEXT(Tabela1[[#This Row],[DATA]],"dd/mm/aaaa")</f>
        <v>22/04/2026</v>
      </c>
    </row>
    <row r="994" spans="1:21" x14ac:dyDescent="0.25">
      <c r="A994" s="4">
        <v>46134.618449074071</v>
      </c>
      <c r="B994" s="5" t="s">
        <v>19</v>
      </c>
      <c r="C994" s="5" t="s">
        <v>37</v>
      </c>
      <c r="D994" s="5">
        <v>354</v>
      </c>
      <c r="E994" s="6">
        <v>31142292000120</v>
      </c>
      <c r="F994" s="5">
        <v>354</v>
      </c>
      <c r="G994" s="7">
        <v>177688023456591</v>
      </c>
      <c r="H994" s="5" t="s">
        <v>504</v>
      </c>
      <c r="I994" s="5">
        <v>3003</v>
      </c>
      <c r="J994" s="5" t="s">
        <v>22</v>
      </c>
      <c r="K994" s="5" t="s">
        <v>23</v>
      </c>
      <c r="L994" s="5" t="s">
        <v>31</v>
      </c>
      <c r="M994" s="5" t="s">
        <v>284</v>
      </c>
      <c r="N994" s="5" t="s">
        <v>53</v>
      </c>
      <c r="O994" s="5">
        <v>128</v>
      </c>
      <c r="P994" s="5"/>
      <c r="Q994" s="5"/>
      <c r="R994" s="8">
        <v>8.1018518518518516E-5</v>
      </c>
      <c r="S994" s="5" t="s">
        <v>37</v>
      </c>
      <c r="T994" t="str">
        <f>IF(Tabela1[[#This Row],[STATUS_NEGOCIO]]="Enviar E-mail",1,"")</f>
        <v/>
      </c>
      <c r="U994" t="str">
        <f>TEXT(Tabela1[[#This Row],[DATA]],"dd/mm/aaaa")</f>
        <v>22/04/2026</v>
      </c>
    </row>
    <row r="995" spans="1:21" x14ac:dyDescent="0.25">
      <c r="A995" s="4">
        <v>46134.618460648147</v>
      </c>
      <c r="B995" s="5" t="s">
        <v>19</v>
      </c>
      <c r="C995" s="5" t="s">
        <v>37</v>
      </c>
      <c r="D995" s="5">
        <v>355</v>
      </c>
      <c r="E995" s="6">
        <v>31142572000139</v>
      </c>
      <c r="F995" s="5">
        <v>355</v>
      </c>
      <c r="G995" s="7">
        <v>177688023556631</v>
      </c>
      <c r="H995" s="5" t="s">
        <v>505</v>
      </c>
      <c r="I995" s="5">
        <v>3003</v>
      </c>
      <c r="J995" s="5" t="s">
        <v>22</v>
      </c>
      <c r="K995" s="5" t="s">
        <v>23</v>
      </c>
      <c r="L995" s="5" t="s">
        <v>31</v>
      </c>
      <c r="M995" s="5" t="s">
        <v>284</v>
      </c>
      <c r="N995" s="5" t="s">
        <v>53</v>
      </c>
      <c r="O995" s="5">
        <v>128</v>
      </c>
      <c r="P995" s="5"/>
      <c r="Q995" s="5"/>
      <c r="R995" s="8">
        <v>8.1018518518518516E-5</v>
      </c>
      <c r="S995" s="5" t="s">
        <v>37</v>
      </c>
      <c r="T995" t="str">
        <f>IF(Tabela1[[#This Row],[STATUS_NEGOCIO]]="Enviar E-mail",1,"")</f>
        <v/>
      </c>
      <c r="U995" t="str">
        <f>TEXT(Tabela1[[#This Row],[DATA]],"dd/mm/aaaa")</f>
        <v>22/04/2026</v>
      </c>
    </row>
    <row r="996" spans="1:21" x14ac:dyDescent="0.25">
      <c r="A996" s="4">
        <v>46134.618460648147</v>
      </c>
      <c r="B996" s="5" t="s">
        <v>19</v>
      </c>
      <c r="C996" s="5" t="s">
        <v>37</v>
      </c>
      <c r="D996" s="5">
        <v>356</v>
      </c>
      <c r="E996" s="6">
        <v>31301737000178</v>
      </c>
      <c r="F996" s="5">
        <v>356</v>
      </c>
      <c r="G996" s="7">
        <v>177688023556641</v>
      </c>
      <c r="H996" s="5" t="s">
        <v>159</v>
      </c>
      <c r="I996" s="5">
        <v>3003</v>
      </c>
      <c r="J996" s="5" t="s">
        <v>22</v>
      </c>
      <c r="K996" s="5" t="s">
        <v>23</v>
      </c>
      <c r="L996" s="5" t="s">
        <v>31</v>
      </c>
      <c r="M996" s="5" t="s">
        <v>284</v>
      </c>
      <c r="N996" s="5" t="s">
        <v>53</v>
      </c>
      <c r="O996" s="5">
        <v>128</v>
      </c>
      <c r="P996" s="5"/>
      <c r="Q996" s="5"/>
      <c r="R996" s="8">
        <v>8.1018518518518516E-5</v>
      </c>
      <c r="S996" s="5" t="s">
        <v>37</v>
      </c>
      <c r="T996" t="str">
        <f>IF(Tabela1[[#This Row],[STATUS_NEGOCIO]]="Enviar E-mail",1,"")</f>
        <v/>
      </c>
      <c r="U996" t="str">
        <f>TEXT(Tabela1[[#This Row],[DATA]],"dd/mm/aaaa")</f>
        <v>22/04/2026</v>
      </c>
    </row>
    <row r="997" spans="1:21" x14ac:dyDescent="0.25">
      <c r="A997" s="4">
        <v>46134.618483796294</v>
      </c>
      <c r="B997" s="5" t="s">
        <v>19</v>
      </c>
      <c r="C997" s="5" t="s">
        <v>37</v>
      </c>
      <c r="D997" s="5">
        <v>357</v>
      </c>
      <c r="E997" s="6">
        <v>31307787000162</v>
      </c>
      <c r="F997" s="5">
        <v>357</v>
      </c>
      <c r="G997" s="7">
        <v>177688023756661</v>
      </c>
      <c r="H997" s="5" t="s">
        <v>506</v>
      </c>
      <c r="I997" s="5">
        <v>3003</v>
      </c>
      <c r="J997" s="5" t="s">
        <v>22</v>
      </c>
      <c r="K997" s="5" t="s">
        <v>23</v>
      </c>
      <c r="L997" s="5" t="s">
        <v>31</v>
      </c>
      <c r="M997" s="5" t="s">
        <v>284</v>
      </c>
      <c r="N997" s="5" t="s">
        <v>53</v>
      </c>
      <c r="O997" s="5">
        <v>128</v>
      </c>
      <c r="P997" s="5"/>
      <c r="Q997" s="5"/>
      <c r="R997" s="8">
        <v>8.1018518518518516E-5</v>
      </c>
      <c r="S997" s="5" t="s">
        <v>37</v>
      </c>
      <c r="T997" t="str">
        <f>IF(Tabela1[[#This Row],[STATUS_NEGOCIO]]="Enviar E-mail",1,"")</f>
        <v/>
      </c>
      <c r="U997" t="str">
        <f>TEXT(Tabela1[[#This Row],[DATA]],"dd/mm/aaaa")</f>
        <v>22/04/2026</v>
      </c>
    </row>
    <row r="998" spans="1:21" x14ac:dyDescent="0.25">
      <c r="A998" s="4">
        <v>46134.618506944447</v>
      </c>
      <c r="B998" s="5" t="s">
        <v>19</v>
      </c>
      <c r="C998" s="5" t="s">
        <v>37</v>
      </c>
      <c r="D998" s="5">
        <v>358</v>
      </c>
      <c r="E998" s="6">
        <v>31396511000106</v>
      </c>
      <c r="F998" s="5">
        <v>358</v>
      </c>
      <c r="G998" s="7">
        <v>177688023956681</v>
      </c>
      <c r="H998" s="5" t="s">
        <v>507</v>
      </c>
      <c r="I998" s="5">
        <v>3003</v>
      </c>
      <c r="J998" s="5" t="s">
        <v>22</v>
      </c>
      <c r="K998" s="5" t="s">
        <v>23</v>
      </c>
      <c r="L998" s="5" t="s">
        <v>31</v>
      </c>
      <c r="M998" s="5" t="s">
        <v>284</v>
      </c>
      <c r="N998" s="5" t="s">
        <v>53</v>
      </c>
      <c r="O998" s="5">
        <v>128</v>
      </c>
      <c r="P998" s="5"/>
      <c r="Q998" s="5"/>
      <c r="R998" s="8">
        <v>8.1018518518518516E-5</v>
      </c>
      <c r="S998" s="5" t="s">
        <v>37</v>
      </c>
      <c r="T998" t="str">
        <f>IF(Tabela1[[#This Row],[STATUS_NEGOCIO]]="Enviar E-mail",1,"")</f>
        <v/>
      </c>
      <c r="U998" t="str">
        <f>TEXT(Tabela1[[#This Row],[DATA]],"dd/mm/aaaa")</f>
        <v>22/04/2026</v>
      </c>
    </row>
    <row r="999" spans="1:21" x14ac:dyDescent="0.25">
      <c r="A999" s="4">
        <v>46134.618530092594</v>
      </c>
      <c r="B999" s="5" t="s">
        <v>19</v>
      </c>
      <c r="C999" s="5" t="s">
        <v>37</v>
      </c>
      <c r="D999" s="5">
        <v>359</v>
      </c>
      <c r="E999" s="6">
        <v>31441165000122</v>
      </c>
      <c r="F999" s="5">
        <v>359</v>
      </c>
      <c r="G999" s="7">
        <v>177688024156731</v>
      </c>
      <c r="H999" s="5" t="s">
        <v>508</v>
      </c>
      <c r="I999" s="5">
        <v>3003</v>
      </c>
      <c r="J999" s="5" t="s">
        <v>22</v>
      </c>
      <c r="K999" s="5" t="s">
        <v>23</v>
      </c>
      <c r="L999" s="5" t="s">
        <v>31</v>
      </c>
      <c r="M999" s="5" t="s">
        <v>284</v>
      </c>
      <c r="N999" s="5" t="s">
        <v>53</v>
      </c>
      <c r="O999" s="5">
        <v>128</v>
      </c>
      <c r="P999" s="5"/>
      <c r="Q999" s="5"/>
      <c r="R999" s="8">
        <v>8.1018518518518516E-5</v>
      </c>
      <c r="S999" s="5" t="s">
        <v>37</v>
      </c>
      <c r="T999" t="str">
        <f>IF(Tabela1[[#This Row],[STATUS_NEGOCIO]]="Enviar E-mail",1,"")</f>
        <v/>
      </c>
      <c r="U999" t="str">
        <f>TEXT(Tabela1[[#This Row],[DATA]],"dd/mm/aaaa")</f>
        <v>22/04/2026</v>
      </c>
    </row>
    <row r="1000" spans="1:21" x14ac:dyDescent="0.25">
      <c r="A1000" s="4">
        <v>46134.618564814817</v>
      </c>
      <c r="B1000" s="5" t="s">
        <v>19</v>
      </c>
      <c r="C1000" s="5" t="s">
        <v>37</v>
      </c>
      <c r="D1000" s="5">
        <v>361</v>
      </c>
      <c r="E1000" s="6">
        <v>31591969000108</v>
      </c>
      <c r="F1000" s="5">
        <v>361</v>
      </c>
      <c r="G1000" s="7">
        <v>177688024456761</v>
      </c>
      <c r="H1000" s="5" t="s">
        <v>509</v>
      </c>
      <c r="I1000" s="5">
        <v>3003</v>
      </c>
      <c r="J1000" s="5" t="s">
        <v>22</v>
      </c>
      <c r="K1000" s="5" t="s">
        <v>23</v>
      </c>
      <c r="L1000" s="5" t="s">
        <v>31</v>
      </c>
      <c r="M1000" s="5" t="s">
        <v>284</v>
      </c>
      <c r="N1000" s="5" t="s">
        <v>53</v>
      </c>
      <c r="O1000" s="5">
        <v>147</v>
      </c>
      <c r="P1000" s="5"/>
      <c r="Q1000" s="5"/>
      <c r="R1000" s="8">
        <v>8.1018518518518516E-5</v>
      </c>
      <c r="S1000" s="5" t="s">
        <v>37</v>
      </c>
      <c r="T1000" t="str">
        <f>IF(Tabela1[[#This Row],[STATUS_NEGOCIO]]="Enviar E-mail",1,"")</f>
        <v/>
      </c>
      <c r="U1000" t="str">
        <f>TEXT(Tabela1[[#This Row],[DATA]],"dd/mm/aaaa")</f>
        <v>22/04/2026</v>
      </c>
    </row>
    <row r="1001" spans="1:21" x14ac:dyDescent="0.25">
      <c r="A1001" s="4">
        <v>46134.618576388886</v>
      </c>
      <c r="B1001" s="5" t="s">
        <v>19</v>
      </c>
      <c r="C1001" s="5" t="s">
        <v>37</v>
      </c>
      <c r="D1001" s="5">
        <v>362</v>
      </c>
      <c r="E1001" s="6">
        <v>31627306000104</v>
      </c>
      <c r="F1001" s="5">
        <v>362</v>
      </c>
      <c r="G1001" s="7">
        <v>177688024556781</v>
      </c>
      <c r="H1001" s="5" t="s">
        <v>112</v>
      </c>
      <c r="I1001" s="5">
        <v>3003</v>
      </c>
      <c r="J1001" s="5" t="s">
        <v>22</v>
      </c>
      <c r="K1001" s="5" t="s">
        <v>23</v>
      </c>
      <c r="L1001" s="5" t="s">
        <v>31</v>
      </c>
      <c r="M1001" s="5" t="s">
        <v>284</v>
      </c>
      <c r="N1001" s="5" t="s">
        <v>53</v>
      </c>
      <c r="O1001" s="5">
        <v>128</v>
      </c>
      <c r="P1001" s="5"/>
      <c r="Q1001" s="5"/>
      <c r="R1001" s="8">
        <v>8.1018518518518516E-5</v>
      </c>
      <c r="S1001" s="5" t="s">
        <v>37</v>
      </c>
      <c r="T1001" t="str">
        <f>IF(Tabela1[[#This Row],[STATUS_NEGOCIO]]="Enviar E-mail",1,"")</f>
        <v/>
      </c>
      <c r="U1001" t="str">
        <f>TEXT(Tabela1[[#This Row],[DATA]],"dd/mm/aaaa")</f>
        <v>22/04/2026</v>
      </c>
    </row>
    <row r="1002" spans="1:21" x14ac:dyDescent="0.25">
      <c r="A1002" s="4">
        <v>46134.618576388886</v>
      </c>
      <c r="B1002" s="5" t="s">
        <v>19</v>
      </c>
      <c r="C1002" s="5" t="s">
        <v>20</v>
      </c>
      <c r="D1002" s="5">
        <v>363</v>
      </c>
      <c r="E1002" s="6">
        <v>31650389000144</v>
      </c>
      <c r="F1002" s="5">
        <v>363</v>
      </c>
      <c r="G1002" s="7">
        <v>177688024556791</v>
      </c>
      <c r="H1002" s="5" t="s">
        <v>510</v>
      </c>
      <c r="I1002" s="5">
        <v>3003</v>
      </c>
      <c r="J1002" s="5" t="s">
        <v>22</v>
      </c>
      <c r="K1002" s="5" t="s">
        <v>23</v>
      </c>
      <c r="L1002" s="5" t="s">
        <v>40</v>
      </c>
      <c r="M1002" s="5" t="s">
        <v>284</v>
      </c>
      <c r="N1002" s="5" t="s">
        <v>26</v>
      </c>
      <c r="O1002" s="5">
        <v>16</v>
      </c>
      <c r="P1002" s="5"/>
      <c r="Q1002" s="5"/>
      <c r="R1002" s="8">
        <v>2.650462962962963E-3</v>
      </c>
      <c r="S1002" s="8">
        <v>2.5925925925925925E-3</v>
      </c>
      <c r="T1002">
        <f>IF(Tabela1[[#This Row],[STATUS_NEGOCIO]]="Enviar E-mail",1,"")</f>
        <v>1</v>
      </c>
      <c r="U1002" t="str">
        <f>TEXT(Tabela1[[#This Row],[DATA]],"dd/mm/aaaa")</f>
        <v>22/04/2026</v>
      </c>
    </row>
    <row r="1003" spans="1:21" x14ac:dyDescent="0.25">
      <c r="A1003" s="4">
        <v>46134.618611111109</v>
      </c>
      <c r="B1003" s="5" t="s">
        <v>19</v>
      </c>
      <c r="C1003" s="5" t="s">
        <v>37</v>
      </c>
      <c r="D1003" s="5">
        <v>364</v>
      </c>
      <c r="E1003" s="6">
        <v>31669377000161</v>
      </c>
      <c r="F1003" s="5">
        <v>364</v>
      </c>
      <c r="G1003" s="7">
        <v>177688024856881</v>
      </c>
      <c r="H1003" s="5" t="s">
        <v>511</v>
      </c>
      <c r="I1003" s="5" t="s">
        <v>52</v>
      </c>
      <c r="J1003" s="5" t="s">
        <v>22</v>
      </c>
      <c r="K1003" s="5" t="s">
        <v>36</v>
      </c>
      <c r="L1003" s="5" t="s">
        <v>36</v>
      </c>
      <c r="M1003" s="5" t="s">
        <v>284</v>
      </c>
      <c r="N1003" s="5" t="s">
        <v>53</v>
      </c>
      <c r="O1003" s="5">
        <v>1</v>
      </c>
      <c r="P1003" s="5"/>
      <c r="Q1003" s="5"/>
      <c r="R1003" s="8">
        <v>0</v>
      </c>
      <c r="S1003" s="5" t="s">
        <v>37</v>
      </c>
      <c r="T1003" t="str">
        <f>IF(Tabela1[[#This Row],[STATUS_NEGOCIO]]="Enviar E-mail",1,"")</f>
        <v/>
      </c>
      <c r="U1003" t="str">
        <f>TEXT(Tabela1[[#This Row],[DATA]],"dd/mm/aaaa")</f>
        <v>22/04/2026</v>
      </c>
    </row>
    <row r="1004" spans="1:21" x14ac:dyDescent="0.25">
      <c r="A1004" s="4">
        <v>46134.618622685186</v>
      </c>
      <c r="B1004" s="5" t="s">
        <v>19</v>
      </c>
      <c r="C1004" s="5" t="s">
        <v>37</v>
      </c>
      <c r="D1004" s="5">
        <v>365</v>
      </c>
      <c r="E1004" s="6">
        <v>31865488000143</v>
      </c>
      <c r="F1004" s="5">
        <v>365</v>
      </c>
      <c r="G1004" s="7">
        <v>177688024956911</v>
      </c>
      <c r="H1004" s="5" t="s">
        <v>512</v>
      </c>
      <c r="I1004" s="5">
        <v>3003</v>
      </c>
      <c r="J1004" s="5" t="s">
        <v>22</v>
      </c>
      <c r="K1004" s="5" t="s">
        <v>23</v>
      </c>
      <c r="L1004" s="5" t="s">
        <v>31</v>
      </c>
      <c r="M1004" s="5" t="s">
        <v>284</v>
      </c>
      <c r="N1004" s="5" t="s">
        <v>53</v>
      </c>
      <c r="O1004" s="5">
        <v>128</v>
      </c>
      <c r="P1004" s="5"/>
      <c r="Q1004" s="5"/>
      <c r="R1004" s="8">
        <v>8.1018518518518516E-5</v>
      </c>
      <c r="S1004" s="5" t="s">
        <v>37</v>
      </c>
      <c r="T1004" t="str">
        <f>IF(Tabela1[[#This Row],[STATUS_NEGOCIO]]="Enviar E-mail",1,"")</f>
        <v/>
      </c>
      <c r="U1004" t="str">
        <f>TEXT(Tabela1[[#This Row],[DATA]],"dd/mm/aaaa")</f>
        <v>22/04/2026</v>
      </c>
    </row>
    <row r="1005" spans="1:21" x14ac:dyDescent="0.25">
      <c r="A1005" s="4">
        <v>46134.618634259263</v>
      </c>
      <c r="B1005" s="5" t="s">
        <v>19</v>
      </c>
      <c r="C1005" s="5" t="s">
        <v>37</v>
      </c>
      <c r="D1005" s="5">
        <v>366</v>
      </c>
      <c r="E1005" s="6">
        <v>31967201000196</v>
      </c>
      <c r="F1005" s="5">
        <v>366</v>
      </c>
      <c r="G1005" s="7">
        <v>177688025056931</v>
      </c>
      <c r="H1005" s="5" t="s">
        <v>513</v>
      </c>
      <c r="I1005" s="5">
        <v>3003</v>
      </c>
      <c r="J1005" s="5" t="s">
        <v>22</v>
      </c>
      <c r="K1005" s="5" t="s">
        <v>23</v>
      </c>
      <c r="L1005" s="5" t="s">
        <v>31</v>
      </c>
      <c r="M1005" s="5" t="s">
        <v>284</v>
      </c>
      <c r="N1005" s="5" t="s">
        <v>53</v>
      </c>
      <c r="O1005" s="5">
        <v>128</v>
      </c>
      <c r="P1005" s="5"/>
      <c r="Q1005" s="5"/>
      <c r="R1005" s="8">
        <v>8.1018518518518516E-5</v>
      </c>
      <c r="S1005" s="5" t="s">
        <v>37</v>
      </c>
      <c r="T1005" t="str">
        <f>IF(Tabela1[[#This Row],[STATUS_NEGOCIO]]="Enviar E-mail",1,"")</f>
        <v/>
      </c>
      <c r="U1005" t="str">
        <f>TEXT(Tabela1[[#This Row],[DATA]],"dd/mm/aaaa")</f>
        <v>22/04/2026</v>
      </c>
    </row>
    <row r="1006" spans="1:21" x14ac:dyDescent="0.25">
      <c r="A1006" s="4">
        <v>46134.618680555555</v>
      </c>
      <c r="B1006" s="5" t="s">
        <v>19</v>
      </c>
      <c r="C1006" s="5" t="s">
        <v>37</v>
      </c>
      <c r="D1006" s="5">
        <v>367</v>
      </c>
      <c r="E1006" s="6">
        <v>31969017000185</v>
      </c>
      <c r="F1006" s="5">
        <v>367</v>
      </c>
      <c r="G1006" s="7">
        <v>177688025456971</v>
      </c>
      <c r="H1006" s="5" t="s">
        <v>116</v>
      </c>
      <c r="I1006" s="5">
        <v>3003</v>
      </c>
      <c r="J1006" s="5" t="s">
        <v>22</v>
      </c>
      <c r="K1006" s="5" t="s">
        <v>23</v>
      </c>
      <c r="L1006" s="5" t="s">
        <v>31</v>
      </c>
      <c r="M1006" s="5" t="s">
        <v>284</v>
      </c>
      <c r="N1006" s="5" t="s">
        <v>53</v>
      </c>
      <c r="O1006" s="5">
        <v>128</v>
      </c>
      <c r="P1006" s="5"/>
      <c r="Q1006" s="5"/>
      <c r="R1006" s="8">
        <v>8.1018518518518516E-5</v>
      </c>
      <c r="S1006" s="5" t="s">
        <v>37</v>
      </c>
      <c r="T1006" t="str">
        <f>IF(Tabela1[[#This Row],[STATUS_NEGOCIO]]="Enviar E-mail",1,"")</f>
        <v/>
      </c>
      <c r="U1006" t="str">
        <f>TEXT(Tabela1[[#This Row],[DATA]],"dd/mm/aaaa")</f>
        <v>22/04/2026</v>
      </c>
    </row>
    <row r="1007" spans="1:21" x14ac:dyDescent="0.25">
      <c r="A1007" s="4">
        <v>46134.618692129632</v>
      </c>
      <c r="B1007" s="5" t="s">
        <v>19</v>
      </c>
      <c r="C1007" s="5" t="s">
        <v>37</v>
      </c>
      <c r="D1007" s="5">
        <v>369</v>
      </c>
      <c r="E1007" s="6">
        <v>32121837000185</v>
      </c>
      <c r="F1007" s="5">
        <v>369</v>
      </c>
      <c r="G1007" s="7">
        <v>177688025557001</v>
      </c>
      <c r="H1007" s="5" t="s">
        <v>515</v>
      </c>
      <c r="I1007" s="5">
        <v>3003</v>
      </c>
      <c r="J1007" s="5" t="s">
        <v>22</v>
      </c>
      <c r="K1007" s="5" t="s">
        <v>23</v>
      </c>
      <c r="L1007" s="5" t="s">
        <v>31</v>
      </c>
      <c r="M1007" s="5" t="s">
        <v>284</v>
      </c>
      <c r="N1007" s="5" t="s">
        <v>53</v>
      </c>
      <c r="O1007" s="5">
        <v>147</v>
      </c>
      <c r="P1007" s="5"/>
      <c r="Q1007" s="5"/>
      <c r="R1007" s="8">
        <v>8.1018518518518516E-5</v>
      </c>
      <c r="S1007" s="5" t="s">
        <v>37</v>
      </c>
      <c r="T1007" t="str">
        <f>IF(Tabela1[[#This Row],[STATUS_NEGOCIO]]="Enviar E-mail",1,"")</f>
        <v/>
      </c>
      <c r="U1007" t="str">
        <f>TEXT(Tabela1[[#This Row],[DATA]],"dd/mm/aaaa")</f>
        <v>22/04/2026</v>
      </c>
    </row>
    <row r="1008" spans="1:21" x14ac:dyDescent="0.25">
      <c r="A1008" s="4">
        <v>46134.618692129632</v>
      </c>
      <c r="B1008" s="5" t="s">
        <v>19</v>
      </c>
      <c r="C1008" s="5" t="s">
        <v>37</v>
      </c>
      <c r="D1008" s="5">
        <v>370</v>
      </c>
      <c r="E1008" s="6">
        <v>32256448000167</v>
      </c>
      <c r="F1008" s="5">
        <v>370</v>
      </c>
      <c r="G1008" s="7">
        <v>177688025557011</v>
      </c>
      <c r="H1008" s="5" t="s">
        <v>516</v>
      </c>
      <c r="I1008" s="5">
        <v>3003</v>
      </c>
      <c r="J1008" s="5" t="s">
        <v>22</v>
      </c>
      <c r="K1008" s="5" t="s">
        <v>23</v>
      </c>
      <c r="L1008" s="5" t="s">
        <v>31</v>
      </c>
      <c r="M1008" s="5" t="s">
        <v>284</v>
      </c>
      <c r="N1008" s="5" t="s">
        <v>53</v>
      </c>
      <c r="O1008" s="5">
        <v>128</v>
      </c>
      <c r="P1008" s="5"/>
      <c r="Q1008" s="5"/>
      <c r="R1008" s="8">
        <v>8.1018518518518516E-5</v>
      </c>
      <c r="S1008" s="5" t="s">
        <v>37</v>
      </c>
      <c r="T1008" t="str">
        <f>IF(Tabela1[[#This Row],[STATUS_NEGOCIO]]="Enviar E-mail",1,"")</f>
        <v/>
      </c>
      <c r="U1008" t="str">
        <f>TEXT(Tabela1[[#This Row],[DATA]],"dd/mm/aaaa")</f>
        <v>22/04/2026</v>
      </c>
    </row>
    <row r="1009" spans="1:21" x14ac:dyDescent="0.25">
      <c r="A1009" s="4">
        <v>46134.618715277778</v>
      </c>
      <c r="B1009" s="5" t="s">
        <v>19</v>
      </c>
      <c r="C1009" s="5" t="s">
        <v>37</v>
      </c>
      <c r="D1009" s="5">
        <v>371</v>
      </c>
      <c r="E1009" s="6">
        <v>32258196000105</v>
      </c>
      <c r="F1009" s="5">
        <v>371</v>
      </c>
      <c r="G1009" s="7">
        <v>177688025757031</v>
      </c>
      <c r="H1009" s="5" t="s">
        <v>517</v>
      </c>
      <c r="I1009" s="5">
        <v>3003</v>
      </c>
      <c r="J1009" s="5" t="s">
        <v>22</v>
      </c>
      <c r="K1009" s="5" t="s">
        <v>23</v>
      </c>
      <c r="L1009" s="5" t="s">
        <v>31</v>
      </c>
      <c r="M1009" s="5" t="s">
        <v>284</v>
      </c>
      <c r="N1009" s="5" t="s">
        <v>26</v>
      </c>
      <c r="O1009" s="5">
        <v>131</v>
      </c>
      <c r="P1009" s="5"/>
      <c r="Q1009" s="5"/>
      <c r="R1009" s="8">
        <v>1.0416666666666667E-4</v>
      </c>
      <c r="S1009" s="5" t="s">
        <v>37</v>
      </c>
      <c r="T1009" t="str">
        <f>IF(Tabela1[[#This Row],[STATUS_NEGOCIO]]="Enviar E-mail",1,"")</f>
        <v/>
      </c>
      <c r="U1009" t="str">
        <f>TEXT(Tabela1[[#This Row],[DATA]],"dd/mm/aaaa")</f>
        <v>22/04/2026</v>
      </c>
    </row>
    <row r="1010" spans="1:21" x14ac:dyDescent="0.25">
      <c r="A1010" s="4">
        <v>46134.618750000001</v>
      </c>
      <c r="B1010" s="5" t="s">
        <v>19</v>
      </c>
      <c r="C1010" s="5" t="s">
        <v>37</v>
      </c>
      <c r="D1010" s="5">
        <v>372</v>
      </c>
      <c r="E1010" s="6">
        <v>32303404000140</v>
      </c>
      <c r="F1010" s="5">
        <v>372</v>
      </c>
      <c r="G1010" s="7">
        <v>177688026057051</v>
      </c>
      <c r="H1010" s="5" t="s">
        <v>518</v>
      </c>
      <c r="I1010" s="5">
        <v>3003</v>
      </c>
      <c r="J1010" s="5" t="s">
        <v>22</v>
      </c>
      <c r="K1010" s="5" t="s">
        <v>23</v>
      </c>
      <c r="L1010" s="5" t="s">
        <v>31</v>
      </c>
      <c r="M1010" s="5" t="s">
        <v>284</v>
      </c>
      <c r="N1010" s="5" t="s">
        <v>53</v>
      </c>
      <c r="O1010" s="5">
        <v>128</v>
      </c>
      <c r="P1010" s="5"/>
      <c r="Q1010" s="5"/>
      <c r="R1010" s="8">
        <v>8.1018518518518516E-5</v>
      </c>
      <c r="S1010" s="5" t="s">
        <v>37</v>
      </c>
      <c r="T1010" t="str">
        <f>IF(Tabela1[[#This Row],[STATUS_NEGOCIO]]="Enviar E-mail",1,"")</f>
        <v/>
      </c>
      <c r="U1010" t="str">
        <f>TEXT(Tabela1[[#This Row],[DATA]],"dd/mm/aaaa")</f>
        <v>22/04/2026</v>
      </c>
    </row>
    <row r="1011" spans="1:21" x14ac:dyDescent="0.25">
      <c r="A1011" s="4">
        <v>46134.618796296294</v>
      </c>
      <c r="B1011" s="5" t="s">
        <v>19</v>
      </c>
      <c r="C1011" s="5" t="s">
        <v>37</v>
      </c>
      <c r="D1011" s="5">
        <v>373</v>
      </c>
      <c r="E1011" s="6">
        <v>32333337000107</v>
      </c>
      <c r="F1011" s="5">
        <v>373</v>
      </c>
      <c r="G1011" s="7">
        <v>177688026457081</v>
      </c>
      <c r="H1011" s="5" t="s">
        <v>38</v>
      </c>
      <c r="I1011" s="5">
        <v>3003</v>
      </c>
      <c r="J1011" s="5" t="s">
        <v>22</v>
      </c>
      <c r="K1011" s="5" t="s">
        <v>23</v>
      </c>
      <c r="L1011" s="5" t="s">
        <v>31</v>
      </c>
      <c r="M1011" s="5" t="s">
        <v>284</v>
      </c>
      <c r="N1011" s="5" t="s">
        <v>53</v>
      </c>
      <c r="O1011" s="5">
        <v>128</v>
      </c>
      <c r="P1011" s="5"/>
      <c r="Q1011" s="5"/>
      <c r="R1011" s="8">
        <v>8.1018518518518516E-5</v>
      </c>
      <c r="S1011" s="5" t="s">
        <v>37</v>
      </c>
      <c r="T1011" t="str">
        <f>IF(Tabela1[[#This Row],[STATUS_NEGOCIO]]="Enviar E-mail",1,"")</f>
        <v/>
      </c>
      <c r="U1011" t="str">
        <f>TEXT(Tabela1[[#This Row],[DATA]],"dd/mm/aaaa")</f>
        <v>22/04/2026</v>
      </c>
    </row>
    <row r="1012" spans="1:21" x14ac:dyDescent="0.25">
      <c r="A1012" s="4">
        <v>46134.618796296294</v>
      </c>
      <c r="B1012" s="5" t="s">
        <v>19</v>
      </c>
      <c r="C1012" s="5" t="s">
        <v>37</v>
      </c>
      <c r="D1012" s="5">
        <v>374</v>
      </c>
      <c r="E1012" s="6">
        <v>32514234000143</v>
      </c>
      <c r="F1012" s="5">
        <v>374</v>
      </c>
      <c r="G1012" s="7">
        <v>177688026457091</v>
      </c>
      <c r="H1012" s="5" t="s">
        <v>278</v>
      </c>
      <c r="I1012" s="5">
        <v>3003</v>
      </c>
      <c r="J1012" s="5" t="s">
        <v>22</v>
      </c>
      <c r="K1012" s="5" t="s">
        <v>23</v>
      </c>
      <c r="L1012" s="5" t="s">
        <v>31</v>
      </c>
      <c r="M1012" s="5" t="s">
        <v>284</v>
      </c>
      <c r="N1012" s="5" t="s">
        <v>53</v>
      </c>
      <c r="O1012" s="5">
        <v>128</v>
      </c>
      <c r="P1012" s="5"/>
      <c r="Q1012" s="5"/>
      <c r="R1012" s="8">
        <v>6.9444444444444444E-5</v>
      </c>
      <c r="S1012" s="5" t="s">
        <v>37</v>
      </c>
      <c r="T1012" t="str">
        <f>IF(Tabela1[[#This Row],[STATUS_NEGOCIO]]="Enviar E-mail",1,"")</f>
        <v/>
      </c>
      <c r="U1012" t="str">
        <f>TEXT(Tabela1[[#This Row],[DATA]],"dd/mm/aaaa")</f>
        <v>22/04/2026</v>
      </c>
    </row>
    <row r="1013" spans="1:21" x14ac:dyDescent="0.25">
      <c r="A1013" s="4">
        <v>46134.618819444448</v>
      </c>
      <c r="B1013" s="5" t="s">
        <v>19</v>
      </c>
      <c r="C1013" s="5" t="s">
        <v>37</v>
      </c>
      <c r="D1013" s="5">
        <v>375</v>
      </c>
      <c r="E1013" s="6">
        <v>32579807000117</v>
      </c>
      <c r="F1013" s="5">
        <v>375</v>
      </c>
      <c r="G1013" s="7">
        <v>177688026657121</v>
      </c>
      <c r="H1013" s="5" t="s">
        <v>519</v>
      </c>
      <c r="I1013" s="5">
        <v>3003</v>
      </c>
      <c r="J1013" s="5" t="s">
        <v>22</v>
      </c>
      <c r="K1013" s="5" t="s">
        <v>23</v>
      </c>
      <c r="L1013" s="5" t="s">
        <v>31</v>
      </c>
      <c r="M1013" s="5" t="s">
        <v>284</v>
      </c>
      <c r="N1013" s="5" t="s">
        <v>53</v>
      </c>
      <c r="O1013" s="5">
        <v>128</v>
      </c>
      <c r="P1013" s="5"/>
      <c r="Q1013" s="5"/>
      <c r="R1013" s="8">
        <v>8.1018518518518516E-5</v>
      </c>
      <c r="S1013" s="5" t="s">
        <v>37</v>
      </c>
      <c r="T1013" t="str">
        <f>IF(Tabela1[[#This Row],[STATUS_NEGOCIO]]="Enviar E-mail",1,"")</f>
        <v/>
      </c>
      <c r="U1013" t="str">
        <f>TEXT(Tabela1[[#This Row],[DATA]],"dd/mm/aaaa")</f>
        <v>22/04/2026</v>
      </c>
    </row>
    <row r="1014" spans="1:21" x14ac:dyDescent="0.25">
      <c r="A1014" s="4">
        <v>46134.618831018517</v>
      </c>
      <c r="B1014" s="5" t="s">
        <v>19</v>
      </c>
      <c r="C1014" s="5" t="s">
        <v>37</v>
      </c>
      <c r="D1014" s="5">
        <v>376</v>
      </c>
      <c r="E1014" s="6">
        <v>32599342000166</v>
      </c>
      <c r="F1014" s="5">
        <v>376</v>
      </c>
      <c r="G1014" s="7">
        <v>177688026757141</v>
      </c>
      <c r="H1014" s="5" t="s">
        <v>520</v>
      </c>
      <c r="I1014" s="5">
        <v>3003</v>
      </c>
      <c r="J1014" s="5" t="s">
        <v>22</v>
      </c>
      <c r="K1014" s="5" t="s">
        <v>23</v>
      </c>
      <c r="L1014" s="5" t="s">
        <v>31</v>
      </c>
      <c r="M1014" s="5" t="s">
        <v>284</v>
      </c>
      <c r="N1014" s="5" t="s">
        <v>53</v>
      </c>
      <c r="O1014" s="5">
        <v>128</v>
      </c>
      <c r="P1014" s="5"/>
      <c r="Q1014" s="5"/>
      <c r="R1014" s="8">
        <v>6.9444444444444444E-5</v>
      </c>
      <c r="S1014" s="5" t="s">
        <v>37</v>
      </c>
      <c r="T1014" t="str">
        <f>IF(Tabela1[[#This Row],[STATUS_NEGOCIO]]="Enviar E-mail",1,"")</f>
        <v/>
      </c>
      <c r="U1014" t="str">
        <f>TEXT(Tabela1[[#This Row],[DATA]],"dd/mm/aaaa")</f>
        <v>22/04/2026</v>
      </c>
    </row>
    <row r="1015" spans="1:21" x14ac:dyDescent="0.25">
      <c r="A1015" s="4">
        <v>46134.618854166663</v>
      </c>
      <c r="B1015" s="5" t="s">
        <v>19</v>
      </c>
      <c r="C1015" s="5" t="s">
        <v>37</v>
      </c>
      <c r="D1015" s="5">
        <v>377</v>
      </c>
      <c r="E1015" s="6">
        <v>32956821000192</v>
      </c>
      <c r="F1015" s="5">
        <v>377</v>
      </c>
      <c r="G1015" s="7">
        <v>177688026957161</v>
      </c>
      <c r="H1015" s="5" t="s">
        <v>521</v>
      </c>
      <c r="I1015" s="5">
        <v>3003</v>
      </c>
      <c r="J1015" s="5" t="s">
        <v>22</v>
      </c>
      <c r="K1015" s="5" t="s">
        <v>23</v>
      </c>
      <c r="L1015" s="5" t="s">
        <v>31</v>
      </c>
      <c r="M1015" s="5" t="s">
        <v>284</v>
      </c>
      <c r="N1015" s="5" t="s">
        <v>53</v>
      </c>
      <c r="O1015" s="5">
        <v>128</v>
      </c>
      <c r="P1015" s="5"/>
      <c r="Q1015" s="5"/>
      <c r="R1015" s="8">
        <v>8.1018518518518516E-5</v>
      </c>
      <c r="S1015" s="5" t="s">
        <v>37</v>
      </c>
      <c r="T1015" t="str">
        <f>IF(Tabela1[[#This Row],[STATUS_NEGOCIO]]="Enviar E-mail",1,"")</f>
        <v/>
      </c>
      <c r="U1015" t="str">
        <f>TEXT(Tabela1[[#This Row],[DATA]],"dd/mm/aaaa")</f>
        <v>22/04/2026</v>
      </c>
    </row>
    <row r="1016" spans="1:21" x14ac:dyDescent="0.25">
      <c r="A1016" s="4">
        <v>46134.618888888886</v>
      </c>
      <c r="B1016" s="5" t="s">
        <v>19</v>
      </c>
      <c r="C1016" s="5" t="s">
        <v>37</v>
      </c>
      <c r="D1016" s="5">
        <v>378</v>
      </c>
      <c r="E1016" s="6">
        <v>32968396000151</v>
      </c>
      <c r="F1016" s="5">
        <v>378</v>
      </c>
      <c r="G1016" s="7">
        <v>177688027257181</v>
      </c>
      <c r="H1016" s="5" t="s">
        <v>522</v>
      </c>
      <c r="I1016" s="5">
        <v>3003</v>
      </c>
      <c r="J1016" s="5" t="s">
        <v>22</v>
      </c>
      <c r="K1016" s="5" t="s">
        <v>23</v>
      </c>
      <c r="L1016" s="5" t="s">
        <v>31</v>
      </c>
      <c r="M1016" s="5" t="s">
        <v>284</v>
      </c>
      <c r="N1016" s="5" t="s">
        <v>53</v>
      </c>
      <c r="O1016" s="5">
        <v>128</v>
      </c>
      <c r="P1016" s="5"/>
      <c r="Q1016" s="5"/>
      <c r="R1016" s="8">
        <v>8.1018518518518516E-5</v>
      </c>
      <c r="S1016" s="5" t="s">
        <v>37</v>
      </c>
      <c r="T1016" t="str">
        <f>IF(Tabela1[[#This Row],[STATUS_NEGOCIO]]="Enviar E-mail",1,"")</f>
        <v/>
      </c>
      <c r="U1016" t="str">
        <f>TEXT(Tabela1[[#This Row],[DATA]],"dd/mm/aaaa")</f>
        <v>22/04/2026</v>
      </c>
    </row>
    <row r="1017" spans="1:21" x14ac:dyDescent="0.25">
      <c r="A1017" s="4">
        <v>46134.618958333333</v>
      </c>
      <c r="B1017" s="5" t="s">
        <v>19</v>
      </c>
      <c r="C1017" s="5" t="s">
        <v>27</v>
      </c>
      <c r="D1017" s="5">
        <v>379</v>
      </c>
      <c r="E1017" s="6">
        <v>33045782000134</v>
      </c>
      <c r="F1017" s="5">
        <v>379</v>
      </c>
      <c r="G1017" s="7">
        <v>177688027857211</v>
      </c>
      <c r="H1017" s="5" t="s">
        <v>523</v>
      </c>
      <c r="I1017" s="5">
        <v>3003</v>
      </c>
      <c r="J1017" s="5" t="s">
        <v>22</v>
      </c>
      <c r="K1017" s="5" t="s">
        <v>23</v>
      </c>
      <c r="L1017" s="5" t="s">
        <v>31</v>
      </c>
      <c r="M1017" s="5" t="s">
        <v>284</v>
      </c>
      <c r="N1017" s="5" t="s">
        <v>26</v>
      </c>
      <c r="O1017" s="5">
        <v>16</v>
      </c>
      <c r="P1017" s="5"/>
      <c r="Q1017" s="5"/>
      <c r="R1017" s="8">
        <v>1.5393518518518519E-3</v>
      </c>
      <c r="S1017" s="8">
        <v>3.5879629629629629E-4</v>
      </c>
      <c r="T1017" t="str">
        <f>IF(Tabela1[[#This Row],[STATUS_NEGOCIO]]="Enviar E-mail",1,"")</f>
        <v/>
      </c>
      <c r="U1017" t="str">
        <f>TEXT(Tabela1[[#This Row],[DATA]],"dd/mm/aaaa")</f>
        <v>22/04/2026</v>
      </c>
    </row>
    <row r="1018" spans="1:21" x14ac:dyDescent="0.25">
      <c r="A1018" s="4">
        <v>46134.618969907409</v>
      </c>
      <c r="B1018" s="5" t="s">
        <v>19</v>
      </c>
      <c r="C1018" s="5" t="s">
        <v>37</v>
      </c>
      <c r="D1018" s="5">
        <v>380</v>
      </c>
      <c r="E1018" s="6">
        <v>33117243000163</v>
      </c>
      <c r="F1018" s="5">
        <v>380</v>
      </c>
      <c r="G1018" s="7">
        <v>177688027957221</v>
      </c>
      <c r="H1018" s="5" t="s">
        <v>276</v>
      </c>
      <c r="I1018" s="5">
        <v>3003</v>
      </c>
      <c r="J1018" s="5" t="s">
        <v>22</v>
      </c>
      <c r="K1018" s="5" t="s">
        <v>23</v>
      </c>
      <c r="L1018" s="5" t="s">
        <v>31</v>
      </c>
      <c r="M1018" s="5" t="s">
        <v>284</v>
      </c>
      <c r="N1018" s="5" t="s">
        <v>53</v>
      </c>
      <c r="O1018" s="5">
        <v>128</v>
      </c>
      <c r="P1018" s="5"/>
      <c r="Q1018" s="5"/>
      <c r="R1018" s="8">
        <v>8.1018518518518516E-5</v>
      </c>
      <c r="S1018" s="5" t="s">
        <v>37</v>
      </c>
      <c r="T1018" t="str">
        <f>IF(Tabela1[[#This Row],[STATUS_NEGOCIO]]="Enviar E-mail",1,"")</f>
        <v/>
      </c>
      <c r="U1018" t="str">
        <f>TEXT(Tabela1[[#This Row],[DATA]],"dd/mm/aaaa")</f>
        <v>22/04/2026</v>
      </c>
    </row>
    <row r="1019" spans="1:21" x14ac:dyDescent="0.25">
      <c r="A1019" s="4">
        <v>46134.619004629632</v>
      </c>
      <c r="B1019" s="5" t="s">
        <v>19</v>
      </c>
      <c r="C1019" s="5" t="s">
        <v>37</v>
      </c>
      <c r="D1019" s="5">
        <v>381</v>
      </c>
      <c r="E1019" s="6">
        <v>33208034000125</v>
      </c>
      <c r="F1019" s="5">
        <v>381</v>
      </c>
      <c r="G1019" s="7">
        <v>177688028257241</v>
      </c>
      <c r="H1019" s="5" t="s">
        <v>524</v>
      </c>
      <c r="I1019" s="5">
        <v>3003</v>
      </c>
      <c r="J1019" s="5" t="s">
        <v>22</v>
      </c>
      <c r="K1019" s="5" t="s">
        <v>23</v>
      </c>
      <c r="L1019" s="5" t="s">
        <v>31</v>
      </c>
      <c r="M1019" s="5" t="s">
        <v>284</v>
      </c>
      <c r="N1019" s="5" t="s">
        <v>53</v>
      </c>
      <c r="O1019" s="5">
        <v>128</v>
      </c>
      <c r="P1019" s="5"/>
      <c r="Q1019" s="5"/>
      <c r="R1019" s="8">
        <v>8.1018518518518516E-5</v>
      </c>
      <c r="S1019" s="5" t="s">
        <v>37</v>
      </c>
      <c r="T1019" t="str">
        <f>IF(Tabela1[[#This Row],[STATUS_NEGOCIO]]="Enviar E-mail",1,"")</f>
        <v/>
      </c>
      <c r="U1019" t="str">
        <f>TEXT(Tabela1[[#This Row],[DATA]],"dd/mm/aaaa")</f>
        <v>22/04/2026</v>
      </c>
    </row>
    <row r="1020" spans="1:21" x14ac:dyDescent="0.25">
      <c r="A1020" s="4">
        <v>46134.619027777779</v>
      </c>
      <c r="B1020" s="5" t="s">
        <v>19</v>
      </c>
      <c r="C1020" s="5" t="s">
        <v>37</v>
      </c>
      <c r="D1020" s="5">
        <v>382</v>
      </c>
      <c r="E1020" s="6">
        <v>33208174000101</v>
      </c>
      <c r="F1020" s="5">
        <v>382</v>
      </c>
      <c r="G1020" s="7">
        <v>177688028457261</v>
      </c>
      <c r="H1020" s="5" t="s">
        <v>525</v>
      </c>
      <c r="I1020" s="5">
        <v>3003</v>
      </c>
      <c r="J1020" s="5" t="s">
        <v>22</v>
      </c>
      <c r="K1020" s="5" t="s">
        <v>23</v>
      </c>
      <c r="L1020" s="5" t="s">
        <v>31</v>
      </c>
      <c r="M1020" s="5" t="s">
        <v>284</v>
      </c>
      <c r="N1020" s="5" t="s">
        <v>53</v>
      </c>
      <c r="O1020" s="5">
        <v>128</v>
      </c>
      <c r="P1020" s="5"/>
      <c r="Q1020" s="5"/>
      <c r="R1020" s="8">
        <v>8.1018518518518516E-5</v>
      </c>
      <c r="S1020" s="5" t="s">
        <v>37</v>
      </c>
      <c r="T1020" t="str">
        <f>IF(Tabela1[[#This Row],[STATUS_NEGOCIO]]="Enviar E-mail",1,"")</f>
        <v/>
      </c>
      <c r="U1020" t="str">
        <f>TEXT(Tabela1[[#This Row],[DATA]],"dd/mm/aaaa")</f>
        <v>22/04/2026</v>
      </c>
    </row>
    <row r="1021" spans="1:21" x14ac:dyDescent="0.25">
      <c r="A1021" s="4">
        <v>46134.619062500002</v>
      </c>
      <c r="B1021" s="5" t="s">
        <v>19</v>
      </c>
      <c r="C1021" s="5" t="s">
        <v>37</v>
      </c>
      <c r="D1021" s="5">
        <v>383</v>
      </c>
      <c r="E1021" s="6">
        <v>33242199000113</v>
      </c>
      <c r="F1021" s="5">
        <v>383</v>
      </c>
      <c r="G1021" s="7">
        <v>177688028757281</v>
      </c>
      <c r="H1021" s="5" t="s">
        <v>526</v>
      </c>
      <c r="I1021" s="5">
        <v>3003</v>
      </c>
      <c r="J1021" s="5" t="s">
        <v>22</v>
      </c>
      <c r="K1021" s="5" t="s">
        <v>23</v>
      </c>
      <c r="L1021" s="5" t="s">
        <v>31</v>
      </c>
      <c r="M1021" s="5" t="s">
        <v>284</v>
      </c>
      <c r="N1021" s="5" t="s">
        <v>53</v>
      </c>
      <c r="O1021" s="5">
        <v>128</v>
      </c>
      <c r="P1021" s="5"/>
      <c r="Q1021" s="5"/>
      <c r="R1021" s="8">
        <v>8.1018518518518516E-5</v>
      </c>
      <c r="S1021" s="5" t="s">
        <v>37</v>
      </c>
      <c r="T1021" t="str">
        <f>IF(Tabela1[[#This Row],[STATUS_NEGOCIO]]="Enviar E-mail",1,"")</f>
        <v/>
      </c>
      <c r="U1021" t="str">
        <f>TEXT(Tabela1[[#This Row],[DATA]],"dd/mm/aaaa")</f>
        <v>22/04/2026</v>
      </c>
    </row>
    <row r="1022" spans="1:21" x14ac:dyDescent="0.25">
      <c r="A1022" s="4">
        <v>46134.619085648148</v>
      </c>
      <c r="B1022" s="5" t="s">
        <v>19</v>
      </c>
      <c r="C1022" s="5" t="s">
        <v>37</v>
      </c>
      <c r="D1022" s="5">
        <v>384</v>
      </c>
      <c r="E1022" s="6">
        <v>33262916000179</v>
      </c>
      <c r="F1022" s="5">
        <v>384</v>
      </c>
      <c r="G1022" s="7">
        <v>177688028957301</v>
      </c>
      <c r="H1022" s="5" t="s">
        <v>244</v>
      </c>
      <c r="I1022" s="5">
        <v>3003</v>
      </c>
      <c r="J1022" s="5" t="s">
        <v>22</v>
      </c>
      <c r="K1022" s="5" t="s">
        <v>23</v>
      </c>
      <c r="L1022" s="5" t="s">
        <v>31</v>
      </c>
      <c r="M1022" s="5" t="s">
        <v>284</v>
      </c>
      <c r="N1022" s="5" t="s">
        <v>53</v>
      </c>
      <c r="O1022" s="5">
        <v>128</v>
      </c>
      <c r="P1022" s="5"/>
      <c r="Q1022" s="5"/>
      <c r="R1022" s="8">
        <v>8.1018518518518516E-5</v>
      </c>
      <c r="S1022" s="5" t="s">
        <v>37</v>
      </c>
      <c r="T1022" t="str">
        <f>IF(Tabela1[[#This Row],[STATUS_NEGOCIO]]="Enviar E-mail",1,"")</f>
        <v/>
      </c>
      <c r="U1022" t="str">
        <f>TEXT(Tabela1[[#This Row],[DATA]],"dd/mm/aaaa")</f>
        <v>22/04/2026</v>
      </c>
    </row>
    <row r="1023" spans="1:21" x14ac:dyDescent="0.25">
      <c r="A1023" s="4">
        <v>46134.619201388887</v>
      </c>
      <c r="B1023" s="5" t="s">
        <v>19</v>
      </c>
      <c r="C1023" s="5" t="s">
        <v>37</v>
      </c>
      <c r="D1023" s="5">
        <v>385</v>
      </c>
      <c r="E1023" s="6">
        <v>33472846000183</v>
      </c>
      <c r="F1023" s="5">
        <v>385</v>
      </c>
      <c r="G1023" s="7">
        <v>177688029957321</v>
      </c>
      <c r="H1023" s="5" t="s">
        <v>527</v>
      </c>
      <c r="I1023" s="5" t="s">
        <v>52</v>
      </c>
      <c r="J1023" s="5" t="s">
        <v>22</v>
      </c>
      <c r="K1023" s="5" t="s">
        <v>36</v>
      </c>
      <c r="L1023" s="5" t="s">
        <v>36</v>
      </c>
      <c r="M1023" s="5" t="s">
        <v>284</v>
      </c>
      <c r="N1023" s="5" t="s">
        <v>53</v>
      </c>
      <c r="O1023" s="5">
        <v>19</v>
      </c>
      <c r="P1023" s="5"/>
      <c r="Q1023" s="5"/>
      <c r="R1023" s="8">
        <v>0</v>
      </c>
      <c r="S1023" s="5" t="s">
        <v>37</v>
      </c>
      <c r="T1023" t="str">
        <f>IF(Tabela1[[#This Row],[STATUS_NEGOCIO]]="Enviar E-mail",1,"")</f>
        <v/>
      </c>
      <c r="U1023" t="str">
        <f>TEXT(Tabela1[[#This Row],[DATA]],"dd/mm/aaaa")</f>
        <v>22/04/2026</v>
      </c>
    </row>
    <row r="1024" spans="1:21" x14ac:dyDescent="0.25">
      <c r="A1024" s="4">
        <v>46134.61922453704</v>
      </c>
      <c r="B1024" s="5" t="s">
        <v>19</v>
      </c>
      <c r="C1024" s="5" t="s">
        <v>37</v>
      </c>
      <c r="D1024" s="5">
        <v>386</v>
      </c>
      <c r="E1024" s="6">
        <v>33524117000123</v>
      </c>
      <c r="F1024" s="5">
        <v>386</v>
      </c>
      <c r="G1024" s="7">
        <v>177688030157381</v>
      </c>
      <c r="H1024" s="5" t="s">
        <v>168</v>
      </c>
      <c r="I1024" s="5">
        <v>3003</v>
      </c>
      <c r="J1024" s="5" t="s">
        <v>22</v>
      </c>
      <c r="K1024" s="5" t="s">
        <v>23</v>
      </c>
      <c r="L1024" s="5" t="s">
        <v>31</v>
      </c>
      <c r="M1024" s="5" t="s">
        <v>284</v>
      </c>
      <c r="N1024" s="5" t="s">
        <v>53</v>
      </c>
      <c r="O1024" s="5">
        <v>128</v>
      </c>
      <c r="P1024" s="5"/>
      <c r="Q1024" s="5"/>
      <c r="R1024" s="8">
        <v>6.9444444444444444E-5</v>
      </c>
      <c r="S1024" s="5" t="s">
        <v>37</v>
      </c>
      <c r="T1024" t="str">
        <f>IF(Tabela1[[#This Row],[STATUS_NEGOCIO]]="Enviar E-mail",1,"")</f>
        <v/>
      </c>
      <c r="U1024" t="str">
        <f>TEXT(Tabela1[[#This Row],[DATA]],"dd/mm/aaaa")</f>
        <v>22/04/2026</v>
      </c>
    </row>
    <row r="1025" spans="1:21" x14ac:dyDescent="0.25">
      <c r="A1025" s="4">
        <v>46134.619328703702</v>
      </c>
      <c r="B1025" s="5" t="s">
        <v>19</v>
      </c>
      <c r="C1025" s="5" t="s">
        <v>37</v>
      </c>
      <c r="D1025" s="5">
        <v>387</v>
      </c>
      <c r="E1025" s="6">
        <v>33524950000174</v>
      </c>
      <c r="F1025" s="5">
        <v>387</v>
      </c>
      <c r="G1025" s="7">
        <v>177688031057401</v>
      </c>
      <c r="H1025" s="5" t="s">
        <v>104</v>
      </c>
      <c r="I1025" s="5">
        <v>3003</v>
      </c>
      <c r="J1025" s="5" t="s">
        <v>22</v>
      </c>
      <c r="K1025" s="5" t="s">
        <v>23</v>
      </c>
      <c r="L1025" s="5" t="s">
        <v>31</v>
      </c>
      <c r="M1025" s="5" t="s">
        <v>284</v>
      </c>
      <c r="N1025" s="5" t="s">
        <v>53</v>
      </c>
      <c r="O1025" s="5">
        <v>128</v>
      </c>
      <c r="P1025" s="5"/>
      <c r="Q1025" s="5"/>
      <c r="R1025" s="8">
        <v>8.1018518518518516E-5</v>
      </c>
      <c r="S1025" s="5" t="s">
        <v>37</v>
      </c>
      <c r="T1025" t="str">
        <f>IF(Tabela1[[#This Row],[STATUS_NEGOCIO]]="Enviar E-mail",1,"")</f>
        <v/>
      </c>
      <c r="U1025" t="str">
        <f>TEXT(Tabela1[[#This Row],[DATA]],"dd/mm/aaaa")</f>
        <v>22/04/2026</v>
      </c>
    </row>
    <row r="1026" spans="1:21" x14ac:dyDescent="0.25">
      <c r="A1026" s="4">
        <v>46134.619409722225</v>
      </c>
      <c r="B1026" s="5" t="s">
        <v>19</v>
      </c>
      <c r="C1026" s="5" t="s">
        <v>37</v>
      </c>
      <c r="D1026" s="5">
        <v>388</v>
      </c>
      <c r="E1026" s="6">
        <v>33833660000102</v>
      </c>
      <c r="F1026" s="5">
        <v>388</v>
      </c>
      <c r="G1026" s="7">
        <v>177688031757421</v>
      </c>
      <c r="H1026" s="5" t="s">
        <v>155</v>
      </c>
      <c r="I1026" s="5">
        <v>3003</v>
      </c>
      <c r="J1026" s="5" t="s">
        <v>22</v>
      </c>
      <c r="K1026" s="5" t="s">
        <v>23</v>
      </c>
      <c r="L1026" s="5" t="s">
        <v>31</v>
      </c>
      <c r="M1026" s="5" t="s">
        <v>284</v>
      </c>
      <c r="N1026" s="5" t="s">
        <v>53</v>
      </c>
      <c r="O1026" s="5">
        <v>128</v>
      </c>
      <c r="P1026" s="5"/>
      <c r="Q1026" s="5"/>
      <c r="R1026" s="8">
        <v>8.1018518518518516E-5</v>
      </c>
      <c r="S1026" s="5" t="s">
        <v>37</v>
      </c>
      <c r="T1026" t="str">
        <f>IF(Tabela1[[#This Row],[STATUS_NEGOCIO]]="Enviar E-mail",1,"")</f>
        <v/>
      </c>
      <c r="U1026" t="str">
        <f>TEXT(Tabela1[[#This Row],[DATA]],"dd/mm/aaaa")</f>
        <v>22/04/2026</v>
      </c>
    </row>
    <row r="1027" spans="1:21" x14ac:dyDescent="0.25">
      <c r="A1027" s="4">
        <v>46134.619467592594</v>
      </c>
      <c r="B1027" s="5" t="s">
        <v>19</v>
      </c>
      <c r="C1027" s="5" t="s">
        <v>37</v>
      </c>
      <c r="D1027" s="5">
        <v>389</v>
      </c>
      <c r="E1027" s="6">
        <v>33863778000183</v>
      </c>
      <c r="F1027" s="5">
        <v>389</v>
      </c>
      <c r="G1027" s="7">
        <v>177688032257451</v>
      </c>
      <c r="H1027" s="5" t="s">
        <v>528</v>
      </c>
      <c r="I1027" s="5">
        <v>3003</v>
      </c>
      <c r="J1027" s="5" t="s">
        <v>22</v>
      </c>
      <c r="K1027" s="5" t="s">
        <v>23</v>
      </c>
      <c r="L1027" s="5" t="s">
        <v>31</v>
      </c>
      <c r="M1027" s="5" t="s">
        <v>284</v>
      </c>
      <c r="N1027" s="5" t="s">
        <v>53</v>
      </c>
      <c r="O1027" s="5">
        <v>128</v>
      </c>
      <c r="P1027" s="5"/>
      <c r="Q1027" s="5"/>
      <c r="R1027" s="8">
        <v>8.1018518518518516E-5</v>
      </c>
      <c r="S1027" s="5" t="s">
        <v>37</v>
      </c>
      <c r="T1027" t="str">
        <f>IF(Tabela1[[#This Row],[STATUS_NEGOCIO]]="Enviar E-mail",1,"")</f>
        <v/>
      </c>
      <c r="U1027" t="str">
        <f>TEXT(Tabela1[[#This Row],[DATA]],"dd/mm/aaaa")</f>
        <v>22/04/2026</v>
      </c>
    </row>
    <row r="1028" spans="1:21" x14ac:dyDescent="0.25">
      <c r="A1028" s="4">
        <v>46134.619490740741</v>
      </c>
      <c r="B1028" s="5" t="s">
        <v>19</v>
      </c>
      <c r="C1028" s="5" t="s">
        <v>37</v>
      </c>
      <c r="D1028" s="5">
        <v>390</v>
      </c>
      <c r="E1028" s="6">
        <v>33880863000150</v>
      </c>
      <c r="F1028" s="5">
        <v>390</v>
      </c>
      <c r="G1028" s="7">
        <v>177688032457491</v>
      </c>
      <c r="H1028" s="5" t="s">
        <v>153</v>
      </c>
      <c r="I1028" s="5">
        <v>3003</v>
      </c>
      <c r="J1028" s="5" t="s">
        <v>22</v>
      </c>
      <c r="K1028" s="5" t="s">
        <v>23</v>
      </c>
      <c r="L1028" s="5" t="s">
        <v>31</v>
      </c>
      <c r="M1028" s="5" t="s">
        <v>284</v>
      </c>
      <c r="N1028" s="5" t="s">
        <v>53</v>
      </c>
      <c r="O1028" s="5">
        <v>128</v>
      </c>
      <c r="P1028" s="5"/>
      <c r="Q1028" s="5"/>
      <c r="R1028" s="8">
        <v>6.9444444444444444E-5</v>
      </c>
      <c r="S1028" s="5" t="s">
        <v>37</v>
      </c>
      <c r="T1028" t="str">
        <f>IF(Tabela1[[#This Row],[STATUS_NEGOCIO]]="Enviar E-mail",1,"")</f>
        <v/>
      </c>
      <c r="U1028" t="str">
        <f>TEXT(Tabela1[[#This Row],[DATA]],"dd/mm/aaaa")</f>
        <v>22/04/2026</v>
      </c>
    </row>
    <row r="1029" spans="1:21" x14ac:dyDescent="0.25">
      <c r="A1029" s="4">
        <v>46134.619513888887</v>
      </c>
      <c r="B1029" s="5" t="s">
        <v>19</v>
      </c>
      <c r="C1029" s="5" t="s">
        <v>37</v>
      </c>
      <c r="D1029" s="5">
        <v>391</v>
      </c>
      <c r="E1029" s="6">
        <v>33889341000119</v>
      </c>
      <c r="F1029" s="5">
        <v>391</v>
      </c>
      <c r="G1029" s="7">
        <v>177688032657541</v>
      </c>
      <c r="H1029" s="5" t="s">
        <v>200</v>
      </c>
      <c r="I1029" s="5">
        <v>3003</v>
      </c>
      <c r="J1029" s="5" t="s">
        <v>22</v>
      </c>
      <c r="K1029" s="5" t="s">
        <v>23</v>
      </c>
      <c r="L1029" s="5" t="s">
        <v>31</v>
      </c>
      <c r="M1029" s="5" t="s">
        <v>284</v>
      </c>
      <c r="N1029" s="5" t="s">
        <v>53</v>
      </c>
      <c r="O1029" s="5">
        <v>128</v>
      </c>
      <c r="P1029" s="5"/>
      <c r="Q1029" s="5"/>
      <c r="R1029" s="8">
        <v>8.1018518518518516E-5</v>
      </c>
      <c r="S1029" s="5" t="s">
        <v>37</v>
      </c>
      <c r="T1029" t="str">
        <f>IF(Tabela1[[#This Row],[STATUS_NEGOCIO]]="Enviar E-mail",1,"")</f>
        <v/>
      </c>
      <c r="U1029" t="str">
        <f>TEXT(Tabela1[[#This Row],[DATA]],"dd/mm/aaaa")</f>
        <v>22/04/2026</v>
      </c>
    </row>
    <row r="1030" spans="1:21" x14ac:dyDescent="0.25">
      <c r="A1030" s="4">
        <v>46134.619664351849</v>
      </c>
      <c r="B1030" s="5" t="s">
        <v>19</v>
      </c>
      <c r="C1030" s="5" t="s">
        <v>37</v>
      </c>
      <c r="D1030" s="5">
        <v>392</v>
      </c>
      <c r="E1030" s="6">
        <v>33979964000182</v>
      </c>
      <c r="F1030" s="5">
        <v>392</v>
      </c>
      <c r="G1030" s="7">
        <v>177688033957561</v>
      </c>
      <c r="H1030" s="5" t="s">
        <v>529</v>
      </c>
      <c r="I1030" s="5">
        <v>3003</v>
      </c>
      <c r="J1030" s="5" t="s">
        <v>22</v>
      </c>
      <c r="K1030" s="5" t="s">
        <v>23</v>
      </c>
      <c r="L1030" s="5" t="s">
        <v>31</v>
      </c>
      <c r="M1030" s="5" t="s">
        <v>284</v>
      </c>
      <c r="N1030" s="5" t="s">
        <v>53</v>
      </c>
      <c r="O1030" s="5">
        <v>128</v>
      </c>
      <c r="P1030" s="5"/>
      <c r="Q1030" s="5"/>
      <c r="R1030" s="8">
        <v>8.1018518518518516E-5</v>
      </c>
      <c r="S1030" s="5" t="s">
        <v>37</v>
      </c>
      <c r="T1030" t="str">
        <f>IF(Tabela1[[#This Row],[STATUS_NEGOCIO]]="Enviar E-mail",1,"")</f>
        <v/>
      </c>
      <c r="U1030" t="str">
        <f>TEXT(Tabela1[[#This Row],[DATA]],"dd/mm/aaaa")</f>
        <v>22/04/2026</v>
      </c>
    </row>
    <row r="1031" spans="1:21" x14ac:dyDescent="0.25">
      <c r="A1031" s="4">
        <v>46134.619722222225</v>
      </c>
      <c r="B1031" s="5" t="s">
        <v>19</v>
      </c>
      <c r="C1031" s="5" t="s">
        <v>37</v>
      </c>
      <c r="D1031" s="5">
        <v>393</v>
      </c>
      <c r="E1031" s="6">
        <v>34005108000199</v>
      </c>
      <c r="F1031" s="5">
        <v>393</v>
      </c>
      <c r="G1031" s="7">
        <v>177688034457581</v>
      </c>
      <c r="H1031" s="5" t="s">
        <v>530</v>
      </c>
      <c r="I1031" s="5">
        <v>3003</v>
      </c>
      <c r="J1031" s="5" t="s">
        <v>22</v>
      </c>
      <c r="K1031" s="5" t="s">
        <v>23</v>
      </c>
      <c r="L1031" s="5" t="s">
        <v>31</v>
      </c>
      <c r="M1031" s="5" t="s">
        <v>284</v>
      </c>
      <c r="N1031" s="5" t="s">
        <v>53</v>
      </c>
      <c r="O1031" s="5">
        <v>128</v>
      </c>
      <c r="P1031" s="5"/>
      <c r="Q1031" s="5"/>
      <c r="R1031" s="8">
        <v>8.1018518518518516E-5</v>
      </c>
      <c r="S1031" s="5" t="s">
        <v>37</v>
      </c>
      <c r="T1031" t="str">
        <f>IF(Tabela1[[#This Row],[STATUS_NEGOCIO]]="Enviar E-mail",1,"")</f>
        <v/>
      </c>
      <c r="U1031" t="str">
        <f>TEXT(Tabela1[[#This Row],[DATA]],"dd/mm/aaaa")</f>
        <v>22/04/2026</v>
      </c>
    </row>
    <row r="1032" spans="1:21" x14ac:dyDescent="0.25">
      <c r="A1032" s="4">
        <v>46134.619745370372</v>
      </c>
      <c r="B1032" s="5" t="s">
        <v>19</v>
      </c>
      <c r="C1032" s="5" t="s">
        <v>37</v>
      </c>
      <c r="D1032" s="5">
        <v>394</v>
      </c>
      <c r="E1032" s="6">
        <v>34050567000194</v>
      </c>
      <c r="F1032" s="5">
        <v>394</v>
      </c>
      <c r="G1032" s="7">
        <v>177688034657591</v>
      </c>
      <c r="H1032" s="5" t="s">
        <v>531</v>
      </c>
      <c r="I1032" s="5">
        <v>3003</v>
      </c>
      <c r="J1032" s="5" t="s">
        <v>22</v>
      </c>
      <c r="K1032" s="5" t="s">
        <v>23</v>
      </c>
      <c r="L1032" s="5" t="s">
        <v>31</v>
      </c>
      <c r="M1032" s="5" t="s">
        <v>284</v>
      </c>
      <c r="N1032" s="5" t="s">
        <v>53</v>
      </c>
      <c r="O1032" s="5">
        <v>128</v>
      </c>
      <c r="P1032" s="5"/>
      <c r="Q1032" s="5"/>
      <c r="R1032" s="8">
        <v>8.1018518518518516E-5</v>
      </c>
      <c r="S1032" s="5" t="s">
        <v>37</v>
      </c>
      <c r="T1032" t="str">
        <f>IF(Tabela1[[#This Row],[STATUS_NEGOCIO]]="Enviar E-mail",1,"")</f>
        <v/>
      </c>
      <c r="U1032" t="str">
        <f>TEXT(Tabela1[[#This Row],[DATA]],"dd/mm/aaaa")</f>
        <v>22/04/2026</v>
      </c>
    </row>
    <row r="1033" spans="1:21" x14ac:dyDescent="0.25">
      <c r="A1033" s="4">
        <v>46134.619780092595</v>
      </c>
      <c r="B1033" s="5" t="s">
        <v>19</v>
      </c>
      <c r="C1033" s="5" t="s">
        <v>37</v>
      </c>
      <c r="D1033" s="5">
        <v>395</v>
      </c>
      <c r="E1033" s="6">
        <v>34058701000101</v>
      </c>
      <c r="F1033" s="5">
        <v>395</v>
      </c>
      <c r="G1033" s="7">
        <v>177688034957611</v>
      </c>
      <c r="H1033" s="5" t="s">
        <v>532</v>
      </c>
      <c r="I1033" s="5">
        <v>3003</v>
      </c>
      <c r="J1033" s="5" t="s">
        <v>22</v>
      </c>
      <c r="K1033" s="5" t="s">
        <v>23</v>
      </c>
      <c r="L1033" s="5" t="s">
        <v>31</v>
      </c>
      <c r="M1033" s="5" t="s">
        <v>284</v>
      </c>
      <c r="N1033" s="5" t="s">
        <v>53</v>
      </c>
      <c r="O1033" s="5">
        <v>128</v>
      </c>
      <c r="P1033" s="5"/>
      <c r="Q1033" s="5"/>
      <c r="R1033" s="8">
        <v>6.9444444444444444E-5</v>
      </c>
      <c r="S1033" s="5" t="s">
        <v>37</v>
      </c>
      <c r="T1033" t="str">
        <f>IF(Tabela1[[#This Row],[STATUS_NEGOCIO]]="Enviar E-mail",1,"")</f>
        <v/>
      </c>
      <c r="U1033" t="str">
        <f>TEXT(Tabela1[[#This Row],[DATA]],"dd/mm/aaaa")</f>
        <v>22/04/2026</v>
      </c>
    </row>
    <row r="1034" spans="1:21" x14ac:dyDescent="0.25">
      <c r="A1034" s="4">
        <v>46134.61990740741</v>
      </c>
      <c r="B1034" s="5" t="s">
        <v>19</v>
      </c>
      <c r="C1034" s="5" t="s">
        <v>37</v>
      </c>
      <c r="D1034" s="5">
        <v>396</v>
      </c>
      <c r="E1034" s="6">
        <v>34413663000150</v>
      </c>
      <c r="F1034" s="5">
        <v>396</v>
      </c>
      <c r="G1034" s="7">
        <v>177688036057631</v>
      </c>
      <c r="H1034" s="5" t="s">
        <v>45</v>
      </c>
      <c r="I1034" s="5">
        <v>3003</v>
      </c>
      <c r="J1034" s="5" t="s">
        <v>22</v>
      </c>
      <c r="K1034" s="5" t="s">
        <v>23</v>
      </c>
      <c r="L1034" s="5" t="s">
        <v>31</v>
      </c>
      <c r="M1034" s="5" t="s">
        <v>284</v>
      </c>
      <c r="N1034" s="5" t="s">
        <v>53</v>
      </c>
      <c r="O1034" s="5">
        <v>128</v>
      </c>
      <c r="P1034" s="5"/>
      <c r="Q1034" s="5"/>
      <c r="R1034" s="8">
        <v>8.1018518518518516E-5</v>
      </c>
      <c r="S1034" s="5" t="s">
        <v>37</v>
      </c>
      <c r="T1034" t="str">
        <f>IF(Tabela1[[#This Row],[STATUS_NEGOCIO]]="Enviar E-mail",1,"")</f>
        <v/>
      </c>
      <c r="U1034" t="str">
        <f>TEXT(Tabela1[[#This Row],[DATA]],"dd/mm/aaaa")</f>
        <v>22/04/2026</v>
      </c>
    </row>
    <row r="1035" spans="1:21" x14ac:dyDescent="0.25">
      <c r="A1035" s="4">
        <v>46134.619942129626</v>
      </c>
      <c r="B1035" s="5" t="s">
        <v>19</v>
      </c>
      <c r="C1035" s="5" t="s">
        <v>37</v>
      </c>
      <c r="D1035" s="5">
        <v>397</v>
      </c>
      <c r="E1035" s="6">
        <v>34484975000154</v>
      </c>
      <c r="F1035" s="5">
        <v>397</v>
      </c>
      <c r="G1035" s="7">
        <v>177688036357651</v>
      </c>
      <c r="H1035" s="5" t="s">
        <v>173</v>
      </c>
      <c r="I1035" s="5">
        <v>3003</v>
      </c>
      <c r="J1035" s="5" t="s">
        <v>22</v>
      </c>
      <c r="K1035" s="5" t="s">
        <v>23</v>
      </c>
      <c r="L1035" s="5" t="s">
        <v>31</v>
      </c>
      <c r="M1035" s="5" t="s">
        <v>284</v>
      </c>
      <c r="N1035" s="5" t="s">
        <v>53</v>
      </c>
      <c r="O1035" s="5">
        <v>128</v>
      </c>
      <c r="P1035" s="5"/>
      <c r="Q1035" s="5"/>
      <c r="R1035" s="8">
        <v>8.1018518518518516E-5</v>
      </c>
      <c r="S1035" s="5" t="s">
        <v>37</v>
      </c>
      <c r="T1035" t="str">
        <f>IF(Tabela1[[#This Row],[STATUS_NEGOCIO]]="Enviar E-mail",1,"")</f>
        <v/>
      </c>
      <c r="U1035" t="str">
        <f>TEXT(Tabela1[[#This Row],[DATA]],"dd/mm/aaaa")</f>
        <v>22/04/2026</v>
      </c>
    </row>
    <row r="1036" spans="1:21" x14ac:dyDescent="0.25">
      <c r="A1036" s="4">
        <v>46134.619988425926</v>
      </c>
      <c r="B1036" s="5" t="s">
        <v>19</v>
      </c>
      <c r="C1036" s="5" t="s">
        <v>37</v>
      </c>
      <c r="D1036" s="5">
        <v>398</v>
      </c>
      <c r="E1036" s="6">
        <v>34851161000100</v>
      </c>
      <c r="F1036" s="5">
        <v>398</v>
      </c>
      <c r="G1036" s="7">
        <v>177688036757671</v>
      </c>
      <c r="H1036" s="5" t="s">
        <v>533</v>
      </c>
      <c r="I1036" s="5" t="s">
        <v>52</v>
      </c>
      <c r="J1036" s="5" t="s">
        <v>22</v>
      </c>
      <c r="K1036" s="5" t="s">
        <v>36</v>
      </c>
      <c r="L1036" s="5" t="s">
        <v>36</v>
      </c>
      <c r="M1036" s="5" t="s">
        <v>284</v>
      </c>
      <c r="N1036" s="5" t="s">
        <v>53</v>
      </c>
      <c r="O1036" s="5">
        <v>34</v>
      </c>
      <c r="P1036" s="5"/>
      <c r="Q1036" s="5"/>
      <c r="R1036" s="8">
        <v>0</v>
      </c>
      <c r="S1036" s="5" t="s">
        <v>37</v>
      </c>
      <c r="T1036" t="str">
        <f>IF(Tabela1[[#This Row],[STATUS_NEGOCIO]]="Enviar E-mail",1,"")</f>
        <v/>
      </c>
      <c r="U1036" t="str">
        <f>TEXT(Tabela1[[#This Row],[DATA]],"dd/mm/aaaa")</f>
        <v>22/04/2026</v>
      </c>
    </row>
    <row r="1037" spans="1:21" x14ac:dyDescent="0.25">
      <c r="A1037" s="4">
        <v>46134.620046296295</v>
      </c>
      <c r="B1037" s="5" t="s">
        <v>19</v>
      </c>
      <c r="C1037" s="5" t="s">
        <v>37</v>
      </c>
      <c r="D1037" s="5">
        <v>399</v>
      </c>
      <c r="E1037" s="6">
        <v>34978275000116</v>
      </c>
      <c r="F1037" s="5">
        <v>399</v>
      </c>
      <c r="G1037" s="7">
        <v>177688037257701</v>
      </c>
      <c r="H1037" s="5" t="s">
        <v>77</v>
      </c>
      <c r="I1037" s="5">
        <v>3003</v>
      </c>
      <c r="J1037" s="5" t="s">
        <v>22</v>
      </c>
      <c r="K1037" s="5" t="s">
        <v>23</v>
      </c>
      <c r="L1037" s="5" t="s">
        <v>31</v>
      </c>
      <c r="M1037" s="5" t="s">
        <v>284</v>
      </c>
      <c r="N1037" s="5" t="s">
        <v>53</v>
      </c>
      <c r="O1037" s="5">
        <v>128</v>
      </c>
      <c r="P1037" s="5"/>
      <c r="Q1037" s="5"/>
      <c r="R1037" s="8">
        <v>8.1018518518518516E-5</v>
      </c>
      <c r="S1037" s="5" t="s">
        <v>37</v>
      </c>
      <c r="T1037" t="str">
        <f>IF(Tabela1[[#This Row],[STATUS_NEGOCIO]]="Enviar E-mail",1,"")</f>
        <v/>
      </c>
      <c r="U1037" t="str">
        <f>TEXT(Tabela1[[#This Row],[DATA]],"dd/mm/aaaa")</f>
        <v>22/04/2026</v>
      </c>
    </row>
    <row r="1038" spans="1:21" x14ac:dyDescent="0.25">
      <c r="A1038" s="4">
        <v>46134.620069444441</v>
      </c>
      <c r="B1038" s="5" t="s">
        <v>19</v>
      </c>
      <c r="C1038" s="5" t="s">
        <v>37</v>
      </c>
      <c r="D1038" s="5">
        <v>400</v>
      </c>
      <c r="E1038" s="6">
        <v>35055430000195</v>
      </c>
      <c r="F1038" s="5">
        <v>400</v>
      </c>
      <c r="G1038" s="7">
        <v>177688037457721</v>
      </c>
      <c r="H1038" s="5" t="s">
        <v>534</v>
      </c>
      <c r="I1038" s="5">
        <v>3003</v>
      </c>
      <c r="J1038" s="5" t="s">
        <v>22</v>
      </c>
      <c r="K1038" s="5" t="s">
        <v>23</v>
      </c>
      <c r="L1038" s="5" t="s">
        <v>31</v>
      </c>
      <c r="M1038" s="5" t="s">
        <v>284</v>
      </c>
      <c r="N1038" s="5" t="s">
        <v>53</v>
      </c>
      <c r="O1038" s="5">
        <v>128</v>
      </c>
      <c r="P1038" s="5"/>
      <c r="Q1038" s="5"/>
      <c r="R1038" s="8">
        <v>8.1018518518518516E-5</v>
      </c>
      <c r="S1038" s="5" t="s">
        <v>37</v>
      </c>
      <c r="T1038" t="str">
        <f>IF(Tabela1[[#This Row],[STATUS_NEGOCIO]]="Enviar E-mail",1,"")</f>
        <v/>
      </c>
      <c r="U1038" t="str">
        <f>TEXT(Tabela1[[#This Row],[DATA]],"dd/mm/aaaa")</f>
        <v>22/04/2026</v>
      </c>
    </row>
    <row r="1039" spans="1:21" x14ac:dyDescent="0.25">
      <c r="A1039" s="4">
        <v>46134.620092592595</v>
      </c>
      <c r="B1039" s="5" t="s">
        <v>19</v>
      </c>
      <c r="C1039" s="5" t="s">
        <v>37</v>
      </c>
      <c r="D1039" s="5">
        <v>402</v>
      </c>
      <c r="E1039" s="6">
        <v>35700816000102</v>
      </c>
      <c r="F1039" s="5">
        <v>402</v>
      </c>
      <c r="G1039" s="7">
        <v>177688037657731</v>
      </c>
      <c r="H1039" s="5" t="s">
        <v>535</v>
      </c>
      <c r="I1039" s="5" t="s">
        <v>52</v>
      </c>
      <c r="J1039" s="5" t="s">
        <v>22</v>
      </c>
      <c r="K1039" s="5" t="s">
        <v>36</v>
      </c>
      <c r="L1039" s="5" t="s">
        <v>36</v>
      </c>
      <c r="M1039" s="5" t="s">
        <v>284</v>
      </c>
      <c r="N1039" s="5" t="s">
        <v>53</v>
      </c>
      <c r="O1039" s="5">
        <v>19</v>
      </c>
      <c r="P1039" s="5"/>
      <c r="Q1039" s="5"/>
      <c r="R1039" s="8">
        <v>0</v>
      </c>
      <c r="S1039" s="5" t="s">
        <v>37</v>
      </c>
      <c r="T1039" t="str">
        <f>IF(Tabela1[[#This Row],[STATUS_NEGOCIO]]="Enviar E-mail",1,"")</f>
        <v/>
      </c>
      <c r="U1039" t="str">
        <f>TEXT(Tabela1[[#This Row],[DATA]],"dd/mm/aaaa")</f>
        <v>22/04/2026</v>
      </c>
    </row>
    <row r="1040" spans="1:21" x14ac:dyDescent="0.25">
      <c r="A1040" s="4">
        <v>46134.620173611111</v>
      </c>
      <c r="B1040" s="5" t="s">
        <v>19</v>
      </c>
      <c r="C1040" s="5" t="s">
        <v>37</v>
      </c>
      <c r="D1040" s="5">
        <v>403</v>
      </c>
      <c r="E1040" s="6">
        <v>35765734000146</v>
      </c>
      <c r="F1040" s="5">
        <v>403</v>
      </c>
      <c r="G1040" s="7">
        <v>177688038357751</v>
      </c>
      <c r="H1040" s="5" t="s">
        <v>536</v>
      </c>
      <c r="I1040" s="5">
        <v>3003</v>
      </c>
      <c r="J1040" s="5" t="s">
        <v>22</v>
      </c>
      <c r="K1040" s="5" t="s">
        <v>23</v>
      </c>
      <c r="L1040" s="5" t="s">
        <v>31</v>
      </c>
      <c r="M1040" s="5" t="s">
        <v>284</v>
      </c>
      <c r="N1040" s="5" t="s">
        <v>53</v>
      </c>
      <c r="O1040" s="5">
        <v>128</v>
      </c>
      <c r="P1040" s="5"/>
      <c r="Q1040" s="5"/>
      <c r="R1040" s="8">
        <v>8.1018518518518516E-5</v>
      </c>
      <c r="S1040" s="5" t="s">
        <v>37</v>
      </c>
      <c r="T1040" t="str">
        <f>IF(Tabela1[[#This Row],[STATUS_NEGOCIO]]="Enviar E-mail",1,"")</f>
        <v/>
      </c>
      <c r="U1040" t="str">
        <f>TEXT(Tabela1[[#This Row],[DATA]],"dd/mm/aaaa")</f>
        <v>22/04/2026</v>
      </c>
    </row>
    <row r="1041" spans="1:21" x14ac:dyDescent="0.25">
      <c r="A1041" s="4">
        <v>46134.620254629626</v>
      </c>
      <c r="B1041" s="5" t="s">
        <v>19</v>
      </c>
      <c r="C1041" s="5" t="s">
        <v>37</v>
      </c>
      <c r="D1041" s="5">
        <v>404</v>
      </c>
      <c r="E1041" s="6">
        <v>35872118000194</v>
      </c>
      <c r="F1041" s="5">
        <v>404</v>
      </c>
      <c r="G1041" s="7">
        <v>177688039057781</v>
      </c>
      <c r="H1041" s="5" t="s">
        <v>537</v>
      </c>
      <c r="I1041" s="5">
        <v>3003</v>
      </c>
      <c r="J1041" s="5" t="s">
        <v>22</v>
      </c>
      <c r="K1041" s="5" t="s">
        <v>23</v>
      </c>
      <c r="L1041" s="5" t="s">
        <v>31</v>
      </c>
      <c r="M1041" s="5" t="s">
        <v>284</v>
      </c>
      <c r="N1041" s="5" t="s">
        <v>53</v>
      </c>
      <c r="O1041" s="5">
        <v>128</v>
      </c>
      <c r="P1041" s="5"/>
      <c r="Q1041" s="5"/>
      <c r="R1041" s="8">
        <v>8.1018518518518516E-5</v>
      </c>
      <c r="S1041" s="5" t="s">
        <v>37</v>
      </c>
      <c r="T1041" t="str">
        <f>IF(Tabela1[[#This Row],[STATUS_NEGOCIO]]="Enviar E-mail",1,"")</f>
        <v/>
      </c>
      <c r="U1041" t="str">
        <f>TEXT(Tabela1[[#This Row],[DATA]],"dd/mm/aaaa")</f>
        <v>22/04/2026</v>
      </c>
    </row>
    <row r="1042" spans="1:21" x14ac:dyDescent="0.25">
      <c r="A1042" s="4">
        <v>46134.62027777778</v>
      </c>
      <c r="B1042" s="5" t="s">
        <v>19</v>
      </c>
      <c r="C1042" s="5" t="s">
        <v>37</v>
      </c>
      <c r="D1042" s="5">
        <v>405</v>
      </c>
      <c r="E1042" s="6">
        <v>35981385000108</v>
      </c>
      <c r="F1042" s="5">
        <v>405</v>
      </c>
      <c r="G1042" s="7">
        <v>177688039257801</v>
      </c>
      <c r="H1042" s="5" t="s">
        <v>76</v>
      </c>
      <c r="I1042" s="5">
        <v>3003</v>
      </c>
      <c r="J1042" s="5" t="s">
        <v>22</v>
      </c>
      <c r="K1042" s="5" t="s">
        <v>23</v>
      </c>
      <c r="L1042" s="5" t="s">
        <v>31</v>
      </c>
      <c r="M1042" s="5" t="s">
        <v>284</v>
      </c>
      <c r="N1042" s="5" t="s">
        <v>53</v>
      </c>
      <c r="O1042" s="5">
        <v>128</v>
      </c>
      <c r="P1042" s="5"/>
      <c r="Q1042" s="5"/>
      <c r="R1042" s="8">
        <v>8.1018518518518516E-5</v>
      </c>
      <c r="S1042" s="5" t="s">
        <v>37</v>
      </c>
      <c r="T1042" t="str">
        <f>IF(Tabela1[[#This Row],[STATUS_NEGOCIO]]="Enviar E-mail",1,"")</f>
        <v/>
      </c>
      <c r="U1042" t="str">
        <f>TEXT(Tabela1[[#This Row],[DATA]],"dd/mm/aaaa")</f>
        <v>22/04/2026</v>
      </c>
    </row>
    <row r="1043" spans="1:21" x14ac:dyDescent="0.25">
      <c r="A1043" s="4">
        <v>46134.620289351849</v>
      </c>
      <c r="B1043" s="5" t="s">
        <v>19</v>
      </c>
      <c r="C1043" s="5" t="s">
        <v>37</v>
      </c>
      <c r="D1043" s="5">
        <v>406</v>
      </c>
      <c r="E1043" s="6">
        <v>35982209000182</v>
      </c>
      <c r="F1043" s="5">
        <v>406</v>
      </c>
      <c r="G1043" s="7">
        <v>177688039357811</v>
      </c>
      <c r="H1043" s="5" t="s">
        <v>204</v>
      </c>
      <c r="I1043" s="5">
        <v>3003</v>
      </c>
      <c r="J1043" s="5" t="s">
        <v>22</v>
      </c>
      <c r="K1043" s="5" t="s">
        <v>23</v>
      </c>
      <c r="L1043" s="5" t="s">
        <v>31</v>
      </c>
      <c r="M1043" s="5" t="s">
        <v>284</v>
      </c>
      <c r="N1043" s="5" t="s">
        <v>53</v>
      </c>
      <c r="O1043" s="5">
        <v>128</v>
      </c>
      <c r="P1043" s="5"/>
      <c r="Q1043" s="5"/>
      <c r="R1043" s="8">
        <v>8.1018518518518516E-5</v>
      </c>
      <c r="S1043" s="5" t="s">
        <v>37</v>
      </c>
      <c r="T1043" t="str">
        <f>IF(Tabela1[[#This Row],[STATUS_NEGOCIO]]="Enviar E-mail",1,"")</f>
        <v/>
      </c>
      <c r="U1043" t="str">
        <f>TEXT(Tabela1[[#This Row],[DATA]],"dd/mm/aaaa")</f>
        <v>22/04/2026</v>
      </c>
    </row>
    <row r="1044" spans="1:21" x14ac:dyDescent="0.25">
      <c r="A1044" s="4">
        <v>46134.620324074072</v>
      </c>
      <c r="B1044" s="5" t="s">
        <v>19</v>
      </c>
      <c r="C1044" s="5" t="s">
        <v>37</v>
      </c>
      <c r="D1044" s="5">
        <v>408</v>
      </c>
      <c r="E1044" s="6">
        <v>36085439000101</v>
      </c>
      <c r="F1044" s="5">
        <v>408</v>
      </c>
      <c r="G1044" s="7">
        <v>177688039657831</v>
      </c>
      <c r="H1044" s="5" t="s">
        <v>539</v>
      </c>
      <c r="I1044" s="5">
        <v>3003</v>
      </c>
      <c r="J1044" s="5" t="s">
        <v>22</v>
      </c>
      <c r="K1044" s="5" t="s">
        <v>23</v>
      </c>
      <c r="L1044" s="5" t="s">
        <v>31</v>
      </c>
      <c r="M1044" s="5" t="s">
        <v>284</v>
      </c>
      <c r="N1044" s="5" t="s">
        <v>26</v>
      </c>
      <c r="O1044" s="5">
        <v>131</v>
      </c>
      <c r="P1044" s="5"/>
      <c r="Q1044" s="5"/>
      <c r="R1044" s="8">
        <v>1.1574074074074073E-5</v>
      </c>
      <c r="S1044" s="5" t="s">
        <v>37</v>
      </c>
      <c r="T1044" t="str">
        <f>IF(Tabela1[[#This Row],[STATUS_NEGOCIO]]="Enviar E-mail",1,"")</f>
        <v/>
      </c>
      <c r="U1044" t="str">
        <f>TEXT(Tabela1[[#This Row],[DATA]],"dd/mm/aaaa")</f>
        <v>22/04/2026</v>
      </c>
    </row>
    <row r="1045" spans="1:21" x14ac:dyDescent="0.25">
      <c r="A1045" s="4">
        <v>46134.620370370372</v>
      </c>
      <c r="B1045" s="5" t="s">
        <v>19</v>
      </c>
      <c r="C1045" s="5" t="s">
        <v>37</v>
      </c>
      <c r="D1045" s="5">
        <v>409</v>
      </c>
      <c r="E1045" s="6">
        <v>36158632000125</v>
      </c>
      <c r="F1045" s="5">
        <v>409</v>
      </c>
      <c r="G1045" s="7">
        <v>177688040057851</v>
      </c>
      <c r="H1045" s="5" t="s">
        <v>166</v>
      </c>
      <c r="I1045" s="5">
        <v>3003</v>
      </c>
      <c r="J1045" s="5" t="s">
        <v>22</v>
      </c>
      <c r="K1045" s="5" t="s">
        <v>23</v>
      </c>
      <c r="L1045" s="5" t="s">
        <v>31</v>
      </c>
      <c r="M1045" s="5" t="s">
        <v>284</v>
      </c>
      <c r="N1045" s="5" t="s">
        <v>53</v>
      </c>
      <c r="O1045" s="5">
        <v>147</v>
      </c>
      <c r="P1045" s="5"/>
      <c r="Q1045" s="5"/>
      <c r="R1045" s="8">
        <v>8.1018518518518516E-5</v>
      </c>
      <c r="S1045" s="5" t="s">
        <v>37</v>
      </c>
      <c r="T1045" t="str">
        <f>IF(Tabela1[[#This Row],[STATUS_NEGOCIO]]="Enviar E-mail",1,"")</f>
        <v/>
      </c>
      <c r="U1045" t="str">
        <f>TEXT(Tabela1[[#This Row],[DATA]],"dd/mm/aaaa")</f>
        <v>22/04/2026</v>
      </c>
    </row>
    <row r="1046" spans="1:21" x14ac:dyDescent="0.25">
      <c r="A1046" s="4">
        <v>46134.620405092595</v>
      </c>
      <c r="B1046" s="5" t="s">
        <v>19</v>
      </c>
      <c r="C1046" s="5" t="s">
        <v>37</v>
      </c>
      <c r="D1046" s="5">
        <v>410</v>
      </c>
      <c r="E1046" s="6">
        <v>36204923000102</v>
      </c>
      <c r="F1046" s="5">
        <v>410</v>
      </c>
      <c r="G1046" s="7">
        <v>177688040357871</v>
      </c>
      <c r="H1046" s="5" t="s">
        <v>540</v>
      </c>
      <c r="I1046" s="5">
        <v>3003</v>
      </c>
      <c r="J1046" s="5" t="s">
        <v>22</v>
      </c>
      <c r="K1046" s="5" t="s">
        <v>23</v>
      </c>
      <c r="L1046" s="5" t="s">
        <v>31</v>
      </c>
      <c r="M1046" s="5" t="s">
        <v>284</v>
      </c>
      <c r="N1046" s="5" t="s">
        <v>53</v>
      </c>
      <c r="O1046" s="5">
        <v>128</v>
      </c>
      <c r="P1046" s="5"/>
      <c r="Q1046" s="5"/>
      <c r="R1046" s="8">
        <v>8.1018518518518516E-5</v>
      </c>
      <c r="S1046" s="5" t="s">
        <v>37</v>
      </c>
      <c r="T1046" t="str">
        <f>IF(Tabela1[[#This Row],[STATUS_NEGOCIO]]="Enviar E-mail",1,"")</f>
        <v/>
      </c>
      <c r="U1046" t="str">
        <f>TEXT(Tabela1[[#This Row],[DATA]],"dd/mm/aaaa")</f>
        <v>22/04/2026</v>
      </c>
    </row>
    <row r="1047" spans="1:21" x14ac:dyDescent="0.25">
      <c r="A1047" s="4">
        <v>46134.620486111111</v>
      </c>
      <c r="B1047" s="5" t="s">
        <v>19</v>
      </c>
      <c r="C1047" s="5" t="s">
        <v>37</v>
      </c>
      <c r="D1047" s="5">
        <v>411</v>
      </c>
      <c r="E1047" s="6">
        <v>36264719000187</v>
      </c>
      <c r="F1047" s="5">
        <v>411</v>
      </c>
      <c r="G1047" s="7">
        <v>177688041057891</v>
      </c>
      <c r="H1047" s="5" t="s">
        <v>541</v>
      </c>
      <c r="I1047" s="5">
        <v>3003</v>
      </c>
      <c r="J1047" s="5" t="s">
        <v>22</v>
      </c>
      <c r="K1047" s="5" t="s">
        <v>23</v>
      </c>
      <c r="L1047" s="5" t="s">
        <v>31</v>
      </c>
      <c r="M1047" s="5" t="s">
        <v>284</v>
      </c>
      <c r="N1047" s="5" t="s">
        <v>53</v>
      </c>
      <c r="O1047" s="5">
        <v>128</v>
      </c>
      <c r="P1047" s="5"/>
      <c r="Q1047" s="5"/>
      <c r="R1047" s="8">
        <v>8.1018518518518516E-5</v>
      </c>
      <c r="S1047" s="5" t="s">
        <v>37</v>
      </c>
      <c r="T1047" t="str">
        <f>IF(Tabela1[[#This Row],[STATUS_NEGOCIO]]="Enviar E-mail",1,"")</f>
        <v/>
      </c>
      <c r="U1047" t="str">
        <f>TEXT(Tabela1[[#This Row],[DATA]],"dd/mm/aaaa")</f>
        <v>22/04/2026</v>
      </c>
    </row>
    <row r="1048" spans="1:21" x14ac:dyDescent="0.25">
      <c r="A1048" s="4">
        <v>46134.620497685188</v>
      </c>
      <c r="B1048" s="5" t="s">
        <v>19</v>
      </c>
      <c r="C1048" s="5" t="s">
        <v>37</v>
      </c>
      <c r="D1048" s="5">
        <v>414</v>
      </c>
      <c r="E1048" s="6">
        <v>36481984000117</v>
      </c>
      <c r="F1048" s="5">
        <v>414</v>
      </c>
      <c r="G1048" s="7">
        <v>177688041157911</v>
      </c>
      <c r="H1048" s="5" t="s">
        <v>543</v>
      </c>
      <c r="I1048" s="5">
        <v>3003</v>
      </c>
      <c r="J1048" s="5" t="s">
        <v>22</v>
      </c>
      <c r="K1048" s="5" t="s">
        <v>23</v>
      </c>
      <c r="L1048" s="5" t="s">
        <v>31</v>
      </c>
      <c r="M1048" s="5" t="s">
        <v>284</v>
      </c>
      <c r="N1048" s="5" t="s">
        <v>53</v>
      </c>
      <c r="O1048" s="5">
        <v>128</v>
      </c>
      <c r="P1048" s="5"/>
      <c r="Q1048" s="5"/>
      <c r="R1048" s="8">
        <v>4.6296296296296294E-5</v>
      </c>
      <c r="S1048" s="5" t="s">
        <v>37</v>
      </c>
      <c r="T1048" t="str">
        <f>IF(Tabela1[[#This Row],[STATUS_NEGOCIO]]="Enviar E-mail",1,"")</f>
        <v/>
      </c>
      <c r="U1048" t="str">
        <f>TEXT(Tabela1[[#This Row],[DATA]],"dd/mm/aaaa")</f>
        <v>22/04/2026</v>
      </c>
    </row>
    <row r="1049" spans="1:21" x14ac:dyDescent="0.25">
      <c r="A1049" s="4">
        <v>46134.620567129627</v>
      </c>
      <c r="B1049" s="5" t="s">
        <v>19</v>
      </c>
      <c r="C1049" s="5" t="s">
        <v>37</v>
      </c>
      <c r="D1049" s="5">
        <v>415</v>
      </c>
      <c r="E1049" s="6">
        <v>36509446000193</v>
      </c>
      <c r="F1049" s="5">
        <v>415</v>
      </c>
      <c r="G1049" s="7">
        <v>177688041757931</v>
      </c>
      <c r="H1049" s="5" t="s">
        <v>544</v>
      </c>
      <c r="I1049" s="5">
        <v>3003</v>
      </c>
      <c r="J1049" s="5" t="s">
        <v>22</v>
      </c>
      <c r="K1049" s="5" t="s">
        <v>23</v>
      </c>
      <c r="L1049" s="5" t="s">
        <v>31</v>
      </c>
      <c r="M1049" s="5" t="s">
        <v>284</v>
      </c>
      <c r="N1049" s="5" t="s">
        <v>53</v>
      </c>
      <c r="O1049" s="5">
        <v>128</v>
      </c>
      <c r="P1049" s="5"/>
      <c r="Q1049" s="5"/>
      <c r="R1049" s="8">
        <v>8.1018518518518516E-5</v>
      </c>
      <c r="S1049" s="5" t="s">
        <v>37</v>
      </c>
      <c r="T1049" t="str">
        <f>IF(Tabela1[[#This Row],[STATUS_NEGOCIO]]="Enviar E-mail",1,"")</f>
        <v/>
      </c>
      <c r="U1049" t="str">
        <f>TEXT(Tabela1[[#This Row],[DATA]],"dd/mm/aaaa")</f>
        <v>22/04/2026</v>
      </c>
    </row>
    <row r="1050" spans="1:21" x14ac:dyDescent="0.25">
      <c r="A1050" s="4">
        <v>46134.62059027778</v>
      </c>
      <c r="B1050" s="5" t="s">
        <v>19</v>
      </c>
      <c r="C1050" s="5" t="s">
        <v>37</v>
      </c>
      <c r="D1050" s="5">
        <v>416</v>
      </c>
      <c r="E1050" s="6">
        <v>36541506000155</v>
      </c>
      <c r="F1050" s="5">
        <v>416</v>
      </c>
      <c r="G1050" s="7">
        <v>177688041957951</v>
      </c>
      <c r="H1050" s="5" t="s">
        <v>227</v>
      </c>
      <c r="I1050" s="5" t="s">
        <v>52</v>
      </c>
      <c r="J1050" s="5" t="s">
        <v>22</v>
      </c>
      <c r="K1050" s="5" t="s">
        <v>36</v>
      </c>
      <c r="L1050" s="5" t="s">
        <v>36</v>
      </c>
      <c r="M1050" s="5" t="s">
        <v>284</v>
      </c>
      <c r="N1050" s="5" t="s">
        <v>53</v>
      </c>
      <c r="O1050" s="5">
        <v>1</v>
      </c>
      <c r="P1050" s="5"/>
      <c r="Q1050" s="5"/>
      <c r="R1050" s="8">
        <v>0</v>
      </c>
      <c r="S1050" s="5" t="s">
        <v>37</v>
      </c>
      <c r="T1050" t="str">
        <f>IF(Tabela1[[#This Row],[STATUS_NEGOCIO]]="Enviar E-mail",1,"")</f>
        <v/>
      </c>
      <c r="U1050" t="str">
        <f>TEXT(Tabela1[[#This Row],[DATA]],"dd/mm/aaaa")</f>
        <v>22/04/2026</v>
      </c>
    </row>
    <row r="1051" spans="1:21" x14ac:dyDescent="0.25">
      <c r="A1051" s="4">
        <v>46134.62059027778</v>
      </c>
      <c r="B1051" s="5" t="s">
        <v>19</v>
      </c>
      <c r="C1051" s="5" t="s">
        <v>37</v>
      </c>
      <c r="D1051" s="5">
        <v>417</v>
      </c>
      <c r="E1051" s="6">
        <v>36565794000188</v>
      </c>
      <c r="F1051" s="5">
        <v>417</v>
      </c>
      <c r="G1051" s="7">
        <v>177688041957961</v>
      </c>
      <c r="H1051" s="5" t="s">
        <v>545</v>
      </c>
      <c r="I1051" s="5">
        <v>3003</v>
      </c>
      <c r="J1051" s="5" t="s">
        <v>22</v>
      </c>
      <c r="K1051" s="5" t="s">
        <v>23</v>
      </c>
      <c r="L1051" s="5" t="s">
        <v>31</v>
      </c>
      <c r="M1051" s="5" t="s">
        <v>284</v>
      </c>
      <c r="N1051" s="5" t="s">
        <v>53</v>
      </c>
      <c r="O1051" s="5">
        <v>128</v>
      </c>
      <c r="P1051" s="5"/>
      <c r="Q1051" s="5"/>
      <c r="R1051" s="8">
        <v>8.1018518518518516E-5</v>
      </c>
      <c r="S1051" s="5" t="s">
        <v>37</v>
      </c>
      <c r="T1051" t="str">
        <f>IF(Tabela1[[#This Row],[STATUS_NEGOCIO]]="Enviar E-mail",1,"")</f>
        <v/>
      </c>
      <c r="U1051" t="str">
        <f>TEXT(Tabela1[[#This Row],[DATA]],"dd/mm/aaaa")</f>
        <v>22/04/2026</v>
      </c>
    </row>
    <row r="1052" spans="1:21" x14ac:dyDescent="0.25">
      <c r="A1052" s="4">
        <v>46134.620636574073</v>
      </c>
      <c r="B1052" s="5" t="s">
        <v>19</v>
      </c>
      <c r="C1052" s="5" t="s">
        <v>37</v>
      </c>
      <c r="D1052" s="5">
        <v>418</v>
      </c>
      <c r="E1052" s="6">
        <v>36567717000167</v>
      </c>
      <c r="F1052" s="5">
        <v>418</v>
      </c>
      <c r="G1052" s="7">
        <v>177688042357981</v>
      </c>
      <c r="H1052" s="5" t="s">
        <v>546</v>
      </c>
      <c r="I1052" s="5">
        <v>3003</v>
      </c>
      <c r="J1052" s="5" t="s">
        <v>22</v>
      </c>
      <c r="K1052" s="5" t="s">
        <v>23</v>
      </c>
      <c r="L1052" s="5" t="s">
        <v>31</v>
      </c>
      <c r="M1052" s="5" t="s">
        <v>284</v>
      </c>
      <c r="N1052" s="5" t="s">
        <v>53</v>
      </c>
      <c r="O1052" s="5">
        <v>128</v>
      </c>
      <c r="P1052" s="5"/>
      <c r="Q1052" s="5"/>
      <c r="R1052" s="8">
        <v>8.1018518518518516E-5</v>
      </c>
      <c r="S1052" s="5" t="s">
        <v>37</v>
      </c>
      <c r="T1052" t="str">
        <f>IF(Tabela1[[#This Row],[STATUS_NEGOCIO]]="Enviar E-mail",1,"")</f>
        <v/>
      </c>
      <c r="U1052" t="str">
        <f>TEXT(Tabela1[[#This Row],[DATA]],"dd/mm/aaaa")</f>
        <v>22/04/2026</v>
      </c>
    </row>
    <row r="1053" spans="1:21" x14ac:dyDescent="0.25">
      <c r="A1053" s="4">
        <v>46134.620671296296</v>
      </c>
      <c r="B1053" s="5" t="s">
        <v>19</v>
      </c>
      <c r="C1053" s="5" t="s">
        <v>37</v>
      </c>
      <c r="D1053" s="5">
        <v>419</v>
      </c>
      <c r="E1053" s="6">
        <v>36572501000190</v>
      </c>
      <c r="F1053" s="5">
        <v>419</v>
      </c>
      <c r="G1053" s="7">
        <v>177688042657991</v>
      </c>
      <c r="H1053" s="5" t="s">
        <v>547</v>
      </c>
      <c r="I1053" s="5">
        <v>3003</v>
      </c>
      <c r="J1053" s="5" t="s">
        <v>22</v>
      </c>
      <c r="K1053" s="5" t="s">
        <v>23</v>
      </c>
      <c r="L1053" s="5" t="s">
        <v>31</v>
      </c>
      <c r="M1053" s="5" t="s">
        <v>284</v>
      </c>
      <c r="N1053" s="5" t="s">
        <v>53</v>
      </c>
      <c r="O1053" s="5">
        <v>128</v>
      </c>
      <c r="P1053" s="5"/>
      <c r="Q1053" s="5"/>
      <c r="R1053" s="8">
        <v>8.1018518518518516E-5</v>
      </c>
      <c r="S1053" s="5" t="s">
        <v>37</v>
      </c>
      <c r="T1053" t="str">
        <f>IF(Tabela1[[#This Row],[STATUS_NEGOCIO]]="Enviar E-mail",1,"")</f>
        <v/>
      </c>
      <c r="U1053" t="str">
        <f>TEXT(Tabela1[[#This Row],[DATA]],"dd/mm/aaaa")</f>
        <v>22/04/2026</v>
      </c>
    </row>
    <row r="1054" spans="1:21" x14ac:dyDescent="0.25">
      <c r="A1054" s="4">
        <v>46134.620706018519</v>
      </c>
      <c r="B1054" s="5" t="s">
        <v>19</v>
      </c>
      <c r="C1054" s="5" t="s">
        <v>37</v>
      </c>
      <c r="D1054" s="5">
        <v>420</v>
      </c>
      <c r="E1054" s="6">
        <v>36936004000123</v>
      </c>
      <c r="F1054" s="5">
        <v>420</v>
      </c>
      <c r="G1054" s="7">
        <v>177688042958011</v>
      </c>
      <c r="H1054" s="5" t="s">
        <v>548</v>
      </c>
      <c r="I1054" s="5">
        <v>3003</v>
      </c>
      <c r="J1054" s="5" t="s">
        <v>22</v>
      </c>
      <c r="K1054" s="5" t="s">
        <v>23</v>
      </c>
      <c r="L1054" s="5" t="s">
        <v>31</v>
      </c>
      <c r="M1054" s="5" t="s">
        <v>284</v>
      </c>
      <c r="N1054" s="5" t="s">
        <v>53</v>
      </c>
      <c r="O1054" s="5">
        <v>128</v>
      </c>
      <c r="P1054" s="5"/>
      <c r="Q1054" s="5"/>
      <c r="R1054" s="8">
        <v>8.1018518518518516E-5</v>
      </c>
      <c r="S1054" s="5" t="s">
        <v>37</v>
      </c>
      <c r="T1054" t="str">
        <f>IF(Tabela1[[#This Row],[STATUS_NEGOCIO]]="Enviar E-mail",1,"")</f>
        <v/>
      </c>
      <c r="U1054" t="str">
        <f>TEXT(Tabela1[[#This Row],[DATA]],"dd/mm/aaaa")</f>
        <v>22/04/2026</v>
      </c>
    </row>
    <row r="1055" spans="1:21" x14ac:dyDescent="0.25">
      <c r="A1055" s="4">
        <v>46134.620729166665</v>
      </c>
      <c r="B1055" s="5" t="s">
        <v>19</v>
      </c>
      <c r="C1055" s="5" t="s">
        <v>37</v>
      </c>
      <c r="D1055" s="5">
        <v>421</v>
      </c>
      <c r="E1055" s="6">
        <v>37285492000119</v>
      </c>
      <c r="F1055" s="5">
        <v>421</v>
      </c>
      <c r="G1055" s="7">
        <v>177688043158031</v>
      </c>
      <c r="H1055" s="5" t="s">
        <v>275</v>
      </c>
      <c r="I1055" s="5">
        <v>3003</v>
      </c>
      <c r="J1055" s="5" t="s">
        <v>22</v>
      </c>
      <c r="K1055" s="5" t="s">
        <v>23</v>
      </c>
      <c r="L1055" s="5" t="s">
        <v>31</v>
      </c>
      <c r="M1055" s="5" t="s">
        <v>284</v>
      </c>
      <c r="N1055" s="5" t="s">
        <v>53</v>
      </c>
      <c r="O1055" s="5">
        <v>128</v>
      </c>
      <c r="P1055" s="5"/>
      <c r="Q1055" s="5"/>
      <c r="R1055" s="8">
        <v>8.1018518518518516E-5</v>
      </c>
      <c r="S1055" s="5" t="s">
        <v>37</v>
      </c>
      <c r="T1055" t="str">
        <f>IF(Tabela1[[#This Row],[STATUS_NEGOCIO]]="Enviar E-mail",1,"")</f>
        <v/>
      </c>
      <c r="U1055" t="str">
        <f>TEXT(Tabela1[[#This Row],[DATA]],"dd/mm/aaaa")</f>
        <v>22/04/2026</v>
      </c>
    </row>
    <row r="1056" spans="1:21" x14ac:dyDescent="0.25">
      <c r="A1056" s="4">
        <v>46134.620833333334</v>
      </c>
      <c r="B1056" s="5" t="s">
        <v>19</v>
      </c>
      <c r="C1056" s="5" t="s">
        <v>37</v>
      </c>
      <c r="D1056" s="5">
        <v>422</v>
      </c>
      <c r="E1056" s="6">
        <v>37407191000110</v>
      </c>
      <c r="F1056" s="5">
        <v>422</v>
      </c>
      <c r="G1056" s="7">
        <v>177688044058051</v>
      </c>
      <c r="H1056" s="5" t="s">
        <v>549</v>
      </c>
      <c r="I1056" s="5" t="s">
        <v>52</v>
      </c>
      <c r="J1056" s="5" t="s">
        <v>22</v>
      </c>
      <c r="K1056" s="5" t="s">
        <v>36</v>
      </c>
      <c r="L1056" s="5" t="s">
        <v>36</v>
      </c>
      <c r="M1056" s="5" t="s">
        <v>284</v>
      </c>
      <c r="N1056" s="5" t="s">
        <v>53</v>
      </c>
      <c r="O1056" s="5">
        <v>19</v>
      </c>
      <c r="P1056" s="5"/>
      <c r="Q1056" s="5"/>
      <c r="R1056" s="8">
        <v>0</v>
      </c>
      <c r="S1056" s="5" t="s">
        <v>37</v>
      </c>
      <c r="T1056" t="str">
        <f>IF(Tabela1[[#This Row],[STATUS_NEGOCIO]]="Enviar E-mail",1,"")</f>
        <v/>
      </c>
      <c r="U1056" t="str">
        <f>TEXT(Tabela1[[#This Row],[DATA]],"dd/mm/aaaa")</f>
        <v>22/04/2026</v>
      </c>
    </row>
    <row r="1057" spans="1:21" x14ac:dyDescent="0.25">
      <c r="A1057" s="4">
        <v>46134.620891203704</v>
      </c>
      <c r="B1057" s="5" t="s">
        <v>19</v>
      </c>
      <c r="C1057" s="5" t="s">
        <v>37</v>
      </c>
      <c r="D1057" s="5">
        <v>424</v>
      </c>
      <c r="E1057" s="6">
        <v>37676685000109</v>
      </c>
      <c r="F1057" s="5">
        <v>424</v>
      </c>
      <c r="G1057" s="7">
        <v>177688044558071</v>
      </c>
      <c r="H1057" s="5" t="s">
        <v>551</v>
      </c>
      <c r="I1057" s="5">
        <v>3003</v>
      </c>
      <c r="J1057" s="5" t="s">
        <v>22</v>
      </c>
      <c r="K1057" s="5" t="s">
        <v>23</v>
      </c>
      <c r="L1057" s="5" t="s">
        <v>31</v>
      </c>
      <c r="M1057" s="5" t="s">
        <v>284</v>
      </c>
      <c r="N1057" s="5" t="s">
        <v>53</v>
      </c>
      <c r="O1057" s="5">
        <v>128</v>
      </c>
      <c r="P1057" s="5"/>
      <c r="Q1057" s="5"/>
      <c r="R1057" s="8">
        <v>8.1018518518518516E-5</v>
      </c>
      <c r="S1057" s="5" t="s">
        <v>37</v>
      </c>
      <c r="T1057" t="str">
        <f>IF(Tabela1[[#This Row],[STATUS_NEGOCIO]]="Enviar E-mail",1,"")</f>
        <v/>
      </c>
      <c r="U1057" t="str">
        <f>TEXT(Tabela1[[#This Row],[DATA]],"dd/mm/aaaa")</f>
        <v>22/04/2026</v>
      </c>
    </row>
    <row r="1058" spans="1:21" x14ac:dyDescent="0.25">
      <c r="A1058" s="4">
        <v>46134.620937500003</v>
      </c>
      <c r="B1058" s="5" t="s">
        <v>19</v>
      </c>
      <c r="C1058" s="5" t="s">
        <v>37</v>
      </c>
      <c r="D1058" s="5">
        <v>425</v>
      </c>
      <c r="E1058" s="6">
        <v>37785014000178</v>
      </c>
      <c r="F1058" s="5">
        <v>425</v>
      </c>
      <c r="G1058" s="7">
        <v>177688044958091</v>
      </c>
      <c r="H1058" s="5" t="s">
        <v>552</v>
      </c>
      <c r="I1058" s="5">
        <v>3003</v>
      </c>
      <c r="J1058" s="5" t="s">
        <v>22</v>
      </c>
      <c r="K1058" s="5" t="s">
        <v>23</v>
      </c>
      <c r="L1058" s="5" t="s">
        <v>31</v>
      </c>
      <c r="M1058" s="5" t="s">
        <v>284</v>
      </c>
      <c r="N1058" s="5" t="s">
        <v>53</v>
      </c>
      <c r="O1058" s="5">
        <v>128</v>
      </c>
      <c r="P1058" s="5"/>
      <c r="Q1058" s="5"/>
      <c r="R1058" s="8">
        <v>8.1018518518518516E-5</v>
      </c>
      <c r="S1058" s="5" t="s">
        <v>37</v>
      </c>
      <c r="T1058" t="str">
        <f>IF(Tabela1[[#This Row],[STATUS_NEGOCIO]]="Enviar E-mail",1,"")</f>
        <v/>
      </c>
      <c r="U1058" t="str">
        <f>TEXT(Tabela1[[#This Row],[DATA]],"dd/mm/aaaa")</f>
        <v>22/04/2026</v>
      </c>
    </row>
    <row r="1059" spans="1:21" x14ac:dyDescent="0.25">
      <c r="A1059" s="4">
        <v>46134.621018518519</v>
      </c>
      <c r="B1059" s="5" t="s">
        <v>19</v>
      </c>
      <c r="C1059" s="5" t="s">
        <v>37</v>
      </c>
      <c r="D1059" s="5">
        <v>426</v>
      </c>
      <c r="E1059" s="6">
        <v>37961934000108</v>
      </c>
      <c r="F1059" s="5">
        <v>426</v>
      </c>
      <c r="G1059" s="7">
        <v>177688045658111</v>
      </c>
      <c r="H1059" s="5" t="s">
        <v>553</v>
      </c>
      <c r="I1059" s="5">
        <v>3003</v>
      </c>
      <c r="J1059" s="5" t="s">
        <v>22</v>
      </c>
      <c r="K1059" s="5" t="s">
        <v>23</v>
      </c>
      <c r="L1059" s="5" t="s">
        <v>31</v>
      </c>
      <c r="M1059" s="5" t="s">
        <v>284</v>
      </c>
      <c r="N1059" s="5" t="s">
        <v>53</v>
      </c>
      <c r="O1059" s="5">
        <v>128</v>
      </c>
      <c r="P1059" s="5"/>
      <c r="Q1059" s="5"/>
      <c r="R1059" s="8">
        <v>8.1018518518518516E-5</v>
      </c>
      <c r="S1059" s="5" t="s">
        <v>37</v>
      </c>
      <c r="T1059" t="str">
        <f>IF(Tabela1[[#This Row],[STATUS_NEGOCIO]]="Enviar E-mail",1,"")</f>
        <v/>
      </c>
      <c r="U1059" t="str">
        <f>TEXT(Tabela1[[#This Row],[DATA]],"dd/mm/aaaa")</f>
        <v>22/04/2026</v>
      </c>
    </row>
    <row r="1060" spans="1:21" x14ac:dyDescent="0.25">
      <c r="A1060" s="4">
        <v>46134.621111111112</v>
      </c>
      <c r="B1060" s="5" t="s">
        <v>19</v>
      </c>
      <c r="C1060" s="5" t="s">
        <v>37</v>
      </c>
      <c r="D1060" s="5">
        <v>427</v>
      </c>
      <c r="E1060" s="6">
        <v>38253250000106</v>
      </c>
      <c r="F1060" s="5">
        <v>427</v>
      </c>
      <c r="G1060" s="7">
        <v>177688046458141</v>
      </c>
      <c r="H1060" s="5" t="s">
        <v>199</v>
      </c>
      <c r="I1060" s="5">
        <v>3003</v>
      </c>
      <c r="J1060" s="5" t="s">
        <v>22</v>
      </c>
      <c r="K1060" s="5" t="s">
        <v>23</v>
      </c>
      <c r="L1060" s="5" t="s">
        <v>31</v>
      </c>
      <c r="M1060" s="5" t="s">
        <v>284</v>
      </c>
      <c r="N1060" s="5" t="s">
        <v>53</v>
      </c>
      <c r="O1060" s="5">
        <v>128</v>
      </c>
      <c r="P1060" s="5"/>
      <c r="Q1060" s="5"/>
      <c r="R1060" s="8">
        <v>8.1018518518518516E-5</v>
      </c>
      <c r="S1060" s="5" t="s">
        <v>37</v>
      </c>
      <c r="T1060" t="str">
        <f>IF(Tabela1[[#This Row],[STATUS_NEGOCIO]]="Enviar E-mail",1,"")</f>
        <v/>
      </c>
      <c r="U1060" t="str">
        <f>TEXT(Tabela1[[#This Row],[DATA]],"dd/mm/aaaa")</f>
        <v>22/04/2026</v>
      </c>
    </row>
    <row r="1061" spans="1:21" x14ac:dyDescent="0.25">
      <c r="A1061" s="4">
        <v>46134.621111111112</v>
      </c>
      <c r="B1061" s="5" t="s">
        <v>19</v>
      </c>
      <c r="C1061" s="5" t="s">
        <v>37</v>
      </c>
      <c r="D1061" s="5">
        <v>428</v>
      </c>
      <c r="E1061" s="6">
        <v>38327906000198</v>
      </c>
      <c r="F1061" s="5">
        <v>428</v>
      </c>
      <c r="G1061" s="7">
        <v>177688046458151</v>
      </c>
      <c r="H1061" s="5" t="s">
        <v>554</v>
      </c>
      <c r="I1061" s="5">
        <v>3003</v>
      </c>
      <c r="J1061" s="5" t="s">
        <v>22</v>
      </c>
      <c r="K1061" s="5" t="s">
        <v>23</v>
      </c>
      <c r="L1061" s="5" t="s">
        <v>31</v>
      </c>
      <c r="M1061" s="5" t="s">
        <v>284</v>
      </c>
      <c r="N1061" s="5" t="s">
        <v>53</v>
      </c>
      <c r="O1061" s="5">
        <v>128</v>
      </c>
      <c r="P1061" s="5"/>
      <c r="Q1061" s="5"/>
      <c r="R1061" s="8">
        <v>8.1018518518518516E-5</v>
      </c>
      <c r="S1061" s="5" t="s">
        <v>37</v>
      </c>
      <c r="T1061" t="str">
        <f>IF(Tabela1[[#This Row],[STATUS_NEGOCIO]]="Enviar E-mail",1,"")</f>
        <v/>
      </c>
      <c r="U1061" t="str">
        <f>TEXT(Tabela1[[#This Row],[DATA]],"dd/mm/aaaa")</f>
        <v>22/04/2026</v>
      </c>
    </row>
    <row r="1062" spans="1:21" x14ac:dyDescent="0.25">
      <c r="A1062" s="4">
        <v>46134.621134259258</v>
      </c>
      <c r="B1062" s="5" t="s">
        <v>19</v>
      </c>
      <c r="C1062" s="5" t="s">
        <v>37</v>
      </c>
      <c r="D1062" s="5">
        <v>429</v>
      </c>
      <c r="E1062" s="6">
        <v>38456890000113</v>
      </c>
      <c r="F1062" s="5">
        <v>429</v>
      </c>
      <c r="G1062" s="7">
        <v>177688046658171</v>
      </c>
      <c r="H1062" s="5" t="s">
        <v>555</v>
      </c>
      <c r="I1062" s="5">
        <v>3003</v>
      </c>
      <c r="J1062" s="5" t="s">
        <v>22</v>
      </c>
      <c r="K1062" s="5" t="s">
        <v>23</v>
      </c>
      <c r="L1062" s="5" t="s">
        <v>31</v>
      </c>
      <c r="M1062" s="5" t="s">
        <v>284</v>
      </c>
      <c r="N1062" s="5" t="s">
        <v>53</v>
      </c>
      <c r="O1062" s="5">
        <v>128</v>
      </c>
      <c r="P1062" s="5"/>
      <c r="Q1062" s="5"/>
      <c r="R1062" s="8">
        <v>8.1018518518518516E-5</v>
      </c>
      <c r="S1062" s="5" t="s">
        <v>37</v>
      </c>
      <c r="T1062" t="str">
        <f>IF(Tabela1[[#This Row],[STATUS_NEGOCIO]]="Enviar E-mail",1,"")</f>
        <v/>
      </c>
      <c r="U1062" t="str">
        <f>TEXT(Tabela1[[#This Row],[DATA]],"dd/mm/aaaa")</f>
        <v>22/04/2026</v>
      </c>
    </row>
    <row r="1063" spans="1:21" x14ac:dyDescent="0.25">
      <c r="A1063" s="4">
        <v>46134.62122685185</v>
      </c>
      <c r="B1063" s="5" t="s">
        <v>19</v>
      </c>
      <c r="C1063" s="5" t="s">
        <v>37</v>
      </c>
      <c r="D1063" s="5">
        <v>430</v>
      </c>
      <c r="E1063" s="6">
        <v>39210513000162</v>
      </c>
      <c r="F1063" s="5">
        <v>430</v>
      </c>
      <c r="G1063" s="7">
        <v>177688047458191</v>
      </c>
      <c r="H1063" s="5" t="s">
        <v>556</v>
      </c>
      <c r="I1063" s="5">
        <v>3003</v>
      </c>
      <c r="J1063" s="5" t="s">
        <v>22</v>
      </c>
      <c r="K1063" s="5" t="s">
        <v>23</v>
      </c>
      <c r="L1063" s="5" t="s">
        <v>31</v>
      </c>
      <c r="M1063" s="5" t="s">
        <v>284</v>
      </c>
      <c r="N1063" s="5" t="s">
        <v>53</v>
      </c>
      <c r="O1063" s="5">
        <v>128</v>
      </c>
      <c r="P1063" s="5"/>
      <c r="Q1063" s="5"/>
      <c r="R1063" s="8">
        <v>8.1018518518518516E-5</v>
      </c>
      <c r="S1063" s="5" t="s">
        <v>37</v>
      </c>
      <c r="T1063" t="str">
        <f>IF(Tabela1[[#This Row],[STATUS_NEGOCIO]]="Enviar E-mail",1,"")</f>
        <v/>
      </c>
      <c r="U1063" t="str">
        <f>TEXT(Tabela1[[#This Row],[DATA]],"dd/mm/aaaa")</f>
        <v>22/04/2026</v>
      </c>
    </row>
    <row r="1064" spans="1:21" x14ac:dyDescent="0.25">
      <c r="A1064" s="4">
        <v>46134.62127314815</v>
      </c>
      <c r="B1064" s="5" t="s">
        <v>19</v>
      </c>
      <c r="C1064" s="5" t="s">
        <v>37</v>
      </c>
      <c r="D1064" s="5">
        <v>431</v>
      </c>
      <c r="E1064" s="6">
        <v>39214150000133</v>
      </c>
      <c r="F1064" s="5">
        <v>431</v>
      </c>
      <c r="G1064" s="7">
        <v>177688047858211</v>
      </c>
      <c r="H1064" s="5" t="s">
        <v>557</v>
      </c>
      <c r="I1064" s="5" t="s">
        <v>52</v>
      </c>
      <c r="J1064" s="5" t="s">
        <v>22</v>
      </c>
      <c r="K1064" s="5" t="s">
        <v>62</v>
      </c>
      <c r="L1064" s="5" t="s">
        <v>62</v>
      </c>
      <c r="M1064" s="5" t="s">
        <v>284</v>
      </c>
      <c r="N1064" s="5" t="s">
        <v>53</v>
      </c>
      <c r="O1064" s="5">
        <v>17</v>
      </c>
      <c r="P1064" s="5"/>
      <c r="Q1064" s="5"/>
      <c r="R1064" s="8">
        <v>0</v>
      </c>
      <c r="S1064" s="5" t="s">
        <v>37</v>
      </c>
      <c r="T1064" t="str">
        <f>IF(Tabela1[[#This Row],[STATUS_NEGOCIO]]="Enviar E-mail",1,"")</f>
        <v/>
      </c>
      <c r="U1064" t="str">
        <f>TEXT(Tabela1[[#This Row],[DATA]],"dd/mm/aaaa")</f>
        <v>22/04/2026</v>
      </c>
    </row>
    <row r="1065" spans="1:21" x14ac:dyDescent="0.25">
      <c r="A1065" s="4">
        <v>46134.621296296296</v>
      </c>
      <c r="B1065" s="5" t="s">
        <v>19</v>
      </c>
      <c r="C1065" s="5" t="s">
        <v>37</v>
      </c>
      <c r="D1065" s="5">
        <v>433</v>
      </c>
      <c r="E1065" s="6">
        <v>39220751000159</v>
      </c>
      <c r="F1065" s="5">
        <v>433</v>
      </c>
      <c r="G1065" s="7">
        <v>177688048058231</v>
      </c>
      <c r="H1065" s="5" t="s">
        <v>546</v>
      </c>
      <c r="I1065" s="5">
        <v>3003</v>
      </c>
      <c r="J1065" s="5" t="s">
        <v>22</v>
      </c>
      <c r="K1065" s="5" t="s">
        <v>23</v>
      </c>
      <c r="L1065" s="5" t="s">
        <v>31</v>
      </c>
      <c r="M1065" s="5" t="s">
        <v>284</v>
      </c>
      <c r="N1065" s="5" t="s">
        <v>53</v>
      </c>
      <c r="O1065" s="5">
        <v>128</v>
      </c>
      <c r="P1065" s="5"/>
      <c r="Q1065" s="5"/>
      <c r="R1065" s="8">
        <v>8.1018518518518516E-5</v>
      </c>
      <c r="S1065" s="5" t="s">
        <v>37</v>
      </c>
      <c r="T1065" t="str">
        <f>IF(Tabela1[[#This Row],[STATUS_NEGOCIO]]="Enviar E-mail",1,"")</f>
        <v/>
      </c>
      <c r="U1065" t="str">
        <f>TEXT(Tabela1[[#This Row],[DATA]],"dd/mm/aaaa")</f>
        <v>22/04/2026</v>
      </c>
    </row>
    <row r="1066" spans="1:21" x14ac:dyDescent="0.25">
      <c r="A1066" s="4">
        <v>46134.621331018519</v>
      </c>
      <c r="B1066" s="5" t="s">
        <v>19</v>
      </c>
      <c r="C1066" s="5" t="s">
        <v>37</v>
      </c>
      <c r="D1066" s="5">
        <v>434</v>
      </c>
      <c r="E1066" s="6">
        <v>39227830000191</v>
      </c>
      <c r="F1066" s="5">
        <v>434</v>
      </c>
      <c r="G1066" s="7">
        <v>177688048358251</v>
      </c>
      <c r="H1066" s="5" t="s">
        <v>559</v>
      </c>
      <c r="I1066" s="5">
        <v>3003</v>
      </c>
      <c r="J1066" s="5" t="s">
        <v>22</v>
      </c>
      <c r="K1066" s="5" t="s">
        <v>23</v>
      </c>
      <c r="L1066" s="5" t="s">
        <v>31</v>
      </c>
      <c r="M1066" s="5" t="s">
        <v>284</v>
      </c>
      <c r="N1066" s="5" t="s">
        <v>53</v>
      </c>
      <c r="O1066" s="5">
        <v>128</v>
      </c>
      <c r="P1066" s="5"/>
      <c r="Q1066" s="5"/>
      <c r="R1066" s="8">
        <v>8.1018518518518516E-5</v>
      </c>
      <c r="S1066" s="5" t="s">
        <v>37</v>
      </c>
      <c r="T1066" t="str">
        <f>IF(Tabela1[[#This Row],[STATUS_NEGOCIO]]="Enviar E-mail",1,"")</f>
        <v/>
      </c>
      <c r="U1066" t="str">
        <f>TEXT(Tabela1[[#This Row],[DATA]],"dd/mm/aaaa")</f>
        <v>22/04/2026</v>
      </c>
    </row>
    <row r="1067" spans="1:21" x14ac:dyDescent="0.25">
      <c r="A1067" s="4">
        <v>46134.621354166666</v>
      </c>
      <c r="B1067" s="5" t="s">
        <v>19</v>
      </c>
      <c r="C1067" s="5" t="s">
        <v>37</v>
      </c>
      <c r="D1067" s="5">
        <v>435</v>
      </c>
      <c r="E1067" s="6">
        <v>39468257000108</v>
      </c>
      <c r="F1067" s="5">
        <v>435</v>
      </c>
      <c r="G1067" s="7">
        <v>177688048558271</v>
      </c>
      <c r="H1067" s="5" t="s">
        <v>560</v>
      </c>
      <c r="I1067" s="5">
        <v>3003</v>
      </c>
      <c r="J1067" s="5" t="s">
        <v>22</v>
      </c>
      <c r="K1067" s="5" t="s">
        <v>23</v>
      </c>
      <c r="L1067" s="5" t="s">
        <v>31</v>
      </c>
      <c r="M1067" s="5" t="s">
        <v>284</v>
      </c>
      <c r="N1067" s="5" t="s">
        <v>53</v>
      </c>
      <c r="O1067" s="5">
        <v>147</v>
      </c>
      <c r="P1067" s="5"/>
      <c r="Q1067" s="5"/>
      <c r="R1067" s="8">
        <v>8.1018518518518516E-5</v>
      </c>
      <c r="S1067" s="5" t="s">
        <v>37</v>
      </c>
      <c r="T1067" t="str">
        <f>IF(Tabela1[[#This Row],[STATUS_NEGOCIO]]="Enviar E-mail",1,"")</f>
        <v/>
      </c>
      <c r="U1067" t="str">
        <f>TEXT(Tabela1[[#This Row],[DATA]],"dd/mm/aaaa")</f>
        <v>22/04/2026</v>
      </c>
    </row>
    <row r="1068" spans="1:21" x14ac:dyDescent="0.25">
      <c r="A1068" s="4">
        <v>46134.621400462966</v>
      </c>
      <c r="B1068" s="5" t="s">
        <v>19</v>
      </c>
      <c r="C1068" s="5" t="s">
        <v>37</v>
      </c>
      <c r="D1068" s="5">
        <v>436</v>
      </c>
      <c r="E1068" s="6">
        <v>39556402000102</v>
      </c>
      <c r="F1068" s="5">
        <v>436</v>
      </c>
      <c r="G1068" s="7">
        <v>177688048958291</v>
      </c>
      <c r="H1068" s="5" t="s">
        <v>229</v>
      </c>
      <c r="I1068" s="5">
        <v>3003</v>
      </c>
      <c r="J1068" s="5" t="s">
        <v>22</v>
      </c>
      <c r="K1068" s="5" t="s">
        <v>23</v>
      </c>
      <c r="L1068" s="5" t="s">
        <v>31</v>
      </c>
      <c r="M1068" s="5" t="s">
        <v>284</v>
      </c>
      <c r="N1068" s="5" t="s">
        <v>53</v>
      </c>
      <c r="O1068" s="5">
        <v>128</v>
      </c>
      <c r="P1068" s="5"/>
      <c r="Q1068" s="5"/>
      <c r="R1068" s="8">
        <v>8.1018518518518516E-5</v>
      </c>
      <c r="S1068" s="5" t="s">
        <v>37</v>
      </c>
      <c r="T1068" t="str">
        <f>IF(Tabela1[[#This Row],[STATUS_NEGOCIO]]="Enviar E-mail",1,"")</f>
        <v/>
      </c>
      <c r="U1068" t="str">
        <f>TEXT(Tabela1[[#This Row],[DATA]],"dd/mm/aaaa")</f>
        <v>22/04/2026</v>
      </c>
    </row>
    <row r="1069" spans="1:21" x14ac:dyDescent="0.25">
      <c r="A1069" s="4">
        <v>46134.621412037035</v>
      </c>
      <c r="B1069" s="5" t="s">
        <v>19</v>
      </c>
      <c r="C1069" s="5" t="s">
        <v>37</v>
      </c>
      <c r="D1069" s="5">
        <v>437</v>
      </c>
      <c r="E1069" s="6">
        <v>39596079000109</v>
      </c>
      <c r="F1069" s="5">
        <v>437</v>
      </c>
      <c r="G1069" s="7">
        <v>177688049058301</v>
      </c>
      <c r="H1069" s="5" t="s">
        <v>141</v>
      </c>
      <c r="I1069" s="5">
        <v>3003</v>
      </c>
      <c r="J1069" s="5" t="s">
        <v>22</v>
      </c>
      <c r="K1069" s="5" t="s">
        <v>23</v>
      </c>
      <c r="L1069" s="5" t="s">
        <v>31</v>
      </c>
      <c r="M1069" s="5" t="s">
        <v>284</v>
      </c>
      <c r="N1069" s="5" t="s">
        <v>53</v>
      </c>
      <c r="O1069" s="5">
        <v>128</v>
      </c>
      <c r="P1069" s="5"/>
      <c r="Q1069" s="5"/>
      <c r="R1069" s="8">
        <v>8.1018518518518516E-5</v>
      </c>
      <c r="S1069" s="5" t="s">
        <v>37</v>
      </c>
      <c r="T1069" t="str">
        <f>IF(Tabela1[[#This Row],[STATUS_NEGOCIO]]="Enviar E-mail",1,"")</f>
        <v/>
      </c>
      <c r="U1069" t="str">
        <f>TEXT(Tabela1[[#This Row],[DATA]],"dd/mm/aaaa")</f>
        <v>22/04/2026</v>
      </c>
    </row>
    <row r="1070" spans="1:21" x14ac:dyDescent="0.25">
      <c r="A1070" s="4">
        <v>46134.621435185189</v>
      </c>
      <c r="B1070" s="5" t="s">
        <v>19</v>
      </c>
      <c r="C1070" s="5" t="s">
        <v>37</v>
      </c>
      <c r="D1070" s="5">
        <v>438</v>
      </c>
      <c r="E1070" s="6">
        <v>39929832000122</v>
      </c>
      <c r="F1070" s="5">
        <v>438</v>
      </c>
      <c r="G1070" s="7">
        <v>177688049258321</v>
      </c>
      <c r="H1070" s="5" t="s">
        <v>561</v>
      </c>
      <c r="I1070" s="5">
        <v>3003</v>
      </c>
      <c r="J1070" s="5" t="s">
        <v>22</v>
      </c>
      <c r="K1070" s="5" t="s">
        <v>23</v>
      </c>
      <c r="L1070" s="5" t="s">
        <v>31</v>
      </c>
      <c r="M1070" s="5" t="s">
        <v>284</v>
      </c>
      <c r="N1070" s="5" t="s">
        <v>53</v>
      </c>
      <c r="O1070" s="5">
        <v>128</v>
      </c>
      <c r="P1070" s="5"/>
      <c r="Q1070" s="5"/>
      <c r="R1070" s="8">
        <v>8.1018518518518516E-5</v>
      </c>
      <c r="S1070" s="5" t="s">
        <v>37</v>
      </c>
      <c r="T1070" t="str">
        <f>IF(Tabela1[[#This Row],[STATUS_NEGOCIO]]="Enviar E-mail",1,"")</f>
        <v/>
      </c>
      <c r="U1070" t="str">
        <f>TEXT(Tabela1[[#This Row],[DATA]],"dd/mm/aaaa")</f>
        <v>22/04/2026</v>
      </c>
    </row>
    <row r="1071" spans="1:21" x14ac:dyDescent="0.25">
      <c r="A1071" s="4">
        <v>46134.621469907404</v>
      </c>
      <c r="B1071" s="5" t="s">
        <v>19</v>
      </c>
      <c r="C1071" s="5" t="s">
        <v>37</v>
      </c>
      <c r="D1071" s="5">
        <v>439</v>
      </c>
      <c r="E1071" s="6">
        <v>39935945000130</v>
      </c>
      <c r="F1071" s="5">
        <v>439</v>
      </c>
      <c r="G1071" s="7">
        <v>177688049558341</v>
      </c>
      <c r="H1071" s="5" t="s">
        <v>417</v>
      </c>
      <c r="I1071" s="5">
        <v>3003</v>
      </c>
      <c r="J1071" s="5" t="s">
        <v>22</v>
      </c>
      <c r="K1071" s="5" t="s">
        <v>23</v>
      </c>
      <c r="L1071" s="5" t="s">
        <v>31</v>
      </c>
      <c r="M1071" s="5" t="s">
        <v>284</v>
      </c>
      <c r="N1071" s="5" t="s">
        <v>53</v>
      </c>
      <c r="O1071" s="5">
        <v>128</v>
      </c>
      <c r="P1071" s="5"/>
      <c r="Q1071" s="5"/>
      <c r="R1071" s="8">
        <v>8.1018518518518516E-5</v>
      </c>
      <c r="S1071" s="5" t="s">
        <v>37</v>
      </c>
      <c r="T1071" t="str">
        <f>IF(Tabela1[[#This Row],[STATUS_NEGOCIO]]="Enviar E-mail",1,"")</f>
        <v/>
      </c>
      <c r="U1071" t="str">
        <f>TEXT(Tabela1[[#This Row],[DATA]],"dd/mm/aaaa")</f>
        <v>22/04/2026</v>
      </c>
    </row>
    <row r="1072" spans="1:21" x14ac:dyDescent="0.25">
      <c r="A1072" s="4">
        <v>46134.621504629627</v>
      </c>
      <c r="B1072" s="5" t="s">
        <v>19</v>
      </c>
      <c r="C1072" s="5" t="s">
        <v>37</v>
      </c>
      <c r="D1072" s="5">
        <v>440</v>
      </c>
      <c r="E1072" s="6">
        <v>40019453000184</v>
      </c>
      <c r="F1072" s="5">
        <v>440</v>
      </c>
      <c r="G1072" s="7">
        <v>177688049858361</v>
      </c>
      <c r="H1072" s="5" t="s">
        <v>64</v>
      </c>
      <c r="I1072" s="5">
        <v>3003</v>
      </c>
      <c r="J1072" s="5" t="s">
        <v>22</v>
      </c>
      <c r="K1072" s="5" t="s">
        <v>23</v>
      </c>
      <c r="L1072" s="5" t="s">
        <v>31</v>
      </c>
      <c r="M1072" s="5" t="s">
        <v>284</v>
      </c>
      <c r="N1072" s="5" t="s">
        <v>53</v>
      </c>
      <c r="O1072" s="5">
        <v>128</v>
      </c>
      <c r="P1072" s="5"/>
      <c r="Q1072" s="5"/>
      <c r="R1072" s="8">
        <v>8.1018518518518516E-5</v>
      </c>
      <c r="S1072" s="5" t="s">
        <v>37</v>
      </c>
      <c r="T1072" t="str">
        <f>IF(Tabela1[[#This Row],[STATUS_NEGOCIO]]="Enviar E-mail",1,"")</f>
        <v/>
      </c>
      <c r="U1072" t="str">
        <f>TEXT(Tabela1[[#This Row],[DATA]],"dd/mm/aaaa")</f>
        <v>22/04/2026</v>
      </c>
    </row>
    <row r="1073" spans="1:21" x14ac:dyDescent="0.25">
      <c r="A1073" s="4">
        <v>46134.621550925927</v>
      </c>
      <c r="B1073" s="5" t="s">
        <v>19</v>
      </c>
      <c r="C1073" s="5" t="s">
        <v>37</v>
      </c>
      <c r="D1073" s="5">
        <v>441</v>
      </c>
      <c r="E1073" s="6">
        <v>40127921000134</v>
      </c>
      <c r="F1073" s="5">
        <v>441</v>
      </c>
      <c r="G1073" s="7">
        <v>177688050258381</v>
      </c>
      <c r="H1073" s="5" t="s">
        <v>110</v>
      </c>
      <c r="I1073" s="5">
        <v>3003</v>
      </c>
      <c r="J1073" s="5" t="s">
        <v>22</v>
      </c>
      <c r="K1073" s="5" t="s">
        <v>23</v>
      </c>
      <c r="L1073" s="5" t="s">
        <v>31</v>
      </c>
      <c r="M1073" s="5" t="s">
        <v>284</v>
      </c>
      <c r="N1073" s="5" t="s">
        <v>53</v>
      </c>
      <c r="O1073" s="5">
        <v>128</v>
      </c>
      <c r="P1073" s="5"/>
      <c r="Q1073" s="5"/>
      <c r="R1073" s="8">
        <v>6.9444444444444444E-5</v>
      </c>
      <c r="S1073" s="5" t="s">
        <v>37</v>
      </c>
      <c r="T1073" t="str">
        <f>IF(Tabela1[[#This Row],[STATUS_NEGOCIO]]="Enviar E-mail",1,"")</f>
        <v/>
      </c>
      <c r="U1073" t="str">
        <f>TEXT(Tabela1[[#This Row],[DATA]],"dd/mm/aaaa")</f>
        <v>22/04/2026</v>
      </c>
    </row>
    <row r="1074" spans="1:21" x14ac:dyDescent="0.25">
      <c r="A1074" s="4">
        <v>46134.62159722222</v>
      </c>
      <c r="B1074" s="5" t="s">
        <v>19</v>
      </c>
      <c r="C1074" s="5" t="s">
        <v>37</v>
      </c>
      <c r="D1074" s="5">
        <v>442</v>
      </c>
      <c r="E1074" s="6">
        <v>40144814000114</v>
      </c>
      <c r="F1074" s="5">
        <v>442</v>
      </c>
      <c r="G1074" s="7">
        <v>177688050658401</v>
      </c>
      <c r="H1074" s="5" t="s">
        <v>562</v>
      </c>
      <c r="I1074" s="5">
        <v>3003</v>
      </c>
      <c r="J1074" s="5" t="s">
        <v>22</v>
      </c>
      <c r="K1074" s="5" t="s">
        <v>23</v>
      </c>
      <c r="L1074" s="5" t="s">
        <v>31</v>
      </c>
      <c r="M1074" s="5" t="s">
        <v>284</v>
      </c>
      <c r="N1074" s="5" t="s">
        <v>53</v>
      </c>
      <c r="O1074" s="5">
        <v>128</v>
      </c>
      <c r="P1074" s="5"/>
      <c r="Q1074" s="5"/>
      <c r="R1074" s="8">
        <v>8.1018518518518516E-5</v>
      </c>
      <c r="S1074" s="5" t="s">
        <v>37</v>
      </c>
      <c r="T1074" t="str">
        <f>IF(Tabela1[[#This Row],[STATUS_NEGOCIO]]="Enviar E-mail",1,"")</f>
        <v/>
      </c>
      <c r="U1074" t="str">
        <f>TEXT(Tabela1[[#This Row],[DATA]],"dd/mm/aaaa")</f>
        <v>22/04/2026</v>
      </c>
    </row>
    <row r="1075" spans="1:21" x14ac:dyDescent="0.25">
      <c r="A1075" s="4">
        <v>46134.621631944443</v>
      </c>
      <c r="B1075" s="5" t="s">
        <v>19</v>
      </c>
      <c r="C1075" s="5" t="s">
        <v>37</v>
      </c>
      <c r="D1075" s="5">
        <v>443</v>
      </c>
      <c r="E1075" s="6">
        <v>40159980000194</v>
      </c>
      <c r="F1075" s="5">
        <v>443</v>
      </c>
      <c r="G1075" s="7">
        <v>177688050958421</v>
      </c>
      <c r="H1075" s="5" t="s">
        <v>170</v>
      </c>
      <c r="I1075" s="5">
        <v>3003</v>
      </c>
      <c r="J1075" s="5" t="s">
        <v>22</v>
      </c>
      <c r="K1075" s="5" t="s">
        <v>23</v>
      </c>
      <c r="L1075" s="5" t="s">
        <v>31</v>
      </c>
      <c r="M1075" s="5" t="s">
        <v>284</v>
      </c>
      <c r="N1075" s="5" t="s">
        <v>53</v>
      </c>
      <c r="O1075" s="5">
        <v>128</v>
      </c>
      <c r="P1075" s="5"/>
      <c r="Q1075" s="5"/>
      <c r="R1075" s="8">
        <v>8.1018518518518516E-5</v>
      </c>
      <c r="S1075" s="5" t="s">
        <v>37</v>
      </c>
      <c r="T1075" t="str">
        <f>IF(Tabela1[[#This Row],[STATUS_NEGOCIO]]="Enviar E-mail",1,"")</f>
        <v/>
      </c>
      <c r="U1075" t="str">
        <f>TEXT(Tabela1[[#This Row],[DATA]],"dd/mm/aaaa")</f>
        <v>22/04/2026</v>
      </c>
    </row>
    <row r="1076" spans="1:21" x14ac:dyDescent="0.25">
      <c r="A1076" s="4">
        <v>46134.62164351852</v>
      </c>
      <c r="B1076" s="5" t="s">
        <v>19</v>
      </c>
      <c r="C1076" s="5" t="s">
        <v>20</v>
      </c>
      <c r="D1076" s="5">
        <v>444</v>
      </c>
      <c r="E1076" s="6">
        <v>40205254000160</v>
      </c>
      <c r="F1076" s="5">
        <v>444</v>
      </c>
      <c r="G1076" s="7">
        <v>177688051058441</v>
      </c>
      <c r="H1076" s="5" t="s">
        <v>563</v>
      </c>
      <c r="I1076" s="5">
        <v>3003</v>
      </c>
      <c r="J1076" s="5" t="s">
        <v>22</v>
      </c>
      <c r="K1076" s="5" t="s">
        <v>23</v>
      </c>
      <c r="L1076" s="5" t="s">
        <v>40</v>
      </c>
      <c r="M1076" s="5" t="s">
        <v>284</v>
      </c>
      <c r="N1076" s="5" t="s">
        <v>26</v>
      </c>
      <c r="O1076" s="5">
        <v>16</v>
      </c>
      <c r="P1076" s="5"/>
      <c r="Q1076" s="5"/>
      <c r="R1076" s="8">
        <v>2.7314814814814814E-3</v>
      </c>
      <c r="S1076" s="8">
        <v>2.685185185185185E-3</v>
      </c>
      <c r="T1076">
        <f>IF(Tabela1[[#This Row],[STATUS_NEGOCIO]]="Enviar E-mail",1,"")</f>
        <v>1</v>
      </c>
      <c r="U1076" t="str">
        <f>TEXT(Tabela1[[#This Row],[DATA]],"dd/mm/aaaa")</f>
        <v>22/04/2026</v>
      </c>
    </row>
    <row r="1077" spans="1:21" x14ac:dyDescent="0.25">
      <c r="A1077" s="4">
        <v>46134.621689814812</v>
      </c>
      <c r="B1077" s="5" t="s">
        <v>19</v>
      </c>
      <c r="C1077" s="5" t="s">
        <v>37</v>
      </c>
      <c r="D1077" s="5">
        <v>445</v>
      </c>
      <c r="E1077" s="6">
        <v>40205791000100</v>
      </c>
      <c r="F1077" s="5">
        <v>445</v>
      </c>
      <c r="G1077" s="7">
        <v>177688051458461</v>
      </c>
      <c r="H1077" s="5" t="s">
        <v>564</v>
      </c>
      <c r="I1077" s="5">
        <v>3003</v>
      </c>
      <c r="J1077" s="5" t="s">
        <v>22</v>
      </c>
      <c r="K1077" s="5" t="s">
        <v>23</v>
      </c>
      <c r="L1077" s="5" t="s">
        <v>31</v>
      </c>
      <c r="M1077" s="5" t="s">
        <v>284</v>
      </c>
      <c r="N1077" s="5" t="s">
        <v>53</v>
      </c>
      <c r="O1077" s="5">
        <v>128</v>
      </c>
      <c r="P1077" s="5"/>
      <c r="Q1077" s="5"/>
      <c r="R1077" s="8">
        <v>6.9444444444444444E-5</v>
      </c>
      <c r="S1077" s="5" t="s">
        <v>37</v>
      </c>
      <c r="T1077" t="str">
        <f>IF(Tabela1[[#This Row],[STATUS_NEGOCIO]]="Enviar E-mail",1,"")</f>
        <v/>
      </c>
      <c r="U1077" t="str">
        <f>TEXT(Tabela1[[#This Row],[DATA]],"dd/mm/aaaa")</f>
        <v>22/04/2026</v>
      </c>
    </row>
    <row r="1078" spans="1:21" x14ac:dyDescent="0.25">
      <c r="A1078" s="4">
        <v>46134.621712962966</v>
      </c>
      <c r="B1078" s="5" t="s">
        <v>19</v>
      </c>
      <c r="C1078" s="5" t="s">
        <v>37</v>
      </c>
      <c r="D1078" s="5">
        <v>446</v>
      </c>
      <c r="E1078" s="6">
        <v>40217278000130</v>
      </c>
      <c r="F1078" s="5">
        <v>446</v>
      </c>
      <c r="G1078" s="7">
        <v>177688051658481</v>
      </c>
      <c r="H1078" s="5" t="s">
        <v>194</v>
      </c>
      <c r="I1078" s="5">
        <v>3003</v>
      </c>
      <c r="J1078" s="5" t="s">
        <v>22</v>
      </c>
      <c r="K1078" s="5" t="s">
        <v>23</v>
      </c>
      <c r="L1078" s="5" t="s">
        <v>31</v>
      </c>
      <c r="M1078" s="5" t="s">
        <v>284</v>
      </c>
      <c r="N1078" s="5" t="s">
        <v>53</v>
      </c>
      <c r="O1078" s="5">
        <v>128</v>
      </c>
      <c r="P1078" s="5"/>
      <c r="Q1078" s="5"/>
      <c r="R1078" s="8">
        <v>8.1018518518518516E-5</v>
      </c>
      <c r="S1078" s="5" t="s">
        <v>37</v>
      </c>
      <c r="T1078" t="str">
        <f>IF(Tabela1[[#This Row],[STATUS_NEGOCIO]]="Enviar E-mail",1,"")</f>
        <v/>
      </c>
      <c r="U1078" t="str">
        <f>TEXT(Tabela1[[#This Row],[DATA]],"dd/mm/aaaa")</f>
        <v>22/04/2026</v>
      </c>
    </row>
    <row r="1079" spans="1:21" x14ac:dyDescent="0.25">
      <c r="A1079" s="4">
        <v>46134.621805555558</v>
      </c>
      <c r="B1079" s="5" t="s">
        <v>19</v>
      </c>
      <c r="C1079" s="5" t="s">
        <v>37</v>
      </c>
      <c r="D1079" s="5">
        <v>447</v>
      </c>
      <c r="E1079" s="6">
        <v>40290991000109</v>
      </c>
      <c r="F1079" s="5">
        <v>447</v>
      </c>
      <c r="G1079" s="7">
        <v>177688052458521</v>
      </c>
      <c r="H1079" s="5" t="s">
        <v>565</v>
      </c>
      <c r="I1079" s="5" t="s">
        <v>52</v>
      </c>
      <c r="J1079" s="5" t="s">
        <v>22</v>
      </c>
      <c r="K1079" s="5" t="s">
        <v>36</v>
      </c>
      <c r="L1079" s="5" t="s">
        <v>36</v>
      </c>
      <c r="M1079" s="5" t="s">
        <v>284</v>
      </c>
      <c r="N1079" s="5" t="s">
        <v>53</v>
      </c>
      <c r="O1079" s="5">
        <v>1</v>
      </c>
      <c r="P1079" s="5"/>
      <c r="Q1079" s="5"/>
      <c r="R1079" s="8">
        <v>0</v>
      </c>
      <c r="S1079" s="5" t="s">
        <v>37</v>
      </c>
      <c r="T1079" t="str">
        <f>IF(Tabela1[[#This Row],[STATUS_NEGOCIO]]="Enviar E-mail",1,"")</f>
        <v/>
      </c>
      <c r="U1079" t="str">
        <f>TEXT(Tabela1[[#This Row],[DATA]],"dd/mm/aaaa")</f>
        <v>22/04/2026</v>
      </c>
    </row>
    <row r="1080" spans="1:21" x14ac:dyDescent="0.25">
      <c r="A1080" s="4">
        <v>46134.621805555558</v>
      </c>
      <c r="B1080" s="5" t="s">
        <v>19</v>
      </c>
      <c r="C1080" s="5" t="s">
        <v>37</v>
      </c>
      <c r="D1080" s="5">
        <v>448</v>
      </c>
      <c r="E1080" s="6">
        <v>40503929000158</v>
      </c>
      <c r="F1080" s="5">
        <v>448</v>
      </c>
      <c r="G1080" s="7">
        <v>177688052458531</v>
      </c>
      <c r="H1080" s="5" t="s">
        <v>566</v>
      </c>
      <c r="I1080" s="5">
        <v>3003</v>
      </c>
      <c r="J1080" s="5" t="s">
        <v>22</v>
      </c>
      <c r="K1080" s="5" t="s">
        <v>23</v>
      </c>
      <c r="L1080" s="5" t="s">
        <v>31</v>
      </c>
      <c r="M1080" s="5" t="s">
        <v>284</v>
      </c>
      <c r="N1080" s="5" t="s">
        <v>26</v>
      </c>
      <c r="O1080" s="5">
        <v>131</v>
      </c>
      <c r="P1080" s="5"/>
      <c r="Q1080" s="5"/>
      <c r="R1080" s="8">
        <v>9.2592592592592588E-5</v>
      </c>
      <c r="S1080" s="5" t="s">
        <v>37</v>
      </c>
      <c r="T1080" t="str">
        <f>IF(Tabela1[[#This Row],[STATUS_NEGOCIO]]="Enviar E-mail",1,"")</f>
        <v/>
      </c>
      <c r="U1080" t="str">
        <f>TEXT(Tabela1[[#This Row],[DATA]],"dd/mm/aaaa")</f>
        <v>22/04/2026</v>
      </c>
    </row>
    <row r="1081" spans="1:21" x14ac:dyDescent="0.25">
      <c r="A1081" s="4">
        <v>46134.621817129628</v>
      </c>
      <c r="B1081" s="5" t="s">
        <v>19</v>
      </c>
      <c r="C1081" s="5" t="s">
        <v>37</v>
      </c>
      <c r="D1081" s="5">
        <v>449</v>
      </c>
      <c r="E1081" s="6">
        <v>40687859000135</v>
      </c>
      <c r="F1081" s="5">
        <v>449</v>
      </c>
      <c r="G1081" s="7">
        <v>177688052558541</v>
      </c>
      <c r="H1081" s="5" t="s">
        <v>567</v>
      </c>
      <c r="I1081" s="5">
        <v>3003</v>
      </c>
      <c r="J1081" s="5" t="s">
        <v>22</v>
      </c>
      <c r="K1081" s="5" t="s">
        <v>23</v>
      </c>
      <c r="L1081" s="5" t="s">
        <v>31</v>
      </c>
      <c r="M1081" s="5" t="s">
        <v>284</v>
      </c>
      <c r="N1081" s="5" t="s">
        <v>53</v>
      </c>
      <c r="O1081" s="5">
        <v>128</v>
      </c>
      <c r="P1081" s="5"/>
      <c r="Q1081" s="5"/>
      <c r="R1081" s="8">
        <v>8.1018518518518516E-5</v>
      </c>
      <c r="S1081" s="5" t="s">
        <v>37</v>
      </c>
      <c r="T1081" t="str">
        <f>IF(Tabela1[[#This Row],[STATUS_NEGOCIO]]="Enviar E-mail",1,"")</f>
        <v/>
      </c>
      <c r="U1081" t="str">
        <f>TEXT(Tabela1[[#This Row],[DATA]],"dd/mm/aaaa")</f>
        <v>22/04/2026</v>
      </c>
    </row>
    <row r="1082" spans="1:21" x14ac:dyDescent="0.25">
      <c r="A1082" s="4">
        <v>46134.621828703705</v>
      </c>
      <c r="B1082" s="5" t="s">
        <v>19</v>
      </c>
      <c r="C1082" s="5" t="s">
        <v>37</v>
      </c>
      <c r="D1082" s="5">
        <v>450</v>
      </c>
      <c r="E1082" s="6">
        <v>40696152000195</v>
      </c>
      <c r="F1082" s="5">
        <v>450</v>
      </c>
      <c r="G1082" s="7">
        <v>177688052658561</v>
      </c>
      <c r="H1082" s="5" t="s">
        <v>188</v>
      </c>
      <c r="I1082" s="5">
        <v>3003</v>
      </c>
      <c r="J1082" s="5" t="s">
        <v>22</v>
      </c>
      <c r="K1082" s="5" t="s">
        <v>23</v>
      </c>
      <c r="L1082" s="5" t="s">
        <v>31</v>
      </c>
      <c r="M1082" s="5" t="s">
        <v>284</v>
      </c>
      <c r="N1082" s="5" t="s">
        <v>53</v>
      </c>
      <c r="O1082" s="5">
        <v>147</v>
      </c>
      <c r="P1082" s="5"/>
      <c r="Q1082" s="5"/>
      <c r="R1082" s="8">
        <v>6.9444444444444444E-5</v>
      </c>
      <c r="S1082" s="5" t="s">
        <v>37</v>
      </c>
      <c r="T1082" t="str">
        <f>IF(Tabela1[[#This Row],[STATUS_NEGOCIO]]="Enviar E-mail",1,"")</f>
        <v/>
      </c>
      <c r="U1082" t="str">
        <f>TEXT(Tabela1[[#This Row],[DATA]],"dd/mm/aaaa")</f>
        <v>22/04/2026</v>
      </c>
    </row>
    <row r="1083" spans="1:21" x14ac:dyDescent="0.25">
      <c r="A1083" s="4">
        <v>46134.621840277781</v>
      </c>
      <c r="B1083" s="5" t="s">
        <v>19</v>
      </c>
      <c r="C1083" s="5" t="s">
        <v>37</v>
      </c>
      <c r="D1083" s="5">
        <v>451</v>
      </c>
      <c r="E1083" s="6">
        <v>40713777000118</v>
      </c>
      <c r="F1083" s="5">
        <v>451</v>
      </c>
      <c r="G1083" s="7">
        <v>177688052758571</v>
      </c>
      <c r="H1083" s="5" t="s">
        <v>568</v>
      </c>
      <c r="I1083" s="5">
        <v>3003</v>
      </c>
      <c r="J1083" s="5" t="s">
        <v>22</v>
      </c>
      <c r="K1083" s="5" t="s">
        <v>23</v>
      </c>
      <c r="L1083" s="5" t="s">
        <v>31</v>
      </c>
      <c r="M1083" s="5" t="s">
        <v>284</v>
      </c>
      <c r="N1083" s="5" t="s">
        <v>53</v>
      </c>
      <c r="O1083" s="5">
        <v>128</v>
      </c>
      <c r="P1083" s="5"/>
      <c r="Q1083" s="5"/>
      <c r="R1083" s="8">
        <v>8.1018518518518516E-5</v>
      </c>
      <c r="S1083" s="5" t="s">
        <v>37</v>
      </c>
      <c r="T1083" t="str">
        <f>IF(Tabela1[[#This Row],[STATUS_NEGOCIO]]="Enviar E-mail",1,"")</f>
        <v/>
      </c>
      <c r="U1083" t="str">
        <f>TEXT(Tabela1[[#This Row],[DATA]],"dd/mm/aaaa")</f>
        <v>22/04/2026</v>
      </c>
    </row>
    <row r="1084" spans="1:21" x14ac:dyDescent="0.25">
      <c r="A1084" s="4">
        <v>46134.621990740743</v>
      </c>
      <c r="B1084" s="5" t="s">
        <v>19</v>
      </c>
      <c r="C1084" s="5" t="s">
        <v>37</v>
      </c>
      <c r="D1084" s="5">
        <v>452</v>
      </c>
      <c r="E1084" s="6">
        <v>40904952000154</v>
      </c>
      <c r="F1084" s="5">
        <v>452</v>
      </c>
      <c r="G1084" s="7">
        <v>177688054058591</v>
      </c>
      <c r="H1084" s="5" t="s">
        <v>569</v>
      </c>
      <c r="I1084" s="5">
        <v>3003</v>
      </c>
      <c r="J1084" s="5" t="s">
        <v>22</v>
      </c>
      <c r="K1084" s="5" t="s">
        <v>23</v>
      </c>
      <c r="L1084" s="5" t="s">
        <v>31</v>
      </c>
      <c r="M1084" s="5" t="s">
        <v>284</v>
      </c>
      <c r="N1084" s="5" t="s">
        <v>53</v>
      </c>
      <c r="O1084" s="5">
        <v>128</v>
      </c>
      <c r="P1084" s="5"/>
      <c r="Q1084" s="5"/>
      <c r="R1084" s="8">
        <v>8.1018518518518516E-5</v>
      </c>
      <c r="S1084" s="5" t="s">
        <v>37</v>
      </c>
      <c r="T1084" t="str">
        <f>IF(Tabela1[[#This Row],[STATUS_NEGOCIO]]="Enviar E-mail",1,"")</f>
        <v/>
      </c>
      <c r="U1084" t="str">
        <f>TEXT(Tabela1[[#This Row],[DATA]],"dd/mm/aaaa")</f>
        <v>22/04/2026</v>
      </c>
    </row>
    <row r="1085" spans="1:21" x14ac:dyDescent="0.25">
      <c r="A1085" s="4">
        <v>46134.621990740743</v>
      </c>
      <c r="B1085" s="5" t="s">
        <v>19</v>
      </c>
      <c r="C1085" s="5" t="s">
        <v>37</v>
      </c>
      <c r="D1085" s="5">
        <v>453</v>
      </c>
      <c r="E1085" s="6">
        <v>41284144000102</v>
      </c>
      <c r="F1085" s="5">
        <v>453</v>
      </c>
      <c r="G1085" s="7">
        <v>177688054058611</v>
      </c>
      <c r="H1085" s="5" t="s">
        <v>570</v>
      </c>
      <c r="I1085" s="5">
        <v>3003</v>
      </c>
      <c r="J1085" s="5" t="s">
        <v>22</v>
      </c>
      <c r="K1085" s="5" t="s">
        <v>23</v>
      </c>
      <c r="L1085" s="5" t="s">
        <v>31</v>
      </c>
      <c r="M1085" s="5" t="s">
        <v>284</v>
      </c>
      <c r="N1085" s="5" t="s">
        <v>53</v>
      </c>
      <c r="O1085" s="5">
        <v>128</v>
      </c>
      <c r="P1085" s="5"/>
      <c r="Q1085" s="5"/>
      <c r="R1085" s="8">
        <v>8.1018518518518516E-5</v>
      </c>
      <c r="S1085" s="5" t="s">
        <v>37</v>
      </c>
      <c r="T1085" t="str">
        <f>IF(Tabela1[[#This Row],[STATUS_NEGOCIO]]="Enviar E-mail",1,"")</f>
        <v/>
      </c>
      <c r="U1085" t="str">
        <f>TEXT(Tabela1[[#This Row],[DATA]],"dd/mm/aaaa")</f>
        <v>22/04/2026</v>
      </c>
    </row>
    <row r="1086" spans="1:21" x14ac:dyDescent="0.25">
      <c r="A1086" s="4">
        <v>46134.622083333335</v>
      </c>
      <c r="B1086" s="5" t="s">
        <v>19</v>
      </c>
      <c r="C1086" s="5" t="s">
        <v>37</v>
      </c>
      <c r="D1086" s="5">
        <v>454</v>
      </c>
      <c r="E1086" s="6">
        <v>41433088000112</v>
      </c>
      <c r="F1086" s="5">
        <v>454</v>
      </c>
      <c r="G1086" s="7">
        <v>177688054858641</v>
      </c>
      <c r="H1086" s="5" t="s">
        <v>571</v>
      </c>
      <c r="I1086" s="5">
        <v>3003</v>
      </c>
      <c r="J1086" s="5" t="s">
        <v>22</v>
      </c>
      <c r="K1086" s="5" t="s">
        <v>23</v>
      </c>
      <c r="L1086" s="5" t="s">
        <v>31</v>
      </c>
      <c r="M1086" s="5" t="s">
        <v>284</v>
      </c>
      <c r="N1086" s="5" t="s">
        <v>53</v>
      </c>
      <c r="O1086" s="5">
        <v>128</v>
      </c>
      <c r="P1086" s="5"/>
      <c r="Q1086" s="5"/>
      <c r="R1086" s="8">
        <v>8.1018518518518516E-5</v>
      </c>
      <c r="S1086" s="5" t="s">
        <v>37</v>
      </c>
      <c r="T1086" t="str">
        <f>IF(Tabela1[[#This Row],[STATUS_NEGOCIO]]="Enviar E-mail",1,"")</f>
        <v/>
      </c>
      <c r="U1086" t="str">
        <f>TEXT(Tabela1[[#This Row],[DATA]],"dd/mm/aaaa")</f>
        <v>22/04/2026</v>
      </c>
    </row>
    <row r="1087" spans="1:21" x14ac:dyDescent="0.25">
      <c r="A1087" s="4">
        <v>46134.622106481482</v>
      </c>
      <c r="B1087" s="5" t="s">
        <v>19</v>
      </c>
      <c r="C1087" s="5" t="s">
        <v>37</v>
      </c>
      <c r="D1087" s="5">
        <v>455</v>
      </c>
      <c r="E1087" s="6">
        <v>41601367000148</v>
      </c>
      <c r="F1087" s="5">
        <v>455</v>
      </c>
      <c r="G1087" s="7">
        <v>177688055058661</v>
      </c>
      <c r="H1087" s="5" t="s">
        <v>572</v>
      </c>
      <c r="I1087" s="5">
        <v>3003</v>
      </c>
      <c r="J1087" s="5" t="s">
        <v>22</v>
      </c>
      <c r="K1087" s="5" t="s">
        <v>23</v>
      </c>
      <c r="L1087" s="5" t="s">
        <v>31</v>
      </c>
      <c r="M1087" s="5" t="s">
        <v>284</v>
      </c>
      <c r="N1087" s="5" t="s">
        <v>53</v>
      </c>
      <c r="O1087" s="5">
        <v>128</v>
      </c>
      <c r="P1087" s="5"/>
      <c r="Q1087" s="5"/>
      <c r="R1087" s="8">
        <v>8.1018518518518516E-5</v>
      </c>
      <c r="S1087" s="5" t="s">
        <v>37</v>
      </c>
      <c r="T1087" t="str">
        <f>IF(Tabela1[[#This Row],[STATUS_NEGOCIO]]="Enviar E-mail",1,"")</f>
        <v/>
      </c>
      <c r="U1087" t="str">
        <f>TEXT(Tabela1[[#This Row],[DATA]],"dd/mm/aaaa")</f>
        <v>22/04/2026</v>
      </c>
    </row>
    <row r="1088" spans="1:21" x14ac:dyDescent="0.25">
      <c r="A1088" s="4">
        <v>46134.622129629628</v>
      </c>
      <c r="B1088" s="5" t="s">
        <v>19</v>
      </c>
      <c r="C1088" s="5" t="s">
        <v>37</v>
      </c>
      <c r="D1088" s="5">
        <v>456</v>
      </c>
      <c r="E1088" s="6">
        <v>41907234000102</v>
      </c>
      <c r="F1088" s="5">
        <v>456</v>
      </c>
      <c r="G1088" s="7">
        <v>177688055258681</v>
      </c>
      <c r="H1088" s="5" t="s">
        <v>573</v>
      </c>
      <c r="I1088" s="5">
        <v>3003</v>
      </c>
      <c r="J1088" s="5" t="s">
        <v>22</v>
      </c>
      <c r="K1088" s="5" t="s">
        <v>23</v>
      </c>
      <c r="L1088" s="5" t="s">
        <v>31</v>
      </c>
      <c r="M1088" s="5" t="s">
        <v>284</v>
      </c>
      <c r="N1088" s="5" t="s">
        <v>53</v>
      </c>
      <c r="O1088" s="5">
        <v>128</v>
      </c>
      <c r="P1088" s="5"/>
      <c r="Q1088" s="5"/>
      <c r="R1088" s="8">
        <v>8.1018518518518516E-5</v>
      </c>
      <c r="S1088" s="5" t="s">
        <v>37</v>
      </c>
      <c r="T1088" t="str">
        <f>IF(Tabela1[[#This Row],[STATUS_NEGOCIO]]="Enviar E-mail",1,"")</f>
        <v/>
      </c>
      <c r="U1088" t="str">
        <f>TEXT(Tabela1[[#This Row],[DATA]],"dd/mm/aaaa")</f>
        <v>22/04/2026</v>
      </c>
    </row>
    <row r="1089" spans="1:21" x14ac:dyDescent="0.25">
      <c r="A1089" s="4">
        <v>46134.622314814813</v>
      </c>
      <c r="B1089" s="5" t="s">
        <v>19</v>
      </c>
      <c r="C1089" s="5" t="s">
        <v>37</v>
      </c>
      <c r="D1089" s="5">
        <v>457</v>
      </c>
      <c r="E1089" s="6">
        <v>42081946000170</v>
      </c>
      <c r="F1089" s="5">
        <v>457</v>
      </c>
      <c r="G1089" s="7">
        <v>177688056858701</v>
      </c>
      <c r="H1089" s="5" t="s">
        <v>126</v>
      </c>
      <c r="I1089" s="5">
        <v>3003</v>
      </c>
      <c r="J1089" s="5" t="s">
        <v>22</v>
      </c>
      <c r="K1089" s="5" t="s">
        <v>23</v>
      </c>
      <c r="L1089" s="5" t="s">
        <v>31</v>
      </c>
      <c r="M1089" s="5" t="s">
        <v>284</v>
      </c>
      <c r="N1089" s="5" t="s">
        <v>53</v>
      </c>
      <c r="O1089" s="5">
        <v>128</v>
      </c>
      <c r="P1089" s="5"/>
      <c r="Q1089" s="5"/>
      <c r="R1089" s="8">
        <v>8.1018518518518516E-5</v>
      </c>
      <c r="S1089" s="5" t="s">
        <v>37</v>
      </c>
      <c r="T1089" t="str">
        <f>IF(Tabela1[[#This Row],[STATUS_NEGOCIO]]="Enviar E-mail",1,"")</f>
        <v/>
      </c>
      <c r="U1089" t="str">
        <f>TEXT(Tabela1[[#This Row],[DATA]],"dd/mm/aaaa")</f>
        <v>22/04/2026</v>
      </c>
    </row>
    <row r="1090" spans="1:21" x14ac:dyDescent="0.25">
      <c r="A1090" s="4">
        <v>46134.622337962966</v>
      </c>
      <c r="B1090" s="5" t="s">
        <v>19</v>
      </c>
      <c r="C1090" s="5" t="s">
        <v>37</v>
      </c>
      <c r="D1090" s="5">
        <v>458</v>
      </c>
      <c r="E1090" s="6">
        <v>42427558000106</v>
      </c>
      <c r="F1090" s="5">
        <v>458</v>
      </c>
      <c r="G1090" s="7">
        <v>177688057058721</v>
      </c>
      <c r="H1090" s="5" t="s">
        <v>574</v>
      </c>
      <c r="I1090" s="5">
        <v>3003</v>
      </c>
      <c r="J1090" s="5" t="s">
        <v>22</v>
      </c>
      <c r="K1090" s="5" t="s">
        <v>23</v>
      </c>
      <c r="L1090" s="5" t="s">
        <v>31</v>
      </c>
      <c r="M1090" s="5" t="s">
        <v>284</v>
      </c>
      <c r="N1090" s="5" t="s">
        <v>53</v>
      </c>
      <c r="O1090" s="5">
        <v>128</v>
      </c>
      <c r="P1090" s="5"/>
      <c r="Q1090" s="5"/>
      <c r="R1090" s="8">
        <v>8.1018518518518516E-5</v>
      </c>
      <c r="S1090" s="5" t="s">
        <v>37</v>
      </c>
      <c r="T1090" t="str">
        <f>IF(Tabela1[[#This Row],[STATUS_NEGOCIO]]="Enviar E-mail",1,"")</f>
        <v/>
      </c>
      <c r="U1090" t="str">
        <f>TEXT(Tabela1[[#This Row],[DATA]],"dd/mm/aaaa")</f>
        <v>22/04/2026</v>
      </c>
    </row>
    <row r="1091" spans="1:21" x14ac:dyDescent="0.25">
      <c r="A1091" s="4">
        <v>46134.622372685182</v>
      </c>
      <c r="B1091" s="5" t="s">
        <v>19</v>
      </c>
      <c r="C1091" s="5" t="s">
        <v>37</v>
      </c>
      <c r="D1091" s="5">
        <v>459</v>
      </c>
      <c r="E1091" s="6">
        <v>42430090000109</v>
      </c>
      <c r="F1091" s="5">
        <v>459</v>
      </c>
      <c r="G1091" s="7">
        <v>177688057358741</v>
      </c>
      <c r="H1091" s="5" t="s">
        <v>575</v>
      </c>
      <c r="I1091" s="5" t="s">
        <v>52</v>
      </c>
      <c r="J1091" s="5" t="s">
        <v>22</v>
      </c>
      <c r="K1091" s="5" t="s">
        <v>36</v>
      </c>
      <c r="L1091" s="5" t="s">
        <v>36</v>
      </c>
      <c r="M1091" s="5" t="s">
        <v>284</v>
      </c>
      <c r="N1091" s="5" t="s">
        <v>53</v>
      </c>
      <c r="O1091" s="5">
        <v>1</v>
      </c>
      <c r="P1091" s="5"/>
      <c r="Q1091" s="5"/>
      <c r="R1091" s="8">
        <v>0</v>
      </c>
      <c r="S1091" s="5" t="s">
        <v>37</v>
      </c>
      <c r="T1091" t="str">
        <f>IF(Tabela1[[#This Row],[STATUS_NEGOCIO]]="Enviar E-mail",1,"")</f>
        <v/>
      </c>
      <c r="U1091" t="str">
        <f>TEXT(Tabela1[[#This Row],[DATA]],"dd/mm/aaaa")</f>
        <v>22/04/2026</v>
      </c>
    </row>
    <row r="1092" spans="1:21" x14ac:dyDescent="0.25">
      <c r="A1092" s="4">
        <v>46134.622372685182</v>
      </c>
      <c r="B1092" s="5" t="s">
        <v>19</v>
      </c>
      <c r="C1092" s="5" t="s">
        <v>37</v>
      </c>
      <c r="D1092" s="5">
        <v>460</v>
      </c>
      <c r="E1092" s="6">
        <v>42497263000106</v>
      </c>
      <c r="F1092" s="5">
        <v>460</v>
      </c>
      <c r="G1092" s="7">
        <v>177688057358761</v>
      </c>
      <c r="H1092" s="5" t="s">
        <v>576</v>
      </c>
      <c r="I1092" s="5">
        <v>3003</v>
      </c>
      <c r="J1092" s="5" t="s">
        <v>22</v>
      </c>
      <c r="K1092" s="5" t="s">
        <v>23</v>
      </c>
      <c r="L1092" s="5" t="s">
        <v>31</v>
      </c>
      <c r="M1092" s="5" t="s">
        <v>284</v>
      </c>
      <c r="N1092" s="5" t="s">
        <v>53</v>
      </c>
      <c r="O1092" s="5">
        <v>147</v>
      </c>
      <c r="P1092" s="5"/>
      <c r="Q1092" s="5"/>
      <c r="R1092" s="8">
        <v>8.1018518518518516E-5</v>
      </c>
      <c r="S1092" s="5" t="s">
        <v>37</v>
      </c>
      <c r="T1092" t="str">
        <f>IF(Tabela1[[#This Row],[STATUS_NEGOCIO]]="Enviar E-mail",1,"")</f>
        <v/>
      </c>
      <c r="U1092" t="str">
        <f>TEXT(Tabela1[[#This Row],[DATA]],"dd/mm/aaaa")</f>
        <v>22/04/2026</v>
      </c>
    </row>
    <row r="1093" spans="1:21" x14ac:dyDescent="0.25">
      <c r="A1093" s="4">
        <v>46134.622372685182</v>
      </c>
      <c r="B1093" s="5" t="s">
        <v>19</v>
      </c>
      <c r="C1093" s="5" t="s">
        <v>37</v>
      </c>
      <c r="D1093" s="5">
        <v>461</v>
      </c>
      <c r="E1093" s="6">
        <v>42558791000110</v>
      </c>
      <c r="F1093" s="5">
        <v>461</v>
      </c>
      <c r="G1093" s="7">
        <v>177688057358771</v>
      </c>
      <c r="H1093" s="5" t="s">
        <v>149</v>
      </c>
      <c r="I1093" s="5" t="s">
        <v>52</v>
      </c>
      <c r="J1093" s="5" t="s">
        <v>22</v>
      </c>
      <c r="K1093" s="5" t="s">
        <v>36</v>
      </c>
      <c r="L1093" s="5" t="s">
        <v>36</v>
      </c>
      <c r="M1093" s="5" t="s">
        <v>284</v>
      </c>
      <c r="N1093" s="5" t="s">
        <v>53</v>
      </c>
      <c r="O1093" s="5">
        <v>19</v>
      </c>
      <c r="P1093" s="5"/>
      <c r="Q1093" s="5"/>
      <c r="R1093" s="8">
        <v>0</v>
      </c>
      <c r="S1093" s="5" t="s">
        <v>37</v>
      </c>
      <c r="T1093" t="str">
        <f>IF(Tabela1[[#This Row],[STATUS_NEGOCIO]]="Enviar E-mail",1,"")</f>
        <v/>
      </c>
      <c r="U1093" t="str">
        <f>TEXT(Tabela1[[#This Row],[DATA]],"dd/mm/aaaa")</f>
        <v>22/04/2026</v>
      </c>
    </row>
    <row r="1094" spans="1:21" x14ac:dyDescent="0.25">
      <c r="A1094" s="4">
        <v>46134.622395833336</v>
      </c>
      <c r="B1094" s="5" t="s">
        <v>19</v>
      </c>
      <c r="C1094" s="5" t="s">
        <v>37</v>
      </c>
      <c r="D1094" s="5">
        <v>462</v>
      </c>
      <c r="E1094" s="6">
        <v>42564351000175</v>
      </c>
      <c r="F1094" s="5">
        <v>462</v>
      </c>
      <c r="G1094" s="7">
        <v>177688057558791</v>
      </c>
      <c r="H1094" s="5" t="s">
        <v>195</v>
      </c>
      <c r="I1094" s="5" t="s">
        <v>52</v>
      </c>
      <c r="J1094" s="5" t="s">
        <v>22</v>
      </c>
      <c r="K1094" s="5" t="s">
        <v>36</v>
      </c>
      <c r="L1094" s="5" t="s">
        <v>36</v>
      </c>
      <c r="M1094" s="5" t="s">
        <v>284</v>
      </c>
      <c r="N1094" s="5" t="s">
        <v>53</v>
      </c>
      <c r="O1094" s="5">
        <v>19</v>
      </c>
      <c r="P1094" s="5"/>
      <c r="Q1094" s="5"/>
      <c r="R1094" s="8">
        <v>0</v>
      </c>
      <c r="S1094" s="5" t="s">
        <v>37</v>
      </c>
      <c r="T1094" t="str">
        <f>IF(Tabela1[[#This Row],[STATUS_NEGOCIO]]="Enviar E-mail",1,"")</f>
        <v/>
      </c>
      <c r="U1094" t="str">
        <f>TEXT(Tabela1[[#This Row],[DATA]],"dd/mm/aaaa")</f>
        <v>22/04/2026</v>
      </c>
    </row>
    <row r="1095" spans="1:21" x14ac:dyDescent="0.25">
      <c r="A1095" s="4">
        <v>46134.622430555559</v>
      </c>
      <c r="B1095" s="5" t="s">
        <v>19</v>
      </c>
      <c r="C1095" s="5" t="s">
        <v>37</v>
      </c>
      <c r="D1095" s="5">
        <v>463</v>
      </c>
      <c r="E1095" s="6">
        <v>42764642000107</v>
      </c>
      <c r="F1095" s="5">
        <v>463</v>
      </c>
      <c r="G1095" s="7">
        <v>177688057858811</v>
      </c>
      <c r="H1095" s="5" t="s">
        <v>577</v>
      </c>
      <c r="I1095" s="5">
        <v>3003</v>
      </c>
      <c r="J1095" s="5" t="s">
        <v>22</v>
      </c>
      <c r="K1095" s="5" t="s">
        <v>23</v>
      </c>
      <c r="L1095" s="5" t="s">
        <v>31</v>
      </c>
      <c r="M1095" s="5" t="s">
        <v>284</v>
      </c>
      <c r="N1095" s="5" t="s">
        <v>53</v>
      </c>
      <c r="O1095" s="5">
        <v>128</v>
      </c>
      <c r="P1095" s="5"/>
      <c r="Q1095" s="5"/>
      <c r="R1095" s="8">
        <v>8.1018518518518516E-5</v>
      </c>
      <c r="S1095" s="5" t="s">
        <v>37</v>
      </c>
      <c r="T1095" t="str">
        <f>IF(Tabela1[[#This Row],[STATUS_NEGOCIO]]="Enviar E-mail",1,"")</f>
        <v/>
      </c>
      <c r="U1095" t="str">
        <f>TEXT(Tabela1[[#This Row],[DATA]],"dd/mm/aaaa")</f>
        <v>22/04/2026</v>
      </c>
    </row>
    <row r="1096" spans="1:21" x14ac:dyDescent="0.25">
      <c r="A1096" s="4">
        <v>46134.622442129628</v>
      </c>
      <c r="B1096" s="5" t="s">
        <v>19</v>
      </c>
      <c r="C1096" s="5" t="s">
        <v>37</v>
      </c>
      <c r="D1096" s="5">
        <v>464</v>
      </c>
      <c r="E1096" s="6">
        <v>42834744000151</v>
      </c>
      <c r="F1096" s="5">
        <v>464</v>
      </c>
      <c r="G1096" s="7">
        <v>177688057958831</v>
      </c>
      <c r="H1096" s="5" t="s">
        <v>578</v>
      </c>
      <c r="I1096" s="5" t="s">
        <v>52</v>
      </c>
      <c r="J1096" s="5" t="s">
        <v>22</v>
      </c>
      <c r="K1096" s="5" t="s">
        <v>36</v>
      </c>
      <c r="L1096" s="5" t="s">
        <v>36</v>
      </c>
      <c r="M1096" s="5" t="s">
        <v>284</v>
      </c>
      <c r="N1096" s="5" t="s">
        <v>53</v>
      </c>
      <c r="O1096" s="5">
        <v>34</v>
      </c>
      <c r="P1096" s="5"/>
      <c r="Q1096" s="5"/>
      <c r="R1096" s="8">
        <v>0</v>
      </c>
      <c r="S1096" s="5" t="s">
        <v>37</v>
      </c>
      <c r="T1096" t="str">
        <f>IF(Tabela1[[#This Row],[STATUS_NEGOCIO]]="Enviar E-mail",1,"")</f>
        <v/>
      </c>
      <c r="U1096" t="str">
        <f>TEXT(Tabela1[[#This Row],[DATA]],"dd/mm/aaaa")</f>
        <v>22/04/2026</v>
      </c>
    </row>
    <row r="1097" spans="1:21" x14ac:dyDescent="0.25">
      <c r="A1097" s="4">
        <v>46134.622488425928</v>
      </c>
      <c r="B1097" s="5" t="s">
        <v>19</v>
      </c>
      <c r="C1097" s="5" t="s">
        <v>37</v>
      </c>
      <c r="D1097" s="5">
        <v>465</v>
      </c>
      <c r="E1097" s="6">
        <v>42895602000102</v>
      </c>
      <c r="F1097" s="5">
        <v>465</v>
      </c>
      <c r="G1097" s="7">
        <v>177688058358851</v>
      </c>
      <c r="H1097" s="5" t="s">
        <v>156</v>
      </c>
      <c r="I1097" s="5">
        <v>3003</v>
      </c>
      <c r="J1097" s="5" t="s">
        <v>22</v>
      </c>
      <c r="K1097" s="5" t="s">
        <v>23</v>
      </c>
      <c r="L1097" s="5" t="s">
        <v>31</v>
      </c>
      <c r="M1097" s="5" t="s">
        <v>284</v>
      </c>
      <c r="N1097" s="5" t="s">
        <v>53</v>
      </c>
      <c r="O1097" s="5">
        <v>128</v>
      </c>
      <c r="P1097" s="5"/>
      <c r="Q1097" s="5"/>
      <c r="R1097" s="8">
        <v>8.1018518518518516E-5</v>
      </c>
      <c r="S1097" s="5" t="s">
        <v>37</v>
      </c>
      <c r="T1097" t="str">
        <f>IF(Tabela1[[#This Row],[STATUS_NEGOCIO]]="Enviar E-mail",1,"")</f>
        <v/>
      </c>
      <c r="U1097" t="str">
        <f>TEXT(Tabela1[[#This Row],[DATA]],"dd/mm/aaaa")</f>
        <v>22/04/2026</v>
      </c>
    </row>
    <row r="1098" spans="1:21" x14ac:dyDescent="0.25">
      <c r="A1098" s="4">
        <v>46134.622511574074</v>
      </c>
      <c r="B1098" s="5" t="s">
        <v>19</v>
      </c>
      <c r="C1098" s="5" t="s">
        <v>27</v>
      </c>
      <c r="D1098" s="5">
        <v>466</v>
      </c>
      <c r="E1098" s="6">
        <v>42946445000109</v>
      </c>
      <c r="F1098" s="5">
        <v>466</v>
      </c>
      <c r="G1098" s="7">
        <v>177688058558871</v>
      </c>
      <c r="H1098" s="5" t="s">
        <v>579</v>
      </c>
      <c r="I1098" s="5">
        <v>3003</v>
      </c>
      <c r="J1098" s="5" t="s">
        <v>22</v>
      </c>
      <c r="K1098" s="5" t="s">
        <v>23</v>
      </c>
      <c r="L1098" s="5" t="s">
        <v>580</v>
      </c>
      <c r="M1098" s="5" t="s">
        <v>284</v>
      </c>
      <c r="N1098" s="5" t="s">
        <v>26</v>
      </c>
      <c r="O1098" s="5">
        <v>16</v>
      </c>
      <c r="P1098" s="5"/>
      <c r="Q1098" s="5"/>
      <c r="R1098" s="8">
        <v>6.018518518518519E-4</v>
      </c>
      <c r="S1098" s="8">
        <v>5.5555555555555556E-4</v>
      </c>
      <c r="T1098" t="str">
        <f>IF(Tabela1[[#This Row],[STATUS_NEGOCIO]]="Enviar E-mail",1,"")</f>
        <v/>
      </c>
      <c r="U1098" t="str">
        <f>TEXT(Tabela1[[#This Row],[DATA]],"dd/mm/aaaa")</f>
        <v>22/04/2026</v>
      </c>
    </row>
    <row r="1099" spans="1:21" x14ac:dyDescent="0.25">
      <c r="A1099" s="4">
        <v>46134.622546296298</v>
      </c>
      <c r="B1099" s="5" t="s">
        <v>19</v>
      </c>
      <c r="C1099" s="5" t="s">
        <v>37</v>
      </c>
      <c r="D1099" s="5">
        <v>467</v>
      </c>
      <c r="E1099" s="6">
        <v>43189309000184</v>
      </c>
      <c r="F1099" s="5">
        <v>467</v>
      </c>
      <c r="G1099" s="7">
        <v>177688058858891</v>
      </c>
      <c r="H1099" s="5" t="s">
        <v>216</v>
      </c>
      <c r="I1099" s="5">
        <v>3003</v>
      </c>
      <c r="J1099" s="5" t="s">
        <v>22</v>
      </c>
      <c r="K1099" s="5" t="s">
        <v>23</v>
      </c>
      <c r="L1099" s="5" t="s">
        <v>31</v>
      </c>
      <c r="M1099" s="5" t="s">
        <v>284</v>
      </c>
      <c r="N1099" s="5" t="s">
        <v>53</v>
      </c>
      <c r="O1099" s="5">
        <v>128</v>
      </c>
      <c r="P1099" s="5"/>
      <c r="Q1099" s="5"/>
      <c r="R1099" s="8">
        <v>8.1018518518518516E-5</v>
      </c>
      <c r="S1099" s="5" t="s">
        <v>37</v>
      </c>
      <c r="T1099" t="str">
        <f>IF(Tabela1[[#This Row],[STATUS_NEGOCIO]]="Enviar E-mail",1,"")</f>
        <v/>
      </c>
      <c r="U1099" t="str">
        <f>TEXT(Tabela1[[#This Row],[DATA]],"dd/mm/aaaa")</f>
        <v>22/04/2026</v>
      </c>
    </row>
    <row r="1100" spans="1:21" x14ac:dyDescent="0.25">
      <c r="A1100" s="4">
        <v>46134.622604166667</v>
      </c>
      <c r="B1100" s="5" t="s">
        <v>19</v>
      </c>
      <c r="C1100" s="5" t="s">
        <v>37</v>
      </c>
      <c r="D1100" s="5">
        <v>468</v>
      </c>
      <c r="E1100" s="6">
        <v>43291803000155</v>
      </c>
      <c r="F1100" s="5">
        <v>468</v>
      </c>
      <c r="G1100" s="7">
        <v>177688059358901</v>
      </c>
      <c r="H1100" s="5" t="s">
        <v>581</v>
      </c>
      <c r="I1100" s="5">
        <v>3003</v>
      </c>
      <c r="J1100" s="5" t="s">
        <v>22</v>
      </c>
      <c r="K1100" s="5" t="s">
        <v>23</v>
      </c>
      <c r="L1100" s="5" t="s">
        <v>31</v>
      </c>
      <c r="M1100" s="5" t="s">
        <v>284</v>
      </c>
      <c r="N1100" s="5" t="s">
        <v>53</v>
      </c>
      <c r="O1100" s="5">
        <v>128</v>
      </c>
      <c r="P1100" s="5"/>
      <c r="Q1100" s="5"/>
      <c r="R1100" s="8">
        <v>8.1018518518518516E-5</v>
      </c>
      <c r="S1100" s="5" t="s">
        <v>37</v>
      </c>
      <c r="T1100" t="str">
        <f>IF(Tabela1[[#This Row],[STATUS_NEGOCIO]]="Enviar E-mail",1,"")</f>
        <v/>
      </c>
      <c r="U1100" t="str">
        <f>TEXT(Tabela1[[#This Row],[DATA]],"dd/mm/aaaa")</f>
        <v>22/04/2026</v>
      </c>
    </row>
    <row r="1101" spans="1:21" x14ac:dyDescent="0.25">
      <c r="A1101" s="4">
        <v>46134.622650462959</v>
      </c>
      <c r="B1101" s="5" t="s">
        <v>19</v>
      </c>
      <c r="C1101" s="5" t="s">
        <v>37</v>
      </c>
      <c r="D1101" s="5">
        <v>469</v>
      </c>
      <c r="E1101" s="6">
        <v>43600132000167</v>
      </c>
      <c r="F1101" s="5">
        <v>469</v>
      </c>
      <c r="G1101" s="7">
        <v>177688059758921</v>
      </c>
      <c r="H1101" s="5" t="s">
        <v>582</v>
      </c>
      <c r="I1101" s="5">
        <v>3003</v>
      </c>
      <c r="J1101" s="5" t="s">
        <v>22</v>
      </c>
      <c r="K1101" s="5" t="s">
        <v>23</v>
      </c>
      <c r="L1101" s="5" t="s">
        <v>31</v>
      </c>
      <c r="M1101" s="5" t="s">
        <v>284</v>
      </c>
      <c r="N1101" s="5" t="s">
        <v>53</v>
      </c>
      <c r="O1101" s="5">
        <v>147</v>
      </c>
      <c r="P1101" s="5"/>
      <c r="Q1101" s="5"/>
      <c r="R1101" s="8">
        <v>8.1018518518518516E-5</v>
      </c>
      <c r="S1101" s="5" t="s">
        <v>37</v>
      </c>
      <c r="T1101" t="str">
        <f>IF(Tabela1[[#This Row],[STATUS_NEGOCIO]]="Enviar E-mail",1,"")</f>
        <v/>
      </c>
      <c r="U1101" t="str">
        <f>TEXT(Tabela1[[#This Row],[DATA]],"dd/mm/aaaa")</f>
        <v>22/04/2026</v>
      </c>
    </row>
    <row r="1102" spans="1:21" x14ac:dyDescent="0.25">
      <c r="A1102" s="4">
        <v>46134.622766203705</v>
      </c>
      <c r="B1102" s="5" t="s">
        <v>19</v>
      </c>
      <c r="C1102" s="5" t="s">
        <v>37</v>
      </c>
      <c r="D1102" s="5">
        <v>470</v>
      </c>
      <c r="E1102" s="6">
        <v>43608407000109</v>
      </c>
      <c r="F1102" s="5">
        <v>470</v>
      </c>
      <c r="G1102" s="7">
        <v>177688060758951</v>
      </c>
      <c r="H1102" s="5" t="s">
        <v>583</v>
      </c>
      <c r="I1102" s="5">
        <v>3003</v>
      </c>
      <c r="J1102" s="5" t="s">
        <v>22</v>
      </c>
      <c r="K1102" s="5" t="s">
        <v>23</v>
      </c>
      <c r="L1102" s="5" t="s">
        <v>31</v>
      </c>
      <c r="M1102" s="5" t="s">
        <v>284</v>
      </c>
      <c r="N1102" s="5" t="s">
        <v>53</v>
      </c>
      <c r="O1102" s="5">
        <v>128</v>
      </c>
      <c r="P1102" s="5"/>
      <c r="Q1102" s="5"/>
      <c r="R1102" s="8">
        <v>8.1018518518518516E-5</v>
      </c>
      <c r="S1102" s="5" t="s">
        <v>37</v>
      </c>
      <c r="T1102" t="str">
        <f>IF(Tabela1[[#This Row],[STATUS_NEGOCIO]]="Enviar E-mail",1,"")</f>
        <v/>
      </c>
      <c r="U1102" t="str">
        <f>TEXT(Tabela1[[#This Row],[DATA]],"dd/mm/aaaa")</f>
        <v>22/04/2026</v>
      </c>
    </row>
    <row r="1103" spans="1:21" x14ac:dyDescent="0.25">
      <c r="A1103" s="4">
        <v>46134.622800925928</v>
      </c>
      <c r="B1103" s="5" t="s">
        <v>19</v>
      </c>
      <c r="C1103" s="5" t="s">
        <v>37</v>
      </c>
      <c r="D1103" s="5">
        <v>471</v>
      </c>
      <c r="E1103" s="6">
        <v>43647834000104</v>
      </c>
      <c r="F1103" s="5">
        <v>471</v>
      </c>
      <c r="G1103" s="7">
        <v>177688061058971</v>
      </c>
      <c r="H1103" s="5" t="s">
        <v>584</v>
      </c>
      <c r="I1103" s="5">
        <v>3003</v>
      </c>
      <c r="J1103" s="5" t="s">
        <v>22</v>
      </c>
      <c r="K1103" s="5" t="s">
        <v>23</v>
      </c>
      <c r="L1103" s="5" t="s">
        <v>31</v>
      </c>
      <c r="M1103" s="5" t="s">
        <v>284</v>
      </c>
      <c r="N1103" s="5" t="s">
        <v>53</v>
      </c>
      <c r="O1103" s="5">
        <v>128</v>
      </c>
      <c r="P1103" s="5"/>
      <c r="Q1103" s="5"/>
      <c r="R1103" s="8">
        <v>8.1018518518518516E-5</v>
      </c>
      <c r="S1103" s="5" t="s">
        <v>37</v>
      </c>
      <c r="T1103" t="str">
        <f>IF(Tabela1[[#This Row],[STATUS_NEGOCIO]]="Enviar E-mail",1,"")</f>
        <v/>
      </c>
      <c r="U1103" t="str">
        <f>TEXT(Tabela1[[#This Row],[DATA]],"dd/mm/aaaa")</f>
        <v>22/04/2026</v>
      </c>
    </row>
    <row r="1104" spans="1:21" x14ac:dyDescent="0.25">
      <c r="A1104" s="4">
        <v>46134.622812499998</v>
      </c>
      <c r="B1104" s="5" t="s">
        <v>19</v>
      </c>
      <c r="C1104" s="5" t="s">
        <v>37</v>
      </c>
      <c r="D1104" s="5">
        <v>472</v>
      </c>
      <c r="E1104" s="6">
        <v>43753738000132</v>
      </c>
      <c r="F1104" s="5">
        <v>472</v>
      </c>
      <c r="G1104" s="7">
        <v>177688061158991</v>
      </c>
      <c r="H1104" s="5" t="s">
        <v>585</v>
      </c>
      <c r="I1104" s="5">
        <v>3003</v>
      </c>
      <c r="J1104" s="5" t="s">
        <v>22</v>
      </c>
      <c r="K1104" s="5" t="s">
        <v>23</v>
      </c>
      <c r="L1104" s="5" t="s">
        <v>31</v>
      </c>
      <c r="M1104" s="5" t="s">
        <v>284</v>
      </c>
      <c r="N1104" s="5" t="s">
        <v>53</v>
      </c>
      <c r="O1104" s="5">
        <v>147</v>
      </c>
      <c r="P1104" s="5"/>
      <c r="Q1104" s="5"/>
      <c r="R1104" s="8">
        <v>8.1018518518518516E-5</v>
      </c>
      <c r="S1104" s="5" t="s">
        <v>37</v>
      </c>
      <c r="T1104" t="str">
        <f>IF(Tabela1[[#This Row],[STATUS_NEGOCIO]]="Enviar E-mail",1,"")</f>
        <v/>
      </c>
      <c r="U1104" t="str">
        <f>TEXT(Tabela1[[#This Row],[DATA]],"dd/mm/aaaa")</f>
        <v>22/04/2026</v>
      </c>
    </row>
    <row r="1105" spans="1:21" x14ac:dyDescent="0.25">
      <c r="A1105" s="4">
        <v>46134.622881944444</v>
      </c>
      <c r="B1105" s="5" t="s">
        <v>19</v>
      </c>
      <c r="C1105" s="5" t="s">
        <v>37</v>
      </c>
      <c r="D1105" s="5">
        <v>473</v>
      </c>
      <c r="E1105" s="6">
        <v>43907332000167</v>
      </c>
      <c r="F1105" s="5">
        <v>473</v>
      </c>
      <c r="G1105" s="7">
        <v>177688061759011</v>
      </c>
      <c r="H1105" s="5" t="s">
        <v>122</v>
      </c>
      <c r="I1105" s="5">
        <v>3003</v>
      </c>
      <c r="J1105" s="5" t="s">
        <v>22</v>
      </c>
      <c r="K1105" s="5" t="s">
        <v>23</v>
      </c>
      <c r="L1105" s="5" t="s">
        <v>31</v>
      </c>
      <c r="M1105" s="5" t="s">
        <v>284</v>
      </c>
      <c r="N1105" s="5" t="s">
        <v>53</v>
      </c>
      <c r="O1105" s="5">
        <v>128</v>
      </c>
      <c r="P1105" s="5"/>
      <c r="Q1105" s="5"/>
      <c r="R1105" s="8">
        <v>8.1018518518518516E-5</v>
      </c>
      <c r="S1105" s="5" t="s">
        <v>37</v>
      </c>
      <c r="T1105" t="str">
        <f>IF(Tabela1[[#This Row],[STATUS_NEGOCIO]]="Enviar E-mail",1,"")</f>
        <v/>
      </c>
      <c r="U1105" t="str">
        <f>TEXT(Tabela1[[#This Row],[DATA]],"dd/mm/aaaa")</f>
        <v>22/04/2026</v>
      </c>
    </row>
    <row r="1106" spans="1:21" x14ac:dyDescent="0.25">
      <c r="A1106" s="4">
        <v>46134.622928240744</v>
      </c>
      <c r="B1106" s="5" t="s">
        <v>19</v>
      </c>
      <c r="C1106" s="5" t="s">
        <v>37</v>
      </c>
      <c r="D1106" s="5">
        <v>474</v>
      </c>
      <c r="E1106" s="6">
        <v>44141387000171</v>
      </c>
      <c r="F1106" s="5">
        <v>474</v>
      </c>
      <c r="G1106" s="7">
        <v>177688062159021</v>
      </c>
      <c r="H1106" s="5" t="s">
        <v>586</v>
      </c>
      <c r="I1106" s="5">
        <v>3003</v>
      </c>
      <c r="J1106" s="5" t="s">
        <v>22</v>
      </c>
      <c r="K1106" s="5" t="s">
        <v>23</v>
      </c>
      <c r="L1106" s="5" t="s">
        <v>31</v>
      </c>
      <c r="M1106" s="5" t="s">
        <v>284</v>
      </c>
      <c r="N1106" s="5" t="s">
        <v>53</v>
      </c>
      <c r="O1106" s="5">
        <v>147</v>
      </c>
      <c r="P1106" s="5"/>
      <c r="Q1106" s="5"/>
      <c r="R1106" s="8">
        <v>8.1018518518518516E-5</v>
      </c>
      <c r="S1106" s="5" t="s">
        <v>37</v>
      </c>
      <c r="T1106" t="str">
        <f>IF(Tabela1[[#This Row],[STATUS_NEGOCIO]]="Enviar E-mail",1,"")</f>
        <v/>
      </c>
      <c r="U1106" t="str">
        <f>TEXT(Tabela1[[#This Row],[DATA]],"dd/mm/aaaa")</f>
        <v>22/04/2026</v>
      </c>
    </row>
    <row r="1107" spans="1:21" x14ac:dyDescent="0.25">
      <c r="A1107" s="4">
        <v>46134.622939814813</v>
      </c>
      <c r="B1107" s="5" t="s">
        <v>19</v>
      </c>
      <c r="C1107" s="5" t="s">
        <v>37</v>
      </c>
      <c r="D1107" s="5">
        <v>475</v>
      </c>
      <c r="E1107" s="6">
        <v>44172855000175</v>
      </c>
      <c r="F1107" s="5">
        <v>475</v>
      </c>
      <c r="G1107" s="7">
        <v>177688062259051</v>
      </c>
      <c r="H1107" s="5" t="s">
        <v>587</v>
      </c>
      <c r="I1107" s="5">
        <v>3003</v>
      </c>
      <c r="J1107" s="5" t="s">
        <v>22</v>
      </c>
      <c r="K1107" s="5" t="s">
        <v>23</v>
      </c>
      <c r="L1107" s="5" t="s">
        <v>31</v>
      </c>
      <c r="M1107" s="5" t="s">
        <v>284</v>
      </c>
      <c r="N1107" s="5" t="s">
        <v>53</v>
      </c>
      <c r="O1107" s="5">
        <v>147</v>
      </c>
      <c r="P1107" s="5"/>
      <c r="Q1107" s="5"/>
      <c r="R1107" s="8">
        <v>8.1018518518518516E-5</v>
      </c>
      <c r="S1107" s="5" t="s">
        <v>37</v>
      </c>
      <c r="T1107" t="str">
        <f>IF(Tabela1[[#This Row],[STATUS_NEGOCIO]]="Enviar E-mail",1,"")</f>
        <v/>
      </c>
      <c r="U1107" t="str">
        <f>TEXT(Tabela1[[#This Row],[DATA]],"dd/mm/aaaa")</f>
        <v>22/04/2026</v>
      </c>
    </row>
    <row r="1108" spans="1:21" x14ac:dyDescent="0.25">
      <c r="A1108" s="4">
        <v>46134.62295138889</v>
      </c>
      <c r="B1108" s="5" t="s">
        <v>19</v>
      </c>
      <c r="C1108" s="5" t="s">
        <v>37</v>
      </c>
      <c r="D1108" s="5">
        <v>476</v>
      </c>
      <c r="E1108" s="6">
        <v>45020481000135</v>
      </c>
      <c r="F1108" s="5">
        <v>476</v>
      </c>
      <c r="G1108" s="7">
        <v>177688062359061</v>
      </c>
      <c r="H1108" s="5" t="s">
        <v>588</v>
      </c>
      <c r="I1108" s="5">
        <v>3003</v>
      </c>
      <c r="J1108" s="5" t="s">
        <v>22</v>
      </c>
      <c r="K1108" s="5" t="s">
        <v>23</v>
      </c>
      <c r="L1108" s="5" t="s">
        <v>31</v>
      </c>
      <c r="M1108" s="5" t="s">
        <v>284</v>
      </c>
      <c r="N1108" s="5" t="s">
        <v>26</v>
      </c>
      <c r="O1108" s="5">
        <v>131</v>
      </c>
      <c r="P1108" s="5"/>
      <c r="Q1108" s="5"/>
      <c r="R1108" s="8">
        <v>8.1018518518518516E-5</v>
      </c>
      <c r="S1108" s="5" t="s">
        <v>37</v>
      </c>
      <c r="T1108" t="str">
        <f>IF(Tabela1[[#This Row],[STATUS_NEGOCIO]]="Enviar E-mail",1,"")</f>
        <v/>
      </c>
      <c r="U1108" t="str">
        <f>TEXT(Tabela1[[#This Row],[DATA]],"dd/mm/aaaa")</f>
        <v>22/04/2026</v>
      </c>
    </row>
    <row r="1109" spans="1:21" x14ac:dyDescent="0.25">
      <c r="A1109" s="4">
        <v>46134.623055555552</v>
      </c>
      <c r="B1109" s="5" t="s">
        <v>19</v>
      </c>
      <c r="C1109" s="5" t="s">
        <v>37</v>
      </c>
      <c r="D1109" s="5">
        <v>477</v>
      </c>
      <c r="E1109" s="6">
        <v>45271123000103</v>
      </c>
      <c r="F1109" s="5">
        <v>477</v>
      </c>
      <c r="G1109" s="7">
        <v>177688063259081</v>
      </c>
      <c r="H1109" s="5" t="s">
        <v>589</v>
      </c>
      <c r="I1109" s="5">
        <v>3003</v>
      </c>
      <c r="J1109" s="5" t="s">
        <v>22</v>
      </c>
      <c r="K1109" s="5" t="s">
        <v>23</v>
      </c>
      <c r="L1109" s="5" t="s">
        <v>31</v>
      </c>
      <c r="M1109" s="5" t="s">
        <v>284</v>
      </c>
      <c r="N1109" s="5" t="s">
        <v>53</v>
      </c>
      <c r="O1109" s="5">
        <v>128</v>
      </c>
      <c r="P1109" s="5"/>
      <c r="Q1109" s="5"/>
      <c r="R1109" s="8">
        <v>8.1018518518518516E-5</v>
      </c>
      <c r="S1109" s="5" t="s">
        <v>37</v>
      </c>
      <c r="T1109" t="str">
        <f>IF(Tabela1[[#This Row],[STATUS_NEGOCIO]]="Enviar E-mail",1,"")</f>
        <v/>
      </c>
      <c r="U1109" t="str">
        <f>TEXT(Tabela1[[#This Row],[DATA]],"dd/mm/aaaa")</f>
        <v>22/04/2026</v>
      </c>
    </row>
    <row r="1110" spans="1:21" x14ac:dyDescent="0.25">
      <c r="A1110" s="4">
        <v>46134.623078703706</v>
      </c>
      <c r="B1110" s="5" t="s">
        <v>19</v>
      </c>
      <c r="C1110" s="5" t="s">
        <v>37</v>
      </c>
      <c r="D1110" s="5">
        <v>478</v>
      </c>
      <c r="E1110" s="6">
        <v>45504294000127</v>
      </c>
      <c r="F1110" s="5">
        <v>478</v>
      </c>
      <c r="G1110" s="7">
        <v>177688063459101</v>
      </c>
      <c r="H1110" s="5" t="s">
        <v>590</v>
      </c>
      <c r="I1110" s="5">
        <v>3003</v>
      </c>
      <c r="J1110" s="5" t="s">
        <v>22</v>
      </c>
      <c r="K1110" s="5" t="s">
        <v>23</v>
      </c>
      <c r="L1110" s="5" t="s">
        <v>31</v>
      </c>
      <c r="M1110" s="5" t="s">
        <v>284</v>
      </c>
      <c r="N1110" s="5" t="s">
        <v>53</v>
      </c>
      <c r="O1110" s="5">
        <v>147</v>
      </c>
      <c r="P1110" s="5"/>
      <c r="Q1110" s="5"/>
      <c r="R1110" s="8">
        <v>5.7870370370370373E-5</v>
      </c>
      <c r="S1110" s="5" t="s">
        <v>37</v>
      </c>
      <c r="T1110" t="str">
        <f>IF(Tabela1[[#This Row],[STATUS_NEGOCIO]]="Enviar E-mail",1,"")</f>
        <v/>
      </c>
      <c r="U1110" t="str">
        <f>TEXT(Tabela1[[#This Row],[DATA]],"dd/mm/aaaa")</f>
        <v>22/04/2026</v>
      </c>
    </row>
    <row r="1111" spans="1:21" x14ac:dyDescent="0.25">
      <c r="A1111" s="4">
        <v>46134.623101851852</v>
      </c>
      <c r="B1111" s="5" t="s">
        <v>19</v>
      </c>
      <c r="C1111" s="5" t="s">
        <v>37</v>
      </c>
      <c r="D1111" s="5">
        <v>479</v>
      </c>
      <c r="E1111" s="6">
        <v>45618003000121</v>
      </c>
      <c r="F1111" s="5">
        <v>479</v>
      </c>
      <c r="G1111" s="7">
        <v>177688063659121</v>
      </c>
      <c r="H1111" s="5" t="s">
        <v>147</v>
      </c>
      <c r="I1111" s="5">
        <v>3003</v>
      </c>
      <c r="J1111" s="5" t="s">
        <v>22</v>
      </c>
      <c r="K1111" s="5" t="s">
        <v>23</v>
      </c>
      <c r="L1111" s="5" t="s">
        <v>31</v>
      </c>
      <c r="M1111" s="5" t="s">
        <v>284</v>
      </c>
      <c r="N1111" s="5" t="s">
        <v>53</v>
      </c>
      <c r="O1111" s="5">
        <v>128</v>
      </c>
      <c r="P1111" s="5"/>
      <c r="Q1111" s="5"/>
      <c r="R1111" s="8">
        <v>8.1018518518518516E-5</v>
      </c>
      <c r="S1111" s="5" t="s">
        <v>37</v>
      </c>
      <c r="T1111" t="str">
        <f>IF(Tabela1[[#This Row],[STATUS_NEGOCIO]]="Enviar E-mail",1,"")</f>
        <v/>
      </c>
      <c r="U1111" t="str">
        <f>TEXT(Tabela1[[#This Row],[DATA]],"dd/mm/aaaa")</f>
        <v>22/04/2026</v>
      </c>
    </row>
    <row r="1112" spans="1:21" x14ac:dyDescent="0.25">
      <c r="A1112" s="4">
        <v>46134.623113425929</v>
      </c>
      <c r="B1112" s="5" t="s">
        <v>19</v>
      </c>
      <c r="C1112" s="5" t="s">
        <v>37</v>
      </c>
      <c r="D1112" s="5">
        <v>480</v>
      </c>
      <c r="E1112" s="6">
        <v>45642764000119</v>
      </c>
      <c r="F1112" s="5">
        <v>480</v>
      </c>
      <c r="G1112" s="7">
        <v>177688063759131</v>
      </c>
      <c r="H1112" s="5" t="s">
        <v>591</v>
      </c>
      <c r="I1112" s="5">
        <v>3003</v>
      </c>
      <c r="J1112" s="5" t="s">
        <v>22</v>
      </c>
      <c r="K1112" s="5" t="s">
        <v>23</v>
      </c>
      <c r="L1112" s="5" t="s">
        <v>31</v>
      </c>
      <c r="M1112" s="5" t="s">
        <v>284</v>
      </c>
      <c r="N1112" s="5" t="s">
        <v>53</v>
      </c>
      <c r="O1112" s="5">
        <v>128</v>
      </c>
      <c r="P1112" s="5"/>
      <c r="Q1112" s="5"/>
      <c r="R1112" s="8">
        <v>8.1018518518518516E-5</v>
      </c>
      <c r="S1112" s="5" t="s">
        <v>37</v>
      </c>
      <c r="T1112" t="str">
        <f>IF(Tabela1[[#This Row],[STATUS_NEGOCIO]]="Enviar E-mail",1,"")</f>
        <v/>
      </c>
      <c r="U1112" t="str">
        <f>TEXT(Tabela1[[#This Row],[DATA]],"dd/mm/aaaa")</f>
        <v>22/04/2026</v>
      </c>
    </row>
    <row r="1113" spans="1:21" x14ac:dyDescent="0.25">
      <c r="A1113" s="4">
        <v>46134.623136574075</v>
      </c>
      <c r="B1113" s="5" t="s">
        <v>19</v>
      </c>
      <c r="C1113" s="5" t="s">
        <v>37</v>
      </c>
      <c r="D1113" s="5">
        <v>481</v>
      </c>
      <c r="E1113" s="6">
        <v>45654432000154</v>
      </c>
      <c r="F1113" s="5">
        <v>481</v>
      </c>
      <c r="G1113" s="7">
        <v>177688063959151</v>
      </c>
      <c r="H1113" s="5" t="s">
        <v>592</v>
      </c>
      <c r="I1113" s="5">
        <v>3003</v>
      </c>
      <c r="J1113" s="5" t="s">
        <v>22</v>
      </c>
      <c r="K1113" s="5" t="s">
        <v>23</v>
      </c>
      <c r="L1113" s="5" t="s">
        <v>31</v>
      </c>
      <c r="M1113" s="5" t="s">
        <v>284</v>
      </c>
      <c r="N1113" s="5" t="s">
        <v>53</v>
      </c>
      <c r="O1113" s="5">
        <v>147</v>
      </c>
      <c r="P1113" s="5"/>
      <c r="Q1113" s="5"/>
      <c r="R1113" s="8">
        <v>8.1018518518518516E-5</v>
      </c>
      <c r="S1113" s="5" t="s">
        <v>37</v>
      </c>
      <c r="T1113" t="str">
        <f>IF(Tabela1[[#This Row],[STATUS_NEGOCIO]]="Enviar E-mail",1,"")</f>
        <v/>
      </c>
      <c r="U1113" t="str">
        <f>TEXT(Tabela1[[#This Row],[DATA]],"dd/mm/aaaa")</f>
        <v>22/04/2026</v>
      </c>
    </row>
    <row r="1114" spans="1:21" x14ac:dyDescent="0.25">
      <c r="A1114" s="4">
        <v>46134.623171296298</v>
      </c>
      <c r="B1114" s="5" t="s">
        <v>19</v>
      </c>
      <c r="C1114" s="5" t="s">
        <v>37</v>
      </c>
      <c r="D1114" s="5">
        <v>482</v>
      </c>
      <c r="E1114" s="6">
        <v>46265059000102</v>
      </c>
      <c r="F1114" s="5">
        <v>482</v>
      </c>
      <c r="G1114" s="7">
        <v>177688064259171</v>
      </c>
      <c r="H1114" s="5" t="s">
        <v>593</v>
      </c>
      <c r="I1114" s="5" t="s">
        <v>52</v>
      </c>
      <c r="J1114" s="5" t="s">
        <v>22</v>
      </c>
      <c r="K1114" s="5" t="s">
        <v>36</v>
      </c>
      <c r="L1114" s="5" t="s">
        <v>36</v>
      </c>
      <c r="M1114" s="5" t="s">
        <v>284</v>
      </c>
      <c r="N1114" s="5" t="s">
        <v>53</v>
      </c>
      <c r="O1114" s="5">
        <v>1</v>
      </c>
      <c r="P1114" s="5"/>
      <c r="Q1114" s="5"/>
      <c r="R1114" s="8">
        <v>0</v>
      </c>
      <c r="S1114" s="5" t="s">
        <v>37</v>
      </c>
      <c r="T1114" t="str">
        <f>IF(Tabela1[[#This Row],[STATUS_NEGOCIO]]="Enviar E-mail",1,"")</f>
        <v/>
      </c>
      <c r="U1114" t="str">
        <f>TEXT(Tabela1[[#This Row],[DATA]],"dd/mm/aaaa")</f>
        <v>22/04/2026</v>
      </c>
    </row>
    <row r="1115" spans="1:21" x14ac:dyDescent="0.25">
      <c r="A1115" s="4">
        <v>46134.623171296298</v>
      </c>
      <c r="B1115" s="5" t="s">
        <v>19</v>
      </c>
      <c r="C1115" s="5" t="s">
        <v>37</v>
      </c>
      <c r="D1115" s="5">
        <v>483</v>
      </c>
      <c r="E1115" s="6">
        <v>46660690000106</v>
      </c>
      <c r="F1115" s="5">
        <v>483</v>
      </c>
      <c r="G1115" s="7">
        <v>177688064259181</v>
      </c>
      <c r="H1115" s="5" t="s">
        <v>594</v>
      </c>
      <c r="I1115" s="5">
        <v>3003</v>
      </c>
      <c r="J1115" s="5" t="s">
        <v>22</v>
      </c>
      <c r="K1115" s="5" t="s">
        <v>23</v>
      </c>
      <c r="L1115" s="5" t="s">
        <v>31</v>
      </c>
      <c r="M1115" s="5" t="s">
        <v>284</v>
      </c>
      <c r="N1115" s="5" t="s">
        <v>53</v>
      </c>
      <c r="O1115" s="5">
        <v>128</v>
      </c>
      <c r="P1115" s="5"/>
      <c r="Q1115" s="5"/>
      <c r="R1115" s="8">
        <v>8.1018518518518516E-5</v>
      </c>
      <c r="S1115" s="5" t="s">
        <v>37</v>
      </c>
      <c r="T1115" t="str">
        <f>IF(Tabela1[[#This Row],[STATUS_NEGOCIO]]="Enviar E-mail",1,"")</f>
        <v/>
      </c>
      <c r="U1115" t="str">
        <f>TEXT(Tabela1[[#This Row],[DATA]],"dd/mm/aaaa")</f>
        <v>22/04/2026</v>
      </c>
    </row>
    <row r="1116" spans="1:21" x14ac:dyDescent="0.25">
      <c r="A1116" s="4">
        <v>46134.623206018521</v>
      </c>
      <c r="B1116" s="5" t="s">
        <v>19</v>
      </c>
      <c r="C1116" s="5" t="s">
        <v>37</v>
      </c>
      <c r="D1116" s="5">
        <v>484</v>
      </c>
      <c r="E1116" s="6">
        <v>46884983000177</v>
      </c>
      <c r="F1116" s="5">
        <v>484</v>
      </c>
      <c r="G1116" s="7">
        <v>177688064559201</v>
      </c>
      <c r="H1116" s="5" t="s">
        <v>595</v>
      </c>
      <c r="I1116" s="5">
        <v>3003</v>
      </c>
      <c r="J1116" s="5" t="s">
        <v>22</v>
      </c>
      <c r="K1116" s="5" t="s">
        <v>23</v>
      </c>
      <c r="L1116" s="5" t="s">
        <v>31</v>
      </c>
      <c r="M1116" s="5" t="s">
        <v>284</v>
      </c>
      <c r="N1116" s="5" t="s">
        <v>53</v>
      </c>
      <c r="O1116" s="5">
        <v>128</v>
      </c>
      <c r="P1116" s="5"/>
      <c r="Q1116" s="5"/>
      <c r="R1116" s="8">
        <v>8.1018518518518516E-5</v>
      </c>
      <c r="S1116" s="5" t="s">
        <v>37</v>
      </c>
      <c r="T1116" t="str">
        <f>IF(Tabela1[[#This Row],[STATUS_NEGOCIO]]="Enviar E-mail",1,"")</f>
        <v/>
      </c>
      <c r="U1116" t="str">
        <f>TEXT(Tabela1[[#This Row],[DATA]],"dd/mm/aaaa")</f>
        <v>22/04/2026</v>
      </c>
    </row>
    <row r="1117" spans="1:21" x14ac:dyDescent="0.25">
      <c r="A1117" s="4">
        <v>46134.623252314814</v>
      </c>
      <c r="B1117" s="5" t="s">
        <v>19</v>
      </c>
      <c r="C1117" s="5" t="s">
        <v>37</v>
      </c>
      <c r="D1117" s="5">
        <v>485</v>
      </c>
      <c r="E1117" s="6">
        <v>46905043000117</v>
      </c>
      <c r="F1117" s="5">
        <v>485</v>
      </c>
      <c r="G1117" s="7">
        <v>177688064959221</v>
      </c>
      <c r="H1117" s="5" t="s">
        <v>596</v>
      </c>
      <c r="I1117" s="5" t="s">
        <v>52</v>
      </c>
      <c r="J1117" s="5" t="s">
        <v>22</v>
      </c>
      <c r="K1117" s="5" t="s">
        <v>36</v>
      </c>
      <c r="L1117" s="5" t="s">
        <v>36</v>
      </c>
      <c r="M1117" s="5" t="s">
        <v>284</v>
      </c>
      <c r="N1117" s="5" t="s">
        <v>53</v>
      </c>
      <c r="O1117" s="5">
        <v>19</v>
      </c>
      <c r="P1117" s="5"/>
      <c r="Q1117" s="5"/>
      <c r="R1117" s="8">
        <v>0</v>
      </c>
      <c r="S1117" s="5" t="s">
        <v>37</v>
      </c>
      <c r="T1117" t="str">
        <f>IF(Tabela1[[#This Row],[STATUS_NEGOCIO]]="Enviar E-mail",1,"")</f>
        <v/>
      </c>
      <c r="U1117" t="str">
        <f>TEXT(Tabela1[[#This Row],[DATA]],"dd/mm/aaaa")</f>
        <v>22/04/2026</v>
      </c>
    </row>
    <row r="1118" spans="1:21" x14ac:dyDescent="0.25">
      <c r="A1118" s="4">
        <v>46134.62327546296</v>
      </c>
      <c r="B1118" s="5" t="s">
        <v>19</v>
      </c>
      <c r="C1118" s="5" t="s">
        <v>37</v>
      </c>
      <c r="D1118" s="5">
        <v>486</v>
      </c>
      <c r="E1118" s="6">
        <v>47197932000130</v>
      </c>
      <c r="F1118" s="5">
        <v>486</v>
      </c>
      <c r="G1118" s="7">
        <v>177688065159251</v>
      </c>
      <c r="H1118" s="5" t="s">
        <v>427</v>
      </c>
      <c r="I1118" s="5">
        <v>3003</v>
      </c>
      <c r="J1118" s="5" t="s">
        <v>22</v>
      </c>
      <c r="K1118" s="5" t="s">
        <v>23</v>
      </c>
      <c r="L1118" s="5" t="s">
        <v>31</v>
      </c>
      <c r="M1118" s="5" t="s">
        <v>284</v>
      </c>
      <c r="N1118" s="5" t="s">
        <v>53</v>
      </c>
      <c r="O1118" s="5">
        <v>147</v>
      </c>
      <c r="P1118" s="5"/>
      <c r="Q1118" s="5"/>
      <c r="R1118" s="8">
        <v>8.1018518518518516E-5</v>
      </c>
      <c r="S1118" s="5" t="s">
        <v>37</v>
      </c>
      <c r="T1118" t="str">
        <f>IF(Tabela1[[#This Row],[STATUS_NEGOCIO]]="Enviar E-mail",1,"")</f>
        <v/>
      </c>
      <c r="U1118" t="str">
        <f>TEXT(Tabela1[[#This Row],[DATA]],"dd/mm/aaaa")</f>
        <v>22/04/2026</v>
      </c>
    </row>
    <row r="1119" spans="1:21" x14ac:dyDescent="0.25">
      <c r="A1119" s="4">
        <v>46134.62327546296</v>
      </c>
      <c r="B1119" s="5" t="s">
        <v>19</v>
      </c>
      <c r="C1119" s="5" t="s">
        <v>37</v>
      </c>
      <c r="D1119" s="5">
        <v>487</v>
      </c>
      <c r="E1119" s="6">
        <v>48145681000102</v>
      </c>
      <c r="F1119" s="5">
        <v>487</v>
      </c>
      <c r="G1119" s="7">
        <v>177688065159261</v>
      </c>
      <c r="H1119" s="5" t="s">
        <v>597</v>
      </c>
      <c r="I1119" s="5" t="s">
        <v>52</v>
      </c>
      <c r="J1119" s="5" t="s">
        <v>22</v>
      </c>
      <c r="K1119" s="5" t="s">
        <v>36</v>
      </c>
      <c r="L1119" s="5" t="s">
        <v>36</v>
      </c>
      <c r="M1119" s="5" t="s">
        <v>284</v>
      </c>
      <c r="N1119" s="5" t="s">
        <v>53</v>
      </c>
      <c r="O1119" s="5">
        <v>34</v>
      </c>
      <c r="P1119" s="5"/>
      <c r="Q1119" s="5"/>
      <c r="R1119" s="8">
        <v>0</v>
      </c>
      <c r="S1119" s="5" t="s">
        <v>37</v>
      </c>
      <c r="T1119" t="str">
        <f>IF(Tabela1[[#This Row],[STATUS_NEGOCIO]]="Enviar E-mail",1,"")</f>
        <v/>
      </c>
      <c r="U1119" t="str">
        <f>TEXT(Tabela1[[#This Row],[DATA]],"dd/mm/aaaa")</f>
        <v>22/04/2026</v>
      </c>
    </row>
    <row r="1120" spans="1:21" x14ac:dyDescent="0.25">
      <c r="A1120" s="4">
        <v>46134.62327546296</v>
      </c>
      <c r="B1120" s="5" t="s">
        <v>19</v>
      </c>
      <c r="C1120" s="5" t="s">
        <v>37</v>
      </c>
      <c r="D1120" s="5">
        <v>488</v>
      </c>
      <c r="E1120" s="6">
        <v>48319171000104</v>
      </c>
      <c r="F1120" s="5">
        <v>488</v>
      </c>
      <c r="G1120" s="7">
        <v>177688065159281</v>
      </c>
      <c r="H1120" s="5" t="s">
        <v>598</v>
      </c>
      <c r="I1120" s="5">
        <v>3003</v>
      </c>
      <c r="J1120" s="5" t="s">
        <v>22</v>
      </c>
      <c r="K1120" s="5" t="s">
        <v>23</v>
      </c>
      <c r="L1120" s="5" t="s">
        <v>31</v>
      </c>
      <c r="M1120" s="5" t="s">
        <v>284</v>
      </c>
      <c r="N1120" s="5" t="s">
        <v>53</v>
      </c>
      <c r="O1120" s="5">
        <v>128</v>
      </c>
      <c r="P1120" s="5"/>
      <c r="Q1120" s="5"/>
      <c r="R1120" s="8">
        <v>6.9444444444444444E-5</v>
      </c>
      <c r="S1120" s="5" t="s">
        <v>37</v>
      </c>
      <c r="T1120" t="str">
        <f>IF(Tabela1[[#This Row],[STATUS_NEGOCIO]]="Enviar E-mail",1,"")</f>
        <v/>
      </c>
      <c r="U1120" t="str">
        <f>TEXT(Tabela1[[#This Row],[DATA]],"dd/mm/aaaa")</f>
        <v>22/04/2026</v>
      </c>
    </row>
    <row r="1121" spans="1:21" x14ac:dyDescent="0.25">
      <c r="A1121" s="4">
        <v>46134.623356481483</v>
      </c>
      <c r="B1121" s="5" t="s">
        <v>19</v>
      </c>
      <c r="C1121" s="5" t="s">
        <v>37</v>
      </c>
      <c r="D1121" s="5">
        <v>489</v>
      </c>
      <c r="E1121" s="6">
        <v>48361628000149</v>
      </c>
      <c r="F1121" s="5">
        <v>489</v>
      </c>
      <c r="G1121" s="7">
        <v>177688065859301</v>
      </c>
      <c r="H1121" s="5" t="s">
        <v>599</v>
      </c>
      <c r="I1121" s="5">
        <v>3003</v>
      </c>
      <c r="J1121" s="5" t="s">
        <v>22</v>
      </c>
      <c r="K1121" s="5" t="s">
        <v>23</v>
      </c>
      <c r="L1121" s="5" t="s">
        <v>31</v>
      </c>
      <c r="M1121" s="5" t="s">
        <v>284</v>
      </c>
      <c r="N1121" s="5" t="s">
        <v>53</v>
      </c>
      <c r="O1121" s="5">
        <v>128</v>
      </c>
      <c r="P1121" s="5"/>
      <c r="Q1121" s="5"/>
      <c r="R1121" s="8">
        <v>8.1018518518518516E-5</v>
      </c>
      <c r="S1121" s="5" t="s">
        <v>37</v>
      </c>
      <c r="T1121" t="str">
        <f>IF(Tabela1[[#This Row],[STATUS_NEGOCIO]]="Enviar E-mail",1,"")</f>
        <v/>
      </c>
      <c r="U1121" t="str">
        <f>TEXT(Tabela1[[#This Row],[DATA]],"dd/mm/aaaa")</f>
        <v>22/04/2026</v>
      </c>
    </row>
    <row r="1122" spans="1:21" x14ac:dyDescent="0.25">
      <c r="A1122" s="4">
        <v>46134.623391203706</v>
      </c>
      <c r="B1122" s="5" t="s">
        <v>19</v>
      </c>
      <c r="C1122" s="5" t="s">
        <v>37</v>
      </c>
      <c r="D1122" s="5">
        <v>490</v>
      </c>
      <c r="E1122" s="6">
        <v>48762740000191</v>
      </c>
      <c r="F1122" s="5">
        <v>490</v>
      </c>
      <c r="G1122" s="7">
        <v>177688066159321</v>
      </c>
      <c r="H1122" s="5" t="s">
        <v>217</v>
      </c>
      <c r="I1122" s="5">
        <v>3003</v>
      </c>
      <c r="J1122" s="5" t="s">
        <v>22</v>
      </c>
      <c r="K1122" s="5" t="s">
        <v>23</v>
      </c>
      <c r="L1122" s="5" t="s">
        <v>31</v>
      </c>
      <c r="M1122" s="5" t="s">
        <v>284</v>
      </c>
      <c r="N1122" s="5" t="s">
        <v>53</v>
      </c>
      <c r="O1122" s="5">
        <v>128</v>
      </c>
      <c r="P1122" s="5"/>
      <c r="Q1122" s="5"/>
      <c r="R1122" s="8">
        <v>8.1018518518518516E-5</v>
      </c>
      <c r="S1122" s="5" t="s">
        <v>37</v>
      </c>
      <c r="T1122" t="str">
        <f>IF(Tabela1[[#This Row],[STATUS_NEGOCIO]]="Enviar E-mail",1,"")</f>
        <v/>
      </c>
      <c r="U1122" t="str">
        <f>TEXT(Tabela1[[#This Row],[DATA]],"dd/mm/aaaa")</f>
        <v>22/04/2026</v>
      </c>
    </row>
    <row r="1123" spans="1:21" x14ac:dyDescent="0.25">
      <c r="A1123" s="4">
        <v>46134.623402777775</v>
      </c>
      <c r="B1123" s="5" t="s">
        <v>19</v>
      </c>
      <c r="C1123" s="5" t="s">
        <v>37</v>
      </c>
      <c r="D1123" s="5">
        <v>491</v>
      </c>
      <c r="E1123" s="6">
        <v>48793273000167</v>
      </c>
      <c r="F1123" s="5">
        <v>491</v>
      </c>
      <c r="G1123" s="7">
        <v>177688066259331</v>
      </c>
      <c r="H1123" s="5" t="s">
        <v>600</v>
      </c>
      <c r="I1123" s="5">
        <v>3003</v>
      </c>
      <c r="J1123" s="5" t="s">
        <v>22</v>
      </c>
      <c r="K1123" s="5" t="s">
        <v>23</v>
      </c>
      <c r="L1123" s="5" t="s">
        <v>31</v>
      </c>
      <c r="M1123" s="5" t="s">
        <v>284</v>
      </c>
      <c r="N1123" s="5" t="s">
        <v>53</v>
      </c>
      <c r="O1123" s="5">
        <v>128</v>
      </c>
      <c r="P1123" s="5"/>
      <c r="Q1123" s="5"/>
      <c r="R1123" s="8">
        <v>8.1018518518518516E-5</v>
      </c>
      <c r="S1123" s="5" t="s">
        <v>37</v>
      </c>
      <c r="T1123" t="str">
        <f>IF(Tabela1[[#This Row],[STATUS_NEGOCIO]]="Enviar E-mail",1,"")</f>
        <v/>
      </c>
      <c r="U1123" t="str">
        <f>TEXT(Tabela1[[#This Row],[DATA]],"dd/mm/aaaa")</f>
        <v>22/04/2026</v>
      </c>
    </row>
    <row r="1124" spans="1:21" x14ac:dyDescent="0.25">
      <c r="A1124" s="4">
        <v>46134.623414351852</v>
      </c>
      <c r="B1124" s="5" t="s">
        <v>19</v>
      </c>
      <c r="C1124" s="5" t="s">
        <v>37</v>
      </c>
      <c r="D1124" s="5">
        <v>492</v>
      </c>
      <c r="E1124" s="6">
        <v>48968786000161</v>
      </c>
      <c r="F1124" s="5">
        <v>492</v>
      </c>
      <c r="G1124" s="7">
        <v>177688066359361</v>
      </c>
      <c r="H1124" s="5" t="s">
        <v>601</v>
      </c>
      <c r="I1124" s="5">
        <v>3003</v>
      </c>
      <c r="J1124" s="5" t="s">
        <v>22</v>
      </c>
      <c r="K1124" s="5" t="s">
        <v>23</v>
      </c>
      <c r="L1124" s="5" t="s">
        <v>31</v>
      </c>
      <c r="M1124" s="5" t="s">
        <v>284</v>
      </c>
      <c r="N1124" s="5" t="s">
        <v>53</v>
      </c>
      <c r="O1124" s="5">
        <v>128</v>
      </c>
      <c r="P1124" s="5"/>
      <c r="Q1124" s="5"/>
      <c r="R1124" s="8">
        <v>8.1018518518518516E-5</v>
      </c>
      <c r="S1124" s="5" t="s">
        <v>37</v>
      </c>
      <c r="T1124" t="str">
        <f>IF(Tabela1[[#This Row],[STATUS_NEGOCIO]]="Enviar E-mail",1,"")</f>
        <v/>
      </c>
      <c r="U1124" t="str">
        <f>TEXT(Tabela1[[#This Row],[DATA]],"dd/mm/aaaa")</f>
        <v>22/04/2026</v>
      </c>
    </row>
    <row r="1125" spans="1:21" x14ac:dyDescent="0.25">
      <c r="A1125" s="4">
        <v>46134.623425925929</v>
      </c>
      <c r="B1125" s="5" t="s">
        <v>19</v>
      </c>
      <c r="C1125" s="5" t="s">
        <v>37</v>
      </c>
      <c r="D1125" s="5">
        <v>493</v>
      </c>
      <c r="E1125" s="6">
        <v>49039587000131</v>
      </c>
      <c r="F1125" s="5">
        <v>493</v>
      </c>
      <c r="G1125" s="7">
        <v>177688066459371</v>
      </c>
      <c r="H1125" s="5" t="s">
        <v>602</v>
      </c>
      <c r="I1125" s="5">
        <v>3003</v>
      </c>
      <c r="J1125" s="5" t="s">
        <v>22</v>
      </c>
      <c r="K1125" s="5" t="s">
        <v>23</v>
      </c>
      <c r="L1125" s="5" t="s">
        <v>31</v>
      </c>
      <c r="M1125" s="5" t="s">
        <v>284</v>
      </c>
      <c r="N1125" s="5" t="s">
        <v>26</v>
      </c>
      <c r="O1125" s="5">
        <v>131</v>
      </c>
      <c r="P1125" s="5"/>
      <c r="Q1125" s="5"/>
      <c r="R1125" s="8">
        <v>1.1574074074074075E-4</v>
      </c>
      <c r="S1125" s="5" t="s">
        <v>37</v>
      </c>
      <c r="T1125" t="str">
        <f>IF(Tabela1[[#This Row],[STATUS_NEGOCIO]]="Enviar E-mail",1,"")</f>
        <v/>
      </c>
      <c r="U1125" t="str">
        <f>TEXT(Tabela1[[#This Row],[DATA]],"dd/mm/aaaa")</f>
        <v>22/04/2026</v>
      </c>
    </row>
    <row r="1126" spans="1:21" x14ac:dyDescent="0.25">
      <c r="A1126" s="4">
        <v>46134.623483796298</v>
      </c>
      <c r="B1126" s="5" t="s">
        <v>19</v>
      </c>
      <c r="C1126" s="5" t="s">
        <v>37</v>
      </c>
      <c r="D1126" s="5">
        <v>494</v>
      </c>
      <c r="E1126" s="6">
        <v>49310128000140</v>
      </c>
      <c r="F1126" s="5">
        <v>494</v>
      </c>
      <c r="G1126" s="7">
        <v>177688066959421</v>
      </c>
      <c r="H1126" s="5" t="s">
        <v>269</v>
      </c>
      <c r="I1126" s="5">
        <v>3003</v>
      </c>
      <c r="J1126" s="5" t="s">
        <v>22</v>
      </c>
      <c r="K1126" s="5" t="s">
        <v>23</v>
      </c>
      <c r="L1126" s="5" t="s">
        <v>31</v>
      </c>
      <c r="M1126" s="5" t="s">
        <v>284</v>
      </c>
      <c r="N1126" s="5" t="s">
        <v>53</v>
      </c>
      <c r="O1126" s="5">
        <v>147</v>
      </c>
      <c r="P1126" s="5"/>
      <c r="Q1126" s="5"/>
      <c r="R1126" s="8">
        <v>8.1018518518518516E-5</v>
      </c>
      <c r="S1126" s="5" t="s">
        <v>37</v>
      </c>
      <c r="T1126" t="str">
        <f>IF(Tabela1[[#This Row],[STATUS_NEGOCIO]]="Enviar E-mail",1,"")</f>
        <v/>
      </c>
      <c r="U1126" t="str">
        <f>TEXT(Tabela1[[#This Row],[DATA]],"dd/mm/aaaa")</f>
        <v>22/04/2026</v>
      </c>
    </row>
    <row r="1127" spans="1:21" x14ac:dyDescent="0.25">
      <c r="A1127" s="4">
        <v>46134.623541666668</v>
      </c>
      <c r="B1127" s="5" t="s">
        <v>19</v>
      </c>
      <c r="C1127" s="5" t="s">
        <v>37</v>
      </c>
      <c r="D1127" s="5">
        <v>495</v>
      </c>
      <c r="E1127" s="6">
        <v>49419902000156</v>
      </c>
      <c r="F1127" s="5">
        <v>495</v>
      </c>
      <c r="G1127" s="7">
        <v>177688067459481</v>
      </c>
      <c r="H1127" s="5" t="s">
        <v>603</v>
      </c>
      <c r="I1127" s="5">
        <v>3003</v>
      </c>
      <c r="J1127" s="5" t="s">
        <v>22</v>
      </c>
      <c r="K1127" s="5" t="s">
        <v>23</v>
      </c>
      <c r="L1127" s="5" t="s">
        <v>31</v>
      </c>
      <c r="M1127" s="5" t="s">
        <v>284</v>
      </c>
      <c r="N1127" s="5" t="s">
        <v>53</v>
      </c>
      <c r="O1127" s="5">
        <v>128</v>
      </c>
      <c r="P1127" s="5"/>
      <c r="Q1127" s="5"/>
      <c r="R1127" s="8">
        <v>8.1018518518518516E-5</v>
      </c>
      <c r="S1127" s="5" t="s">
        <v>37</v>
      </c>
      <c r="T1127" t="str">
        <f>IF(Tabela1[[#This Row],[STATUS_NEGOCIO]]="Enviar E-mail",1,"")</f>
        <v/>
      </c>
      <c r="U1127" t="str">
        <f>TEXT(Tabela1[[#This Row],[DATA]],"dd/mm/aaaa")</f>
        <v>22/04/2026</v>
      </c>
    </row>
    <row r="1128" spans="1:21" x14ac:dyDescent="0.25">
      <c r="A1128" s="4">
        <v>46134.623576388891</v>
      </c>
      <c r="B1128" s="5" t="s">
        <v>19</v>
      </c>
      <c r="C1128" s="5" t="s">
        <v>27</v>
      </c>
      <c r="D1128" s="5">
        <v>496</v>
      </c>
      <c r="E1128" s="6">
        <v>49569914000167</v>
      </c>
      <c r="F1128" s="5">
        <v>496</v>
      </c>
      <c r="G1128" s="7">
        <v>177688067759501</v>
      </c>
      <c r="H1128" s="5" t="s">
        <v>255</v>
      </c>
      <c r="I1128" s="5">
        <v>3003</v>
      </c>
      <c r="J1128" s="5" t="s">
        <v>22</v>
      </c>
      <c r="K1128" s="5" t="s">
        <v>23</v>
      </c>
      <c r="L1128" s="5" t="s">
        <v>40</v>
      </c>
      <c r="M1128" s="5" t="s">
        <v>284</v>
      </c>
      <c r="N1128" s="5" t="s">
        <v>26</v>
      </c>
      <c r="O1128" s="5">
        <v>16</v>
      </c>
      <c r="P1128" s="5"/>
      <c r="Q1128" s="5"/>
      <c r="R1128" s="8">
        <v>1.5277777777777779E-3</v>
      </c>
      <c r="S1128" s="8">
        <v>1.4930555555555556E-3</v>
      </c>
      <c r="T1128">
        <f>IF(Tabela1[[#This Row],[STATUS_NEGOCIO]]="Enviar E-mail",1,"")</f>
        <v>1</v>
      </c>
      <c r="U1128" t="str">
        <f>TEXT(Tabela1[[#This Row],[DATA]],"dd/mm/aaaa")</f>
        <v>22/04/2026</v>
      </c>
    </row>
    <row r="1129" spans="1:21" x14ac:dyDescent="0.25">
      <c r="A1129" s="4">
        <v>46134.623599537037</v>
      </c>
      <c r="B1129" s="5" t="s">
        <v>19</v>
      </c>
      <c r="C1129" s="5" t="s">
        <v>37</v>
      </c>
      <c r="D1129" s="5">
        <v>497</v>
      </c>
      <c r="E1129" s="6">
        <v>49606616000108</v>
      </c>
      <c r="F1129" s="5">
        <v>497</v>
      </c>
      <c r="G1129" s="7">
        <v>177688067959521</v>
      </c>
      <c r="H1129" s="5" t="s">
        <v>604</v>
      </c>
      <c r="I1129" s="5">
        <v>3003</v>
      </c>
      <c r="J1129" s="5" t="s">
        <v>22</v>
      </c>
      <c r="K1129" s="5" t="s">
        <v>23</v>
      </c>
      <c r="L1129" s="5" t="s">
        <v>31</v>
      </c>
      <c r="M1129" s="5" t="s">
        <v>284</v>
      </c>
      <c r="N1129" s="5" t="s">
        <v>53</v>
      </c>
      <c r="O1129" s="5">
        <v>128</v>
      </c>
      <c r="P1129" s="5"/>
      <c r="Q1129" s="5"/>
      <c r="R1129" s="8">
        <v>8.1018518518518516E-5</v>
      </c>
      <c r="S1129" s="5" t="s">
        <v>37</v>
      </c>
      <c r="T1129" t="str">
        <f>IF(Tabela1[[#This Row],[STATUS_NEGOCIO]]="Enviar E-mail",1,"")</f>
        <v/>
      </c>
      <c r="U1129" t="str">
        <f>TEXT(Tabela1[[#This Row],[DATA]],"dd/mm/aaaa")</f>
        <v>22/04/2026</v>
      </c>
    </row>
    <row r="1130" spans="1:21" x14ac:dyDescent="0.25">
      <c r="A1130" s="4">
        <v>46134.623715277776</v>
      </c>
      <c r="B1130" s="5" t="s">
        <v>19</v>
      </c>
      <c r="C1130" s="5" t="s">
        <v>37</v>
      </c>
      <c r="D1130" s="5">
        <v>498</v>
      </c>
      <c r="E1130" s="6">
        <v>49876067000183</v>
      </c>
      <c r="F1130" s="5">
        <v>498</v>
      </c>
      <c r="G1130" s="7">
        <v>177688068959641</v>
      </c>
      <c r="H1130" s="5" t="s">
        <v>185</v>
      </c>
      <c r="I1130" s="5">
        <v>3003</v>
      </c>
      <c r="J1130" s="5" t="s">
        <v>22</v>
      </c>
      <c r="K1130" s="5" t="s">
        <v>23</v>
      </c>
      <c r="L1130" s="5" t="s">
        <v>31</v>
      </c>
      <c r="M1130" s="5" t="s">
        <v>284</v>
      </c>
      <c r="N1130" s="5" t="s">
        <v>26</v>
      </c>
      <c r="O1130" s="5">
        <v>131</v>
      </c>
      <c r="P1130" s="5"/>
      <c r="Q1130" s="5"/>
      <c r="R1130" s="8">
        <v>5.7870370370370373E-5</v>
      </c>
      <c r="S1130" s="5" t="s">
        <v>37</v>
      </c>
      <c r="T1130" t="str">
        <f>IF(Tabela1[[#This Row],[STATUS_NEGOCIO]]="Enviar E-mail",1,"")</f>
        <v/>
      </c>
      <c r="U1130" t="str">
        <f>TEXT(Tabela1[[#This Row],[DATA]],"dd/mm/aaaa")</f>
        <v>22/04/2026</v>
      </c>
    </row>
    <row r="1131" spans="1:21" x14ac:dyDescent="0.25">
      <c r="A1131" s="4">
        <v>46134.623715277776</v>
      </c>
      <c r="B1131" s="5" t="s">
        <v>19</v>
      </c>
      <c r="C1131" s="5" t="s">
        <v>37</v>
      </c>
      <c r="D1131" s="5">
        <v>499</v>
      </c>
      <c r="E1131" s="6">
        <v>49895195000174</v>
      </c>
      <c r="F1131" s="5">
        <v>499</v>
      </c>
      <c r="G1131" s="7">
        <v>177688068959651</v>
      </c>
      <c r="H1131" s="5" t="s">
        <v>74</v>
      </c>
      <c r="I1131" s="5">
        <v>3003</v>
      </c>
      <c r="J1131" s="5" t="s">
        <v>22</v>
      </c>
      <c r="K1131" s="5" t="s">
        <v>23</v>
      </c>
      <c r="L1131" s="5" t="s">
        <v>31</v>
      </c>
      <c r="M1131" s="5" t="s">
        <v>284</v>
      </c>
      <c r="N1131" s="5" t="s">
        <v>53</v>
      </c>
      <c r="O1131" s="5">
        <v>128</v>
      </c>
      <c r="P1131" s="5"/>
      <c r="Q1131" s="5"/>
      <c r="R1131" s="8">
        <v>8.1018518518518516E-5</v>
      </c>
      <c r="S1131" s="5" t="s">
        <v>37</v>
      </c>
      <c r="T1131" t="str">
        <f>IF(Tabela1[[#This Row],[STATUS_NEGOCIO]]="Enviar E-mail",1,"")</f>
        <v/>
      </c>
      <c r="U1131" t="str">
        <f>TEXT(Tabela1[[#This Row],[DATA]],"dd/mm/aaaa")</f>
        <v>22/04/2026</v>
      </c>
    </row>
    <row r="1132" spans="1:21" x14ac:dyDescent="0.25">
      <c r="A1132" s="4">
        <v>46134.623715277776</v>
      </c>
      <c r="B1132" s="5" t="s">
        <v>19</v>
      </c>
      <c r="C1132" s="5" t="s">
        <v>37</v>
      </c>
      <c r="D1132" s="5">
        <v>500</v>
      </c>
      <c r="E1132" s="6">
        <v>50253555000113</v>
      </c>
      <c r="F1132" s="5">
        <v>500</v>
      </c>
      <c r="G1132" s="7">
        <v>177688068959661</v>
      </c>
      <c r="H1132" s="5" t="s">
        <v>605</v>
      </c>
      <c r="I1132" s="5">
        <v>3003</v>
      </c>
      <c r="J1132" s="5" t="s">
        <v>22</v>
      </c>
      <c r="K1132" s="5" t="s">
        <v>23</v>
      </c>
      <c r="L1132" s="5" t="s">
        <v>31</v>
      </c>
      <c r="M1132" s="5" t="s">
        <v>284</v>
      </c>
      <c r="N1132" s="5" t="s">
        <v>53</v>
      </c>
      <c r="O1132" s="5">
        <v>128</v>
      </c>
      <c r="P1132" s="5"/>
      <c r="Q1132" s="5"/>
      <c r="R1132" s="8">
        <v>8.1018518518518516E-5</v>
      </c>
      <c r="S1132" s="5" t="s">
        <v>37</v>
      </c>
      <c r="T1132" t="str">
        <f>IF(Tabela1[[#This Row],[STATUS_NEGOCIO]]="Enviar E-mail",1,"")</f>
        <v/>
      </c>
      <c r="U1132" t="str">
        <f>TEXT(Tabela1[[#This Row],[DATA]],"dd/mm/aaaa")</f>
        <v>22/04/2026</v>
      </c>
    </row>
    <row r="1133" spans="1:21" x14ac:dyDescent="0.25">
      <c r="A1133" s="4">
        <v>46134.623715277776</v>
      </c>
      <c r="B1133" s="5" t="s">
        <v>19</v>
      </c>
      <c r="C1133" s="5" t="s">
        <v>37</v>
      </c>
      <c r="D1133" s="5">
        <v>501</v>
      </c>
      <c r="E1133" s="6">
        <v>50300325000168</v>
      </c>
      <c r="F1133" s="5">
        <v>501</v>
      </c>
      <c r="G1133" s="7">
        <v>177688068959671</v>
      </c>
      <c r="H1133" s="5" t="s">
        <v>606</v>
      </c>
      <c r="I1133" s="5">
        <v>3003</v>
      </c>
      <c r="J1133" s="5" t="s">
        <v>22</v>
      </c>
      <c r="K1133" s="5" t="s">
        <v>23</v>
      </c>
      <c r="L1133" s="5" t="s">
        <v>31</v>
      </c>
      <c r="M1133" s="5" t="s">
        <v>284</v>
      </c>
      <c r="N1133" s="5" t="s">
        <v>53</v>
      </c>
      <c r="O1133" s="5">
        <v>128</v>
      </c>
      <c r="P1133" s="5"/>
      <c r="Q1133" s="5"/>
      <c r="R1133" s="8">
        <v>6.9444444444444444E-5</v>
      </c>
      <c r="S1133" s="5" t="s">
        <v>37</v>
      </c>
      <c r="T1133" t="str">
        <f>IF(Tabela1[[#This Row],[STATUS_NEGOCIO]]="Enviar E-mail",1,"")</f>
        <v/>
      </c>
      <c r="U1133" t="str">
        <f>TEXT(Tabela1[[#This Row],[DATA]],"dd/mm/aaaa")</f>
        <v>22/04/2026</v>
      </c>
    </row>
    <row r="1134" spans="1:21" x14ac:dyDescent="0.25">
      <c r="A1134" s="4">
        <v>46134.623819444445</v>
      </c>
      <c r="B1134" s="5" t="s">
        <v>19</v>
      </c>
      <c r="C1134" s="5" t="s">
        <v>37</v>
      </c>
      <c r="D1134" s="5">
        <v>502</v>
      </c>
      <c r="E1134" s="6">
        <v>50884703000106</v>
      </c>
      <c r="F1134" s="5">
        <v>502</v>
      </c>
      <c r="G1134" s="7">
        <v>177688069859701</v>
      </c>
      <c r="H1134" s="5" t="s">
        <v>607</v>
      </c>
      <c r="I1134" s="5">
        <v>3003</v>
      </c>
      <c r="J1134" s="5" t="s">
        <v>22</v>
      </c>
      <c r="K1134" s="5" t="s">
        <v>23</v>
      </c>
      <c r="L1134" s="5" t="s">
        <v>31</v>
      </c>
      <c r="M1134" s="5" t="s">
        <v>284</v>
      </c>
      <c r="N1134" s="5" t="s">
        <v>53</v>
      </c>
      <c r="O1134" s="5">
        <v>128</v>
      </c>
      <c r="P1134" s="5"/>
      <c r="Q1134" s="5"/>
      <c r="R1134" s="8">
        <v>8.1018518518518516E-5</v>
      </c>
      <c r="S1134" s="5" t="s">
        <v>37</v>
      </c>
      <c r="T1134" t="str">
        <f>IF(Tabela1[[#This Row],[STATUS_NEGOCIO]]="Enviar E-mail",1,"")</f>
        <v/>
      </c>
      <c r="U1134" t="str">
        <f>TEXT(Tabela1[[#This Row],[DATA]],"dd/mm/aaaa")</f>
        <v>22/04/2026</v>
      </c>
    </row>
    <row r="1135" spans="1:21" x14ac:dyDescent="0.25">
      <c r="A1135" s="4">
        <v>46134.623842592591</v>
      </c>
      <c r="B1135" s="5" t="s">
        <v>19</v>
      </c>
      <c r="C1135" s="5" t="s">
        <v>37</v>
      </c>
      <c r="D1135" s="5">
        <v>503</v>
      </c>
      <c r="E1135" s="6">
        <v>51081827000108</v>
      </c>
      <c r="F1135" s="5">
        <v>503</v>
      </c>
      <c r="G1135" s="7">
        <v>177688070059721</v>
      </c>
      <c r="H1135" s="5" t="s">
        <v>279</v>
      </c>
      <c r="I1135" s="5">
        <v>3003</v>
      </c>
      <c r="J1135" s="5" t="s">
        <v>22</v>
      </c>
      <c r="K1135" s="5" t="s">
        <v>23</v>
      </c>
      <c r="L1135" s="5" t="s">
        <v>31</v>
      </c>
      <c r="M1135" s="5" t="s">
        <v>284</v>
      </c>
      <c r="N1135" s="5" t="s">
        <v>26</v>
      </c>
      <c r="O1135" s="5">
        <v>131</v>
      </c>
      <c r="P1135" s="5"/>
      <c r="Q1135" s="5"/>
      <c r="R1135" s="8">
        <v>8.1018518518518516E-5</v>
      </c>
      <c r="S1135" s="5" t="s">
        <v>37</v>
      </c>
      <c r="T1135" t="str">
        <f>IF(Tabela1[[#This Row],[STATUS_NEGOCIO]]="Enviar E-mail",1,"")</f>
        <v/>
      </c>
      <c r="U1135" t="str">
        <f>TEXT(Tabela1[[#This Row],[DATA]],"dd/mm/aaaa")</f>
        <v>22/04/2026</v>
      </c>
    </row>
    <row r="1136" spans="1:21" x14ac:dyDescent="0.25">
      <c r="A1136" s="4">
        <v>46134.623865740738</v>
      </c>
      <c r="B1136" s="5" t="s">
        <v>19</v>
      </c>
      <c r="C1136" s="5" t="s">
        <v>37</v>
      </c>
      <c r="D1136" s="5">
        <v>504</v>
      </c>
      <c r="E1136" s="6">
        <v>51318932000118</v>
      </c>
      <c r="F1136" s="5">
        <v>504</v>
      </c>
      <c r="G1136" s="7">
        <v>177688070259751</v>
      </c>
      <c r="H1136" s="5" t="s">
        <v>72</v>
      </c>
      <c r="I1136" s="5" t="s">
        <v>52</v>
      </c>
      <c r="J1136" s="5" t="s">
        <v>22</v>
      </c>
      <c r="K1136" s="5" t="s">
        <v>36</v>
      </c>
      <c r="L1136" s="5" t="s">
        <v>36</v>
      </c>
      <c r="M1136" s="5" t="s">
        <v>284</v>
      </c>
      <c r="N1136" s="5" t="s">
        <v>53</v>
      </c>
      <c r="O1136" s="5">
        <v>19</v>
      </c>
      <c r="P1136" s="5"/>
      <c r="Q1136" s="5"/>
      <c r="R1136" s="8">
        <v>0</v>
      </c>
      <c r="S1136" s="5" t="s">
        <v>37</v>
      </c>
      <c r="T1136" t="str">
        <f>IF(Tabela1[[#This Row],[STATUS_NEGOCIO]]="Enviar E-mail",1,"")</f>
        <v/>
      </c>
      <c r="U1136" t="str">
        <f>TEXT(Tabela1[[#This Row],[DATA]],"dd/mm/aaaa")</f>
        <v>22/04/2026</v>
      </c>
    </row>
    <row r="1137" spans="1:21" x14ac:dyDescent="0.25">
      <c r="A1137" s="4">
        <v>46134.623865740738</v>
      </c>
      <c r="B1137" s="5" t="s">
        <v>19</v>
      </c>
      <c r="C1137" s="5" t="s">
        <v>37</v>
      </c>
      <c r="D1137" s="5">
        <v>505</v>
      </c>
      <c r="E1137" s="6">
        <v>51780829000195</v>
      </c>
      <c r="F1137" s="5">
        <v>505</v>
      </c>
      <c r="G1137" s="7">
        <v>177688070259761</v>
      </c>
      <c r="H1137" s="5" t="s">
        <v>132</v>
      </c>
      <c r="I1137" s="5">
        <v>3003</v>
      </c>
      <c r="J1137" s="5" t="s">
        <v>22</v>
      </c>
      <c r="K1137" s="5" t="s">
        <v>23</v>
      </c>
      <c r="L1137" s="5" t="s">
        <v>31</v>
      </c>
      <c r="M1137" s="5" t="s">
        <v>284</v>
      </c>
      <c r="N1137" s="5" t="s">
        <v>53</v>
      </c>
      <c r="O1137" s="5">
        <v>128</v>
      </c>
      <c r="P1137" s="5"/>
      <c r="Q1137" s="5"/>
      <c r="R1137" s="8">
        <v>8.1018518518518516E-5</v>
      </c>
      <c r="S1137" s="5" t="s">
        <v>37</v>
      </c>
      <c r="T1137" t="str">
        <f>IF(Tabela1[[#This Row],[STATUS_NEGOCIO]]="Enviar E-mail",1,"")</f>
        <v/>
      </c>
      <c r="U1137" t="str">
        <f>TEXT(Tabela1[[#This Row],[DATA]],"dd/mm/aaaa")</f>
        <v>22/04/2026</v>
      </c>
    </row>
    <row r="1138" spans="1:21" x14ac:dyDescent="0.25">
      <c r="A1138" s="4">
        <v>46134.623865740738</v>
      </c>
      <c r="B1138" s="5" t="s">
        <v>19</v>
      </c>
      <c r="C1138" s="5" t="s">
        <v>37</v>
      </c>
      <c r="D1138" s="5">
        <v>506</v>
      </c>
      <c r="E1138" s="6">
        <v>52007964000165</v>
      </c>
      <c r="F1138" s="5">
        <v>506</v>
      </c>
      <c r="G1138" s="7">
        <v>177688070259771</v>
      </c>
      <c r="H1138" s="5" t="s">
        <v>187</v>
      </c>
      <c r="I1138" s="5">
        <v>3003</v>
      </c>
      <c r="J1138" s="5" t="s">
        <v>22</v>
      </c>
      <c r="K1138" s="5" t="s">
        <v>23</v>
      </c>
      <c r="L1138" s="5" t="s">
        <v>31</v>
      </c>
      <c r="M1138" s="5" t="s">
        <v>284</v>
      </c>
      <c r="N1138" s="5" t="s">
        <v>53</v>
      </c>
      <c r="O1138" s="5">
        <v>128</v>
      </c>
      <c r="P1138" s="5"/>
      <c r="Q1138" s="5"/>
      <c r="R1138" s="8">
        <v>8.1018518518518516E-5</v>
      </c>
      <c r="S1138" s="5" t="s">
        <v>37</v>
      </c>
      <c r="T1138" t="str">
        <f>IF(Tabela1[[#This Row],[STATUS_NEGOCIO]]="Enviar E-mail",1,"")</f>
        <v/>
      </c>
      <c r="U1138" t="str">
        <f>TEXT(Tabela1[[#This Row],[DATA]],"dd/mm/aaaa")</f>
        <v>22/04/2026</v>
      </c>
    </row>
    <row r="1139" spans="1:21" x14ac:dyDescent="0.25">
      <c r="A1139" s="4">
        <v>46134.624120370368</v>
      </c>
      <c r="B1139" s="5" t="s">
        <v>19</v>
      </c>
      <c r="C1139" s="5" t="s">
        <v>37</v>
      </c>
      <c r="D1139" s="5">
        <v>507</v>
      </c>
      <c r="E1139" s="6">
        <v>53060069000177</v>
      </c>
      <c r="F1139" s="5">
        <v>507</v>
      </c>
      <c r="G1139" s="7">
        <v>177688072459851</v>
      </c>
      <c r="H1139" s="5" t="s">
        <v>608</v>
      </c>
      <c r="I1139" s="5">
        <v>3003</v>
      </c>
      <c r="J1139" s="5" t="s">
        <v>22</v>
      </c>
      <c r="K1139" s="5" t="s">
        <v>23</v>
      </c>
      <c r="L1139" s="5" t="s">
        <v>31</v>
      </c>
      <c r="M1139" s="5" t="s">
        <v>284</v>
      </c>
      <c r="N1139" s="5" t="s">
        <v>26</v>
      </c>
      <c r="O1139" s="5">
        <v>131</v>
      </c>
      <c r="P1139" s="5"/>
      <c r="Q1139" s="5"/>
      <c r="R1139" s="8">
        <v>9.2592592592592588E-5</v>
      </c>
      <c r="S1139" s="5" t="s">
        <v>37</v>
      </c>
      <c r="T1139" t="str">
        <f>IF(Tabela1[[#This Row],[STATUS_NEGOCIO]]="Enviar E-mail",1,"")</f>
        <v/>
      </c>
      <c r="U1139" t="str">
        <f>TEXT(Tabela1[[#This Row],[DATA]],"dd/mm/aaaa")</f>
        <v>22/04/2026</v>
      </c>
    </row>
    <row r="1140" spans="1:21" x14ac:dyDescent="0.25">
      <c r="A1140" s="4">
        <v>46134.624120370368</v>
      </c>
      <c r="B1140" s="5" t="s">
        <v>19</v>
      </c>
      <c r="C1140" s="5" t="s">
        <v>37</v>
      </c>
      <c r="D1140" s="5">
        <v>508</v>
      </c>
      <c r="E1140" s="6">
        <v>53105568000133</v>
      </c>
      <c r="F1140" s="5">
        <v>508</v>
      </c>
      <c r="G1140" s="7">
        <v>177688072459871</v>
      </c>
      <c r="H1140" s="5" t="s">
        <v>609</v>
      </c>
      <c r="I1140" s="5">
        <v>3003</v>
      </c>
      <c r="J1140" s="5" t="s">
        <v>22</v>
      </c>
      <c r="K1140" s="5" t="s">
        <v>23</v>
      </c>
      <c r="L1140" s="5" t="s">
        <v>31</v>
      </c>
      <c r="M1140" s="5" t="s">
        <v>284</v>
      </c>
      <c r="N1140" s="5" t="s">
        <v>53</v>
      </c>
      <c r="O1140" s="5">
        <v>128</v>
      </c>
      <c r="P1140" s="5"/>
      <c r="Q1140" s="5"/>
      <c r="R1140" s="8">
        <v>6.9444444444444444E-5</v>
      </c>
      <c r="S1140" s="5" t="s">
        <v>37</v>
      </c>
      <c r="T1140" t="str">
        <f>IF(Tabela1[[#This Row],[STATUS_NEGOCIO]]="Enviar E-mail",1,"")</f>
        <v/>
      </c>
      <c r="U1140" t="str">
        <f>TEXT(Tabela1[[#This Row],[DATA]],"dd/mm/aaaa")</f>
        <v>22/04/2026</v>
      </c>
    </row>
    <row r="1141" spans="1:21" x14ac:dyDescent="0.25">
      <c r="A1141" s="4">
        <v>46134.624131944445</v>
      </c>
      <c r="B1141" s="5" t="s">
        <v>19</v>
      </c>
      <c r="C1141" s="5" t="s">
        <v>37</v>
      </c>
      <c r="D1141" s="5">
        <v>509</v>
      </c>
      <c r="E1141" s="6">
        <v>53116705000135</v>
      </c>
      <c r="F1141" s="5">
        <v>509</v>
      </c>
      <c r="G1141" s="7">
        <v>177688072559891</v>
      </c>
      <c r="H1141" s="5" t="s">
        <v>610</v>
      </c>
      <c r="I1141" s="5">
        <v>3003</v>
      </c>
      <c r="J1141" s="5" t="s">
        <v>22</v>
      </c>
      <c r="K1141" s="5" t="s">
        <v>23</v>
      </c>
      <c r="L1141" s="5" t="s">
        <v>31</v>
      </c>
      <c r="M1141" s="5" t="s">
        <v>284</v>
      </c>
      <c r="N1141" s="5" t="s">
        <v>53</v>
      </c>
      <c r="O1141" s="5">
        <v>128</v>
      </c>
      <c r="P1141" s="5"/>
      <c r="Q1141" s="5"/>
      <c r="R1141" s="8">
        <v>8.1018518518518516E-5</v>
      </c>
      <c r="S1141" s="5" t="s">
        <v>37</v>
      </c>
      <c r="T1141" t="str">
        <f>IF(Tabela1[[#This Row],[STATUS_NEGOCIO]]="Enviar E-mail",1,"")</f>
        <v/>
      </c>
      <c r="U1141" t="str">
        <f>TEXT(Tabela1[[#This Row],[DATA]],"dd/mm/aaaa")</f>
        <v>22/04/2026</v>
      </c>
    </row>
    <row r="1142" spans="1:21" x14ac:dyDescent="0.25">
      <c r="A1142" s="4">
        <v>46134.624178240738</v>
      </c>
      <c r="B1142" s="5" t="s">
        <v>19</v>
      </c>
      <c r="C1142" s="5" t="s">
        <v>37</v>
      </c>
      <c r="D1142" s="5">
        <v>510</v>
      </c>
      <c r="E1142" s="6">
        <v>53135563000153</v>
      </c>
      <c r="F1142" s="5">
        <v>510</v>
      </c>
      <c r="G1142" s="7">
        <v>177688072959911</v>
      </c>
      <c r="H1142" s="5" t="s">
        <v>611</v>
      </c>
      <c r="I1142" s="5">
        <v>3003</v>
      </c>
      <c r="J1142" s="5" t="s">
        <v>22</v>
      </c>
      <c r="K1142" s="5" t="s">
        <v>23</v>
      </c>
      <c r="L1142" s="5" t="s">
        <v>31</v>
      </c>
      <c r="M1142" s="5" t="s">
        <v>284</v>
      </c>
      <c r="N1142" s="5" t="s">
        <v>53</v>
      </c>
      <c r="O1142" s="5">
        <v>128</v>
      </c>
      <c r="P1142" s="5"/>
      <c r="Q1142" s="5"/>
      <c r="R1142" s="8">
        <v>5.7870370370370373E-5</v>
      </c>
      <c r="S1142" s="5" t="s">
        <v>37</v>
      </c>
      <c r="T1142" t="str">
        <f>IF(Tabela1[[#This Row],[STATUS_NEGOCIO]]="Enviar E-mail",1,"")</f>
        <v/>
      </c>
      <c r="U1142" t="str">
        <f>TEXT(Tabela1[[#This Row],[DATA]],"dd/mm/aaaa")</f>
        <v>22/04/2026</v>
      </c>
    </row>
    <row r="1143" spans="1:21" x14ac:dyDescent="0.25">
      <c r="A1143" s="4">
        <v>46134.624340277776</v>
      </c>
      <c r="B1143" s="5" t="s">
        <v>19</v>
      </c>
      <c r="C1143" s="5" t="s">
        <v>37</v>
      </c>
      <c r="D1143" s="5">
        <v>511</v>
      </c>
      <c r="E1143" s="6">
        <v>53159230000164</v>
      </c>
      <c r="F1143" s="5">
        <v>511</v>
      </c>
      <c r="G1143" s="7">
        <v>177688074360031</v>
      </c>
      <c r="H1143" s="5" t="s">
        <v>612</v>
      </c>
      <c r="I1143" s="5">
        <v>3003</v>
      </c>
      <c r="J1143" s="5" t="s">
        <v>22</v>
      </c>
      <c r="K1143" s="5" t="s">
        <v>23</v>
      </c>
      <c r="L1143" s="5" t="s">
        <v>31</v>
      </c>
      <c r="M1143" s="5" t="s">
        <v>284</v>
      </c>
      <c r="N1143" s="5" t="s">
        <v>53</v>
      </c>
      <c r="O1143" s="5">
        <v>128</v>
      </c>
      <c r="P1143" s="5"/>
      <c r="Q1143" s="5"/>
      <c r="R1143" s="8">
        <v>8.1018518518518516E-5</v>
      </c>
      <c r="S1143" s="5" t="s">
        <v>37</v>
      </c>
      <c r="T1143" t="str">
        <f>IF(Tabela1[[#This Row],[STATUS_NEGOCIO]]="Enviar E-mail",1,"")</f>
        <v/>
      </c>
      <c r="U1143" t="str">
        <f>TEXT(Tabela1[[#This Row],[DATA]],"dd/mm/aaaa")</f>
        <v>22/04/2026</v>
      </c>
    </row>
    <row r="1144" spans="1:21" x14ac:dyDescent="0.25">
      <c r="A1144" s="4">
        <v>46134.624374999999</v>
      </c>
      <c r="B1144" s="5" t="s">
        <v>19</v>
      </c>
      <c r="C1144" s="5" t="s">
        <v>37</v>
      </c>
      <c r="D1144" s="5">
        <v>512</v>
      </c>
      <c r="E1144" s="6">
        <v>53380505000195</v>
      </c>
      <c r="F1144" s="5">
        <v>512</v>
      </c>
      <c r="G1144" s="7">
        <v>177688074660051</v>
      </c>
      <c r="H1144" s="5" t="s">
        <v>239</v>
      </c>
      <c r="I1144" s="5">
        <v>3003</v>
      </c>
      <c r="J1144" s="5" t="s">
        <v>22</v>
      </c>
      <c r="K1144" s="5" t="s">
        <v>23</v>
      </c>
      <c r="L1144" s="5" t="s">
        <v>31</v>
      </c>
      <c r="M1144" s="5" t="s">
        <v>284</v>
      </c>
      <c r="N1144" s="5" t="s">
        <v>53</v>
      </c>
      <c r="O1144" s="5">
        <v>128</v>
      </c>
      <c r="P1144" s="5"/>
      <c r="Q1144" s="5"/>
      <c r="R1144" s="8">
        <v>8.1018518518518516E-5</v>
      </c>
      <c r="S1144" s="5" t="s">
        <v>37</v>
      </c>
      <c r="T1144" t="str">
        <f>IF(Tabela1[[#This Row],[STATUS_NEGOCIO]]="Enviar E-mail",1,"")</f>
        <v/>
      </c>
      <c r="U1144" t="str">
        <f>TEXT(Tabela1[[#This Row],[DATA]],"dd/mm/aaaa")</f>
        <v>22/04/2026</v>
      </c>
    </row>
    <row r="1145" spans="1:21" x14ac:dyDescent="0.25">
      <c r="A1145" s="4">
        <v>46134.624398148146</v>
      </c>
      <c r="B1145" s="5" t="s">
        <v>19</v>
      </c>
      <c r="C1145" s="5" t="s">
        <v>37</v>
      </c>
      <c r="D1145" s="5">
        <v>513</v>
      </c>
      <c r="E1145" s="6">
        <v>53472383000167</v>
      </c>
      <c r="F1145" s="5">
        <v>513</v>
      </c>
      <c r="G1145" s="7">
        <v>177688074860071</v>
      </c>
      <c r="H1145" s="5" t="s">
        <v>613</v>
      </c>
      <c r="I1145" s="5">
        <v>3003</v>
      </c>
      <c r="J1145" s="5" t="s">
        <v>22</v>
      </c>
      <c r="K1145" s="5" t="s">
        <v>23</v>
      </c>
      <c r="L1145" s="5" t="s">
        <v>31</v>
      </c>
      <c r="M1145" s="5" t="s">
        <v>284</v>
      </c>
      <c r="N1145" s="5" t="s">
        <v>53</v>
      </c>
      <c r="O1145" s="5">
        <v>128</v>
      </c>
      <c r="P1145" s="5"/>
      <c r="Q1145" s="5"/>
      <c r="R1145" s="8">
        <v>8.1018518518518516E-5</v>
      </c>
      <c r="S1145" s="5" t="s">
        <v>37</v>
      </c>
      <c r="T1145" t="str">
        <f>IF(Tabela1[[#This Row],[STATUS_NEGOCIO]]="Enviar E-mail",1,"")</f>
        <v/>
      </c>
      <c r="U1145" t="str">
        <f>TEXT(Tabela1[[#This Row],[DATA]],"dd/mm/aaaa")</f>
        <v>22/04/2026</v>
      </c>
    </row>
    <row r="1146" spans="1:21" x14ac:dyDescent="0.25">
      <c r="A1146" s="4">
        <v>46134.624456018515</v>
      </c>
      <c r="B1146" s="5" t="s">
        <v>19</v>
      </c>
      <c r="C1146" s="5" t="s">
        <v>37</v>
      </c>
      <c r="D1146" s="5">
        <v>514</v>
      </c>
      <c r="E1146" s="6">
        <v>53691935000128</v>
      </c>
      <c r="F1146" s="5">
        <v>514</v>
      </c>
      <c r="G1146" s="7">
        <v>177688075360081</v>
      </c>
      <c r="H1146" s="5" t="s">
        <v>614</v>
      </c>
      <c r="I1146" s="5" t="s">
        <v>52</v>
      </c>
      <c r="J1146" s="5" t="s">
        <v>22</v>
      </c>
      <c r="K1146" s="5" t="s">
        <v>36</v>
      </c>
      <c r="L1146" s="5" t="s">
        <v>36</v>
      </c>
      <c r="M1146" s="5" t="s">
        <v>284</v>
      </c>
      <c r="N1146" s="5" t="s">
        <v>53</v>
      </c>
      <c r="O1146" s="5">
        <v>21</v>
      </c>
      <c r="P1146" s="5"/>
      <c r="Q1146" s="5"/>
      <c r="R1146" s="8">
        <v>0</v>
      </c>
      <c r="S1146" s="5" t="s">
        <v>37</v>
      </c>
      <c r="T1146" t="str">
        <f>IF(Tabela1[[#This Row],[STATUS_NEGOCIO]]="Enviar E-mail",1,"")</f>
        <v/>
      </c>
      <c r="U1146" t="str">
        <f>TEXT(Tabela1[[#This Row],[DATA]],"dd/mm/aaaa")</f>
        <v>22/04/2026</v>
      </c>
    </row>
    <row r="1147" spans="1:21" x14ac:dyDescent="0.25">
      <c r="A1147" s="4">
        <v>46134.624479166669</v>
      </c>
      <c r="B1147" s="5" t="s">
        <v>19</v>
      </c>
      <c r="C1147" s="5" t="s">
        <v>37</v>
      </c>
      <c r="D1147" s="5">
        <v>515</v>
      </c>
      <c r="E1147" s="6">
        <v>54478765000160</v>
      </c>
      <c r="F1147" s="5">
        <v>515</v>
      </c>
      <c r="G1147" s="7">
        <v>177688075560101</v>
      </c>
      <c r="H1147" s="5" t="s">
        <v>34</v>
      </c>
      <c r="I1147" s="5">
        <v>3003</v>
      </c>
      <c r="J1147" s="5" t="s">
        <v>22</v>
      </c>
      <c r="K1147" s="5" t="s">
        <v>23</v>
      </c>
      <c r="L1147" s="5" t="s">
        <v>31</v>
      </c>
      <c r="M1147" s="5" t="s">
        <v>284</v>
      </c>
      <c r="N1147" s="5" t="s">
        <v>53</v>
      </c>
      <c r="O1147" s="5">
        <v>128</v>
      </c>
      <c r="P1147" s="5"/>
      <c r="Q1147" s="5"/>
      <c r="R1147" s="8">
        <v>6.9444444444444444E-5</v>
      </c>
      <c r="S1147" s="5" t="s">
        <v>37</v>
      </c>
      <c r="T1147" t="str">
        <f>IF(Tabela1[[#This Row],[STATUS_NEGOCIO]]="Enviar E-mail",1,"")</f>
        <v/>
      </c>
      <c r="U1147" t="str">
        <f>TEXT(Tabela1[[#This Row],[DATA]],"dd/mm/aaaa")</f>
        <v>22/04/2026</v>
      </c>
    </row>
    <row r="1148" spans="1:21" x14ac:dyDescent="0.25">
      <c r="A1148" s="4">
        <v>46134.624571759261</v>
      </c>
      <c r="B1148" s="5" t="s">
        <v>19</v>
      </c>
      <c r="C1148" s="5" t="s">
        <v>37</v>
      </c>
      <c r="D1148" s="5">
        <v>516</v>
      </c>
      <c r="E1148" s="6">
        <v>55143066000122</v>
      </c>
      <c r="F1148" s="5">
        <v>516</v>
      </c>
      <c r="G1148" s="7">
        <v>177688076360121</v>
      </c>
      <c r="H1148" s="5" t="s">
        <v>92</v>
      </c>
      <c r="I1148" s="5">
        <v>3003</v>
      </c>
      <c r="J1148" s="5" t="s">
        <v>22</v>
      </c>
      <c r="K1148" s="5" t="s">
        <v>23</v>
      </c>
      <c r="L1148" s="5" t="s">
        <v>31</v>
      </c>
      <c r="M1148" s="5" t="s">
        <v>284</v>
      </c>
      <c r="N1148" s="5" t="s">
        <v>53</v>
      </c>
      <c r="O1148" s="5">
        <v>128</v>
      </c>
      <c r="P1148" s="5"/>
      <c r="Q1148" s="5"/>
      <c r="R1148" s="8">
        <v>8.1018518518518516E-5</v>
      </c>
      <c r="S1148" s="5" t="s">
        <v>37</v>
      </c>
      <c r="T1148" t="str">
        <f>IF(Tabela1[[#This Row],[STATUS_NEGOCIO]]="Enviar E-mail",1,"")</f>
        <v/>
      </c>
      <c r="U1148" t="str">
        <f>TEXT(Tabela1[[#This Row],[DATA]],"dd/mm/aaaa")</f>
        <v>22/04/2026</v>
      </c>
    </row>
    <row r="1149" spans="1:21" x14ac:dyDescent="0.25">
      <c r="A1149" s="4">
        <v>46134.624641203707</v>
      </c>
      <c r="B1149" s="5" t="s">
        <v>19</v>
      </c>
      <c r="C1149" s="5" t="s">
        <v>37</v>
      </c>
      <c r="D1149" s="5">
        <v>517</v>
      </c>
      <c r="E1149" s="6">
        <v>55385904000174</v>
      </c>
      <c r="F1149" s="5">
        <v>517</v>
      </c>
      <c r="G1149" s="7">
        <v>177688076960141</v>
      </c>
      <c r="H1149" s="5" t="s">
        <v>589</v>
      </c>
      <c r="I1149" s="5">
        <v>3003</v>
      </c>
      <c r="J1149" s="5" t="s">
        <v>22</v>
      </c>
      <c r="K1149" s="5" t="s">
        <v>23</v>
      </c>
      <c r="L1149" s="5" t="s">
        <v>31</v>
      </c>
      <c r="M1149" s="5" t="s">
        <v>284</v>
      </c>
      <c r="N1149" s="5" t="s">
        <v>53</v>
      </c>
      <c r="O1149" s="5">
        <v>128</v>
      </c>
      <c r="P1149" s="5"/>
      <c r="Q1149" s="5"/>
      <c r="R1149" s="8">
        <v>8.1018518518518516E-5</v>
      </c>
      <c r="S1149" s="5" t="s">
        <v>37</v>
      </c>
      <c r="T1149" t="str">
        <f>IF(Tabela1[[#This Row],[STATUS_NEGOCIO]]="Enviar E-mail",1,"")</f>
        <v/>
      </c>
      <c r="U1149" t="str">
        <f>TEXT(Tabela1[[#This Row],[DATA]],"dd/mm/aaaa")</f>
        <v>22/04/2026</v>
      </c>
    </row>
    <row r="1150" spans="1:21" x14ac:dyDescent="0.25">
      <c r="A1150" s="4">
        <v>46134.624664351853</v>
      </c>
      <c r="B1150" s="5" t="s">
        <v>19</v>
      </c>
      <c r="C1150" s="5" t="s">
        <v>37</v>
      </c>
      <c r="D1150" s="5">
        <v>518</v>
      </c>
      <c r="E1150" s="6">
        <v>55573642000171</v>
      </c>
      <c r="F1150" s="5">
        <v>518</v>
      </c>
      <c r="G1150" s="7">
        <v>177688077160161</v>
      </c>
      <c r="H1150" s="5" t="s">
        <v>66</v>
      </c>
      <c r="I1150" s="5">
        <v>3003</v>
      </c>
      <c r="J1150" s="5" t="s">
        <v>22</v>
      </c>
      <c r="K1150" s="5" t="s">
        <v>23</v>
      </c>
      <c r="L1150" s="5" t="s">
        <v>31</v>
      </c>
      <c r="M1150" s="5" t="s">
        <v>284</v>
      </c>
      <c r="N1150" s="5" t="s">
        <v>53</v>
      </c>
      <c r="O1150" s="5">
        <v>128</v>
      </c>
      <c r="P1150" s="5"/>
      <c r="Q1150" s="5"/>
      <c r="R1150" s="8">
        <v>8.1018518518518516E-5</v>
      </c>
      <c r="S1150" s="5" t="s">
        <v>37</v>
      </c>
      <c r="T1150" t="str">
        <f>IF(Tabela1[[#This Row],[STATUS_NEGOCIO]]="Enviar E-mail",1,"")</f>
        <v/>
      </c>
      <c r="U1150" t="str">
        <f>TEXT(Tabela1[[#This Row],[DATA]],"dd/mm/aaaa")</f>
        <v>22/04/2026</v>
      </c>
    </row>
    <row r="1151" spans="1:21" x14ac:dyDescent="0.25">
      <c r="A1151" s="4">
        <v>46134.624664351853</v>
      </c>
      <c r="B1151" s="5" t="s">
        <v>19</v>
      </c>
      <c r="C1151" s="5" t="s">
        <v>37</v>
      </c>
      <c r="D1151" s="5">
        <v>519</v>
      </c>
      <c r="E1151" s="6">
        <v>55789121000156</v>
      </c>
      <c r="F1151" s="5">
        <v>519</v>
      </c>
      <c r="G1151" s="7">
        <v>177688077160181</v>
      </c>
      <c r="H1151" s="5" t="s">
        <v>615</v>
      </c>
      <c r="I1151" s="5">
        <v>3003</v>
      </c>
      <c r="J1151" s="5" t="s">
        <v>22</v>
      </c>
      <c r="K1151" s="5" t="s">
        <v>23</v>
      </c>
      <c r="L1151" s="5" t="s">
        <v>31</v>
      </c>
      <c r="M1151" s="5" t="s">
        <v>284</v>
      </c>
      <c r="N1151" s="5" t="s">
        <v>53</v>
      </c>
      <c r="O1151" s="5">
        <v>128</v>
      </c>
      <c r="P1151" s="5"/>
      <c r="Q1151" s="5"/>
      <c r="R1151" s="8">
        <v>8.1018518518518516E-5</v>
      </c>
      <c r="S1151" s="5" t="s">
        <v>37</v>
      </c>
      <c r="T1151" t="str">
        <f>IF(Tabela1[[#This Row],[STATUS_NEGOCIO]]="Enviar E-mail",1,"")</f>
        <v/>
      </c>
      <c r="U1151" t="str">
        <f>TEXT(Tabela1[[#This Row],[DATA]],"dd/mm/aaaa")</f>
        <v>22/04/2026</v>
      </c>
    </row>
    <row r="1152" spans="1:21" x14ac:dyDescent="0.25">
      <c r="A1152" s="4">
        <v>46134.6246875</v>
      </c>
      <c r="B1152" s="5" t="s">
        <v>19</v>
      </c>
      <c r="C1152" s="5" t="s">
        <v>37</v>
      </c>
      <c r="D1152" s="5">
        <v>520</v>
      </c>
      <c r="E1152" s="6">
        <v>56062863000148</v>
      </c>
      <c r="F1152" s="5">
        <v>520</v>
      </c>
      <c r="G1152" s="7">
        <v>177688077360201</v>
      </c>
      <c r="H1152" s="5" t="s">
        <v>242</v>
      </c>
      <c r="I1152" s="5">
        <v>3003</v>
      </c>
      <c r="J1152" s="5" t="s">
        <v>22</v>
      </c>
      <c r="K1152" s="5" t="s">
        <v>23</v>
      </c>
      <c r="L1152" s="5" t="s">
        <v>31</v>
      </c>
      <c r="M1152" s="5" t="s">
        <v>284</v>
      </c>
      <c r="N1152" s="5" t="s">
        <v>53</v>
      </c>
      <c r="O1152" s="5">
        <v>128</v>
      </c>
      <c r="P1152" s="5"/>
      <c r="Q1152" s="5"/>
      <c r="R1152" s="8">
        <v>6.9444444444444444E-5</v>
      </c>
      <c r="S1152" s="5" t="s">
        <v>37</v>
      </c>
      <c r="T1152" t="str">
        <f>IF(Tabela1[[#This Row],[STATUS_NEGOCIO]]="Enviar E-mail",1,"")</f>
        <v/>
      </c>
      <c r="U1152" t="str">
        <f>TEXT(Tabela1[[#This Row],[DATA]],"dd/mm/aaaa")</f>
        <v>22/04/2026</v>
      </c>
    </row>
    <row r="1153" spans="1:21" x14ac:dyDescent="0.25">
      <c r="A1153" s="4">
        <v>46134.624699074076</v>
      </c>
      <c r="B1153" s="5" t="s">
        <v>19</v>
      </c>
      <c r="C1153" s="5" t="s">
        <v>37</v>
      </c>
      <c r="D1153" s="5">
        <v>521</v>
      </c>
      <c r="E1153" s="6">
        <v>56199093000180</v>
      </c>
      <c r="F1153" s="5">
        <v>521</v>
      </c>
      <c r="G1153" s="7">
        <v>177688077460211</v>
      </c>
      <c r="H1153" s="5" t="s">
        <v>182</v>
      </c>
      <c r="I1153" s="5">
        <v>3003</v>
      </c>
      <c r="J1153" s="5" t="s">
        <v>22</v>
      </c>
      <c r="K1153" s="5" t="s">
        <v>23</v>
      </c>
      <c r="L1153" s="5" t="s">
        <v>31</v>
      </c>
      <c r="M1153" s="5" t="s">
        <v>284</v>
      </c>
      <c r="N1153" s="5" t="s">
        <v>53</v>
      </c>
      <c r="O1153" s="5">
        <v>128</v>
      </c>
      <c r="P1153" s="5"/>
      <c r="Q1153" s="5"/>
      <c r="R1153" s="8">
        <v>8.1018518518518516E-5</v>
      </c>
      <c r="S1153" s="5" t="s">
        <v>37</v>
      </c>
      <c r="T1153" t="str">
        <f>IF(Tabela1[[#This Row],[STATUS_NEGOCIO]]="Enviar E-mail",1,"")</f>
        <v/>
      </c>
      <c r="U1153" t="str">
        <f>TEXT(Tabela1[[#This Row],[DATA]],"dd/mm/aaaa")</f>
        <v>22/04/2026</v>
      </c>
    </row>
    <row r="1154" spans="1:21" x14ac:dyDescent="0.25">
      <c r="A1154" s="4">
        <v>46134.624722222223</v>
      </c>
      <c r="B1154" s="5" t="s">
        <v>19</v>
      </c>
      <c r="C1154" s="5" t="s">
        <v>37</v>
      </c>
      <c r="D1154" s="5">
        <v>522</v>
      </c>
      <c r="E1154" s="6">
        <v>56227513000194</v>
      </c>
      <c r="F1154" s="5">
        <v>522</v>
      </c>
      <c r="G1154" s="7">
        <v>177688077660231</v>
      </c>
      <c r="H1154" s="5" t="s">
        <v>616</v>
      </c>
      <c r="I1154" s="5">
        <v>3003</v>
      </c>
      <c r="J1154" s="5" t="s">
        <v>22</v>
      </c>
      <c r="K1154" s="5" t="s">
        <v>23</v>
      </c>
      <c r="L1154" s="5" t="s">
        <v>31</v>
      </c>
      <c r="M1154" s="5" t="s">
        <v>284</v>
      </c>
      <c r="N1154" s="5" t="s">
        <v>53</v>
      </c>
      <c r="O1154" s="5">
        <v>128</v>
      </c>
      <c r="P1154" s="5"/>
      <c r="Q1154" s="5"/>
      <c r="R1154" s="8">
        <v>6.9444444444444444E-5</v>
      </c>
      <c r="S1154" s="5" t="s">
        <v>37</v>
      </c>
      <c r="T1154" t="str">
        <f>IF(Tabela1[[#This Row],[STATUS_NEGOCIO]]="Enviar E-mail",1,"")</f>
        <v/>
      </c>
      <c r="U1154" t="str">
        <f>TEXT(Tabela1[[#This Row],[DATA]],"dd/mm/aaaa")</f>
        <v>22/04/2026</v>
      </c>
    </row>
    <row r="1155" spans="1:21" x14ac:dyDescent="0.25">
      <c r="A1155" s="4">
        <v>46134.625034722223</v>
      </c>
      <c r="B1155" s="5" t="s">
        <v>19</v>
      </c>
      <c r="C1155" s="5" t="s">
        <v>37</v>
      </c>
      <c r="D1155" s="5">
        <v>523</v>
      </c>
      <c r="E1155" s="6">
        <v>56932666000132</v>
      </c>
      <c r="F1155" s="5">
        <v>523</v>
      </c>
      <c r="G1155" s="7">
        <v>177688080360291</v>
      </c>
      <c r="H1155" s="5" t="s">
        <v>617</v>
      </c>
      <c r="I1155" s="5">
        <v>3003</v>
      </c>
      <c r="J1155" s="5" t="s">
        <v>22</v>
      </c>
      <c r="K1155" s="5" t="s">
        <v>23</v>
      </c>
      <c r="L1155" s="5" t="s">
        <v>31</v>
      </c>
      <c r="M1155" s="5" t="s">
        <v>284</v>
      </c>
      <c r="N1155" s="5" t="s">
        <v>53</v>
      </c>
      <c r="O1155" s="5">
        <v>128</v>
      </c>
      <c r="P1155" s="5"/>
      <c r="Q1155" s="5"/>
      <c r="R1155" s="8">
        <v>8.1018518518518516E-5</v>
      </c>
      <c r="S1155" s="5" t="s">
        <v>37</v>
      </c>
      <c r="T1155" t="str">
        <f>IF(Tabela1[[#This Row],[STATUS_NEGOCIO]]="Enviar E-mail",1,"")</f>
        <v/>
      </c>
      <c r="U1155" t="str">
        <f>TEXT(Tabela1[[#This Row],[DATA]],"dd/mm/aaaa")</f>
        <v>22/04/2026</v>
      </c>
    </row>
    <row r="1156" spans="1:21" x14ac:dyDescent="0.25">
      <c r="A1156" s="4">
        <v>46134.625104166669</v>
      </c>
      <c r="B1156" s="5" t="s">
        <v>19</v>
      </c>
      <c r="C1156" s="5" t="s">
        <v>37</v>
      </c>
      <c r="D1156" s="5">
        <v>524</v>
      </c>
      <c r="E1156" s="6">
        <v>57170375000460</v>
      </c>
      <c r="F1156" s="5">
        <v>524</v>
      </c>
      <c r="G1156" s="7">
        <v>177688080960311</v>
      </c>
      <c r="H1156" s="5" t="s">
        <v>618</v>
      </c>
      <c r="I1156" s="5">
        <v>3003</v>
      </c>
      <c r="J1156" s="5" t="s">
        <v>22</v>
      </c>
      <c r="K1156" s="5" t="s">
        <v>23</v>
      </c>
      <c r="L1156" s="5" t="s">
        <v>31</v>
      </c>
      <c r="M1156" s="5" t="s">
        <v>284</v>
      </c>
      <c r="N1156" s="5" t="s">
        <v>53</v>
      </c>
      <c r="O1156" s="5">
        <v>128</v>
      </c>
      <c r="P1156" s="5"/>
      <c r="Q1156" s="5"/>
      <c r="R1156" s="8">
        <v>8.1018518518518516E-5</v>
      </c>
      <c r="S1156" s="5" t="s">
        <v>37</v>
      </c>
      <c r="T1156" t="str">
        <f>IF(Tabela1[[#This Row],[STATUS_NEGOCIO]]="Enviar E-mail",1,"")</f>
        <v/>
      </c>
      <c r="U1156" t="str">
        <f>TEXT(Tabela1[[#This Row],[DATA]],"dd/mm/aaaa")</f>
        <v>22/04/2026</v>
      </c>
    </row>
    <row r="1157" spans="1:21" x14ac:dyDescent="0.25">
      <c r="A1157" s="4">
        <v>46134.625162037039</v>
      </c>
      <c r="B1157" s="5" t="s">
        <v>19</v>
      </c>
      <c r="C1157" s="5" t="s">
        <v>37</v>
      </c>
      <c r="D1157" s="5">
        <v>525</v>
      </c>
      <c r="E1157" s="6">
        <v>57188457000199</v>
      </c>
      <c r="F1157" s="5">
        <v>525</v>
      </c>
      <c r="G1157" s="7">
        <v>177688081460331</v>
      </c>
      <c r="H1157" s="5" t="s">
        <v>198</v>
      </c>
      <c r="I1157" s="5">
        <v>3003</v>
      </c>
      <c r="J1157" s="5" t="s">
        <v>22</v>
      </c>
      <c r="K1157" s="5" t="s">
        <v>23</v>
      </c>
      <c r="L1157" s="5" t="s">
        <v>31</v>
      </c>
      <c r="M1157" s="5" t="s">
        <v>284</v>
      </c>
      <c r="N1157" s="5" t="s">
        <v>53</v>
      </c>
      <c r="O1157" s="5">
        <v>128</v>
      </c>
      <c r="P1157" s="5"/>
      <c r="Q1157" s="5"/>
      <c r="R1157" s="8">
        <v>8.1018518518518516E-5</v>
      </c>
      <c r="S1157" s="5" t="s">
        <v>37</v>
      </c>
      <c r="T1157" t="str">
        <f>IF(Tabela1[[#This Row],[STATUS_NEGOCIO]]="Enviar E-mail",1,"")</f>
        <v/>
      </c>
      <c r="U1157" t="str">
        <f>TEXT(Tabela1[[#This Row],[DATA]],"dd/mm/aaaa")</f>
        <v>22/04/2026</v>
      </c>
    </row>
    <row r="1158" spans="1:21" x14ac:dyDescent="0.25">
      <c r="A1158" s="4">
        <v>46134.625196759262</v>
      </c>
      <c r="B1158" s="5" t="s">
        <v>19</v>
      </c>
      <c r="C1158" s="5" t="s">
        <v>37</v>
      </c>
      <c r="D1158" s="5">
        <v>526</v>
      </c>
      <c r="E1158" s="6">
        <v>57213863000164</v>
      </c>
      <c r="F1158" s="5">
        <v>526</v>
      </c>
      <c r="G1158" s="7">
        <v>177688081760351</v>
      </c>
      <c r="H1158" s="5" t="s">
        <v>91</v>
      </c>
      <c r="I1158" s="5">
        <v>3003</v>
      </c>
      <c r="J1158" s="5" t="s">
        <v>22</v>
      </c>
      <c r="K1158" s="5" t="s">
        <v>23</v>
      </c>
      <c r="L1158" s="5" t="s">
        <v>31</v>
      </c>
      <c r="M1158" s="5" t="s">
        <v>284</v>
      </c>
      <c r="N1158" s="5" t="s">
        <v>53</v>
      </c>
      <c r="O1158" s="5">
        <v>128</v>
      </c>
      <c r="P1158" s="5"/>
      <c r="Q1158" s="5"/>
      <c r="R1158" s="8">
        <v>8.1018518518518516E-5</v>
      </c>
      <c r="S1158" s="5" t="s">
        <v>37</v>
      </c>
      <c r="T1158" t="str">
        <f>IF(Tabela1[[#This Row],[STATUS_NEGOCIO]]="Enviar E-mail",1,"")</f>
        <v/>
      </c>
      <c r="U1158" t="str">
        <f>TEXT(Tabela1[[#This Row],[DATA]],"dd/mm/aaaa")</f>
        <v>22/04/2026</v>
      </c>
    </row>
    <row r="1159" spans="1:21" x14ac:dyDescent="0.25">
      <c r="A1159" s="4">
        <v>46134.625300925924</v>
      </c>
      <c r="B1159" s="5" t="s">
        <v>19</v>
      </c>
      <c r="C1159" s="5" t="s">
        <v>37</v>
      </c>
      <c r="D1159" s="5">
        <v>527</v>
      </c>
      <c r="E1159" s="6">
        <v>57348787000102</v>
      </c>
      <c r="F1159" s="5">
        <v>527</v>
      </c>
      <c r="G1159" s="7">
        <v>177688082660371</v>
      </c>
      <c r="H1159" s="5" t="s">
        <v>619</v>
      </c>
      <c r="I1159" s="5">
        <v>3003</v>
      </c>
      <c r="J1159" s="5" t="s">
        <v>22</v>
      </c>
      <c r="K1159" s="5" t="s">
        <v>23</v>
      </c>
      <c r="L1159" s="5" t="s">
        <v>31</v>
      </c>
      <c r="M1159" s="5" t="s">
        <v>284</v>
      </c>
      <c r="N1159" s="5" t="s">
        <v>53</v>
      </c>
      <c r="O1159" s="5">
        <v>128</v>
      </c>
      <c r="P1159" s="5"/>
      <c r="Q1159" s="5"/>
      <c r="R1159" s="8">
        <v>8.1018518518518516E-5</v>
      </c>
      <c r="S1159" s="5" t="s">
        <v>37</v>
      </c>
      <c r="T1159" t="str">
        <f>IF(Tabela1[[#This Row],[STATUS_NEGOCIO]]="Enviar E-mail",1,"")</f>
        <v/>
      </c>
      <c r="U1159" t="str">
        <f>TEXT(Tabela1[[#This Row],[DATA]],"dd/mm/aaaa")</f>
        <v>22/04/2026</v>
      </c>
    </row>
    <row r="1160" spans="1:21" x14ac:dyDescent="0.25">
      <c r="A1160" s="4">
        <v>46134.625335648147</v>
      </c>
      <c r="B1160" s="5" t="s">
        <v>19</v>
      </c>
      <c r="C1160" s="5" t="s">
        <v>37</v>
      </c>
      <c r="D1160" s="5">
        <v>528</v>
      </c>
      <c r="E1160" s="6">
        <v>57769577000180</v>
      </c>
      <c r="F1160" s="5">
        <v>528</v>
      </c>
      <c r="G1160" s="7">
        <v>177688082960391</v>
      </c>
      <c r="H1160" s="5" t="s">
        <v>60</v>
      </c>
      <c r="I1160" s="5">
        <v>3003</v>
      </c>
      <c r="J1160" s="5" t="s">
        <v>22</v>
      </c>
      <c r="K1160" s="5" t="s">
        <v>23</v>
      </c>
      <c r="L1160" s="5" t="s">
        <v>31</v>
      </c>
      <c r="M1160" s="5" t="s">
        <v>284</v>
      </c>
      <c r="N1160" s="5" t="s">
        <v>53</v>
      </c>
      <c r="O1160" s="5">
        <v>128</v>
      </c>
      <c r="P1160" s="5"/>
      <c r="Q1160" s="5"/>
      <c r="R1160" s="8">
        <v>6.9444444444444444E-5</v>
      </c>
      <c r="S1160" s="5" t="s">
        <v>37</v>
      </c>
      <c r="T1160" t="str">
        <f>IF(Tabela1[[#This Row],[STATUS_NEGOCIO]]="Enviar E-mail",1,"")</f>
        <v/>
      </c>
      <c r="U1160" t="str">
        <f>TEXT(Tabela1[[#This Row],[DATA]],"dd/mm/aaaa")</f>
        <v>22/04/2026</v>
      </c>
    </row>
    <row r="1161" spans="1:21" x14ac:dyDescent="0.25">
      <c r="A1161" s="4">
        <v>46134.625347222223</v>
      </c>
      <c r="B1161" s="5" t="s">
        <v>19</v>
      </c>
      <c r="C1161" s="5" t="s">
        <v>37</v>
      </c>
      <c r="D1161" s="5">
        <v>529</v>
      </c>
      <c r="E1161" s="6">
        <v>58196686000118</v>
      </c>
      <c r="F1161" s="5">
        <v>529</v>
      </c>
      <c r="G1161" s="7">
        <v>177688083060411</v>
      </c>
      <c r="H1161" s="5" t="s">
        <v>242</v>
      </c>
      <c r="I1161" s="5">
        <v>3003</v>
      </c>
      <c r="J1161" s="5" t="s">
        <v>22</v>
      </c>
      <c r="K1161" s="5" t="s">
        <v>23</v>
      </c>
      <c r="L1161" s="5" t="s">
        <v>31</v>
      </c>
      <c r="M1161" s="5" t="s">
        <v>284</v>
      </c>
      <c r="N1161" s="5" t="s">
        <v>53</v>
      </c>
      <c r="O1161" s="5">
        <v>128</v>
      </c>
      <c r="P1161" s="5"/>
      <c r="Q1161" s="5"/>
      <c r="R1161" s="8">
        <v>8.1018518518518516E-5</v>
      </c>
      <c r="S1161" s="5" t="s">
        <v>37</v>
      </c>
      <c r="T1161" t="str">
        <f>IF(Tabela1[[#This Row],[STATUS_NEGOCIO]]="Enviar E-mail",1,"")</f>
        <v/>
      </c>
      <c r="U1161" t="str">
        <f>TEXT(Tabela1[[#This Row],[DATA]],"dd/mm/aaaa")</f>
        <v>22/04/2026</v>
      </c>
    </row>
    <row r="1162" spans="1:21" x14ac:dyDescent="0.25">
      <c r="A1162" s="4">
        <v>46134.625451388885</v>
      </c>
      <c r="B1162" s="5" t="s">
        <v>19</v>
      </c>
      <c r="C1162" s="5" t="s">
        <v>37</v>
      </c>
      <c r="D1162" s="5">
        <v>530</v>
      </c>
      <c r="E1162" s="6">
        <v>58476582000167</v>
      </c>
      <c r="F1162" s="5">
        <v>530</v>
      </c>
      <c r="G1162" s="7">
        <v>177688083960431</v>
      </c>
      <c r="H1162" s="5" t="s">
        <v>189</v>
      </c>
      <c r="I1162" s="5">
        <v>3003</v>
      </c>
      <c r="J1162" s="5" t="s">
        <v>22</v>
      </c>
      <c r="K1162" s="5" t="s">
        <v>23</v>
      </c>
      <c r="L1162" s="5" t="s">
        <v>31</v>
      </c>
      <c r="M1162" s="5" t="s">
        <v>284</v>
      </c>
      <c r="N1162" s="5" t="s">
        <v>53</v>
      </c>
      <c r="O1162" s="5">
        <v>128</v>
      </c>
      <c r="P1162" s="5"/>
      <c r="Q1162" s="5"/>
      <c r="R1162" s="8">
        <v>8.1018518518518516E-5</v>
      </c>
      <c r="S1162" s="5" t="s">
        <v>37</v>
      </c>
      <c r="T1162" t="str">
        <f>IF(Tabela1[[#This Row],[STATUS_NEGOCIO]]="Enviar E-mail",1,"")</f>
        <v/>
      </c>
      <c r="U1162" t="str">
        <f>TEXT(Tabela1[[#This Row],[DATA]],"dd/mm/aaaa")</f>
        <v>22/04/2026</v>
      </c>
    </row>
    <row r="1163" spans="1:21" x14ac:dyDescent="0.25">
      <c r="A1163" s="4">
        <v>46134.625474537039</v>
      </c>
      <c r="B1163" s="5" t="s">
        <v>19</v>
      </c>
      <c r="C1163" s="5" t="s">
        <v>37</v>
      </c>
      <c r="D1163" s="5">
        <v>531</v>
      </c>
      <c r="E1163" s="6">
        <v>59138749000142</v>
      </c>
      <c r="F1163" s="5">
        <v>531</v>
      </c>
      <c r="G1163" s="7">
        <v>177688084160451</v>
      </c>
      <c r="H1163" s="5" t="s">
        <v>620</v>
      </c>
      <c r="I1163" s="5">
        <v>3003</v>
      </c>
      <c r="J1163" s="5" t="s">
        <v>22</v>
      </c>
      <c r="K1163" s="5" t="s">
        <v>23</v>
      </c>
      <c r="L1163" s="5" t="s">
        <v>31</v>
      </c>
      <c r="M1163" s="5" t="s">
        <v>284</v>
      </c>
      <c r="N1163" s="5" t="s">
        <v>53</v>
      </c>
      <c r="O1163" s="5">
        <v>128</v>
      </c>
      <c r="P1163" s="5"/>
      <c r="Q1163" s="5"/>
      <c r="R1163" s="8">
        <v>8.1018518518518516E-5</v>
      </c>
      <c r="S1163" s="5" t="s">
        <v>37</v>
      </c>
      <c r="T1163" t="str">
        <f>IF(Tabela1[[#This Row],[STATUS_NEGOCIO]]="Enviar E-mail",1,"")</f>
        <v/>
      </c>
      <c r="U1163" t="str">
        <f>TEXT(Tabela1[[#This Row],[DATA]],"dd/mm/aaaa")</f>
        <v>22/04/2026</v>
      </c>
    </row>
    <row r="1164" spans="1:21" x14ac:dyDescent="0.25">
      <c r="A1164" s="4">
        <v>46134.628078703703</v>
      </c>
      <c r="B1164" s="5" t="s">
        <v>19</v>
      </c>
      <c r="C1164" s="5" t="s">
        <v>37</v>
      </c>
      <c r="D1164" s="5">
        <v>533</v>
      </c>
      <c r="E1164" s="6">
        <v>59597687000137</v>
      </c>
      <c r="F1164" s="5">
        <v>533</v>
      </c>
      <c r="G1164" s="7">
        <v>177688106661101</v>
      </c>
      <c r="H1164" s="5" t="s">
        <v>87</v>
      </c>
      <c r="I1164" s="5">
        <v>3003</v>
      </c>
      <c r="J1164" s="5" t="s">
        <v>22</v>
      </c>
      <c r="K1164" s="5" t="s">
        <v>23</v>
      </c>
      <c r="L1164" s="5" t="s">
        <v>31</v>
      </c>
      <c r="M1164" s="5" t="s">
        <v>284</v>
      </c>
      <c r="N1164" s="5" t="s">
        <v>53</v>
      </c>
      <c r="O1164" s="5">
        <v>128</v>
      </c>
      <c r="P1164" s="5"/>
      <c r="Q1164" s="5"/>
      <c r="R1164" s="8">
        <v>8.1018518518518516E-5</v>
      </c>
      <c r="S1164" s="5" t="s">
        <v>37</v>
      </c>
      <c r="T1164" t="str">
        <f>IF(Tabela1[[#This Row],[STATUS_NEGOCIO]]="Enviar E-mail",1,"")</f>
        <v/>
      </c>
      <c r="U1164" t="str">
        <f>TEXT(Tabela1[[#This Row],[DATA]],"dd/mm/aaaa")</f>
        <v>22/04/2026</v>
      </c>
    </row>
    <row r="1165" spans="1:21" x14ac:dyDescent="0.25">
      <c r="A1165" s="4">
        <v>46134.628078703703</v>
      </c>
      <c r="B1165" s="5" t="s">
        <v>19</v>
      </c>
      <c r="C1165" s="5" t="s">
        <v>37</v>
      </c>
      <c r="D1165" s="5">
        <v>534</v>
      </c>
      <c r="E1165" s="6">
        <v>59958760000159</v>
      </c>
      <c r="F1165" s="5">
        <v>534</v>
      </c>
      <c r="G1165" s="7">
        <v>177688106661111</v>
      </c>
      <c r="H1165" s="5" t="s">
        <v>621</v>
      </c>
      <c r="I1165" s="5">
        <v>3003</v>
      </c>
      <c r="J1165" s="5" t="s">
        <v>22</v>
      </c>
      <c r="K1165" s="5" t="s">
        <v>23</v>
      </c>
      <c r="L1165" s="5" t="s">
        <v>31</v>
      </c>
      <c r="M1165" s="5" t="s">
        <v>284</v>
      </c>
      <c r="N1165" s="5" t="s">
        <v>53</v>
      </c>
      <c r="O1165" s="5">
        <v>128</v>
      </c>
      <c r="P1165" s="5"/>
      <c r="Q1165" s="5"/>
      <c r="R1165" s="8">
        <v>8.1018518518518516E-5</v>
      </c>
      <c r="S1165" s="5" t="s">
        <v>37</v>
      </c>
      <c r="T1165" t="str">
        <f>IF(Tabela1[[#This Row],[STATUS_NEGOCIO]]="Enviar E-mail",1,"")</f>
        <v/>
      </c>
      <c r="U1165" t="str">
        <f>TEXT(Tabela1[[#This Row],[DATA]],"dd/mm/aaaa")</f>
        <v>22/04/2026</v>
      </c>
    </row>
    <row r="1166" spans="1:21" x14ac:dyDescent="0.25">
      <c r="A1166" s="4">
        <v>46134.628078703703</v>
      </c>
      <c r="B1166" s="5" t="s">
        <v>19</v>
      </c>
      <c r="C1166" s="5" t="s">
        <v>37</v>
      </c>
      <c r="D1166" s="5">
        <v>535</v>
      </c>
      <c r="E1166" s="6">
        <v>60710938000127</v>
      </c>
      <c r="F1166" s="5">
        <v>535</v>
      </c>
      <c r="G1166" s="7">
        <v>177688106661121</v>
      </c>
      <c r="H1166" s="5" t="s">
        <v>57</v>
      </c>
      <c r="I1166" s="5">
        <v>3003</v>
      </c>
      <c r="J1166" s="5" t="s">
        <v>22</v>
      </c>
      <c r="K1166" s="5" t="s">
        <v>23</v>
      </c>
      <c r="L1166" s="5" t="s">
        <v>31</v>
      </c>
      <c r="M1166" s="5" t="s">
        <v>284</v>
      </c>
      <c r="N1166" s="5" t="s">
        <v>53</v>
      </c>
      <c r="O1166" s="5">
        <v>128</v>
      </c>
      <c r="P1166" s="5"/>
      <c r="Q1166" s="5"/>
      <c r="R1166" s="8">
        <v>6.9444444444444444E-5</v>
      </c>
      <c r="S1166" s="5" t="s">
        <v>37</v>
      </c>
      <c r="T1166" t="str">
        <f>IF(Tabela1[[#This Row],[STATUS_NEGOCIO]]="Enviar E-mail",1,"")</f>
        <v/>
      </c>
      <c r="U1166" t="str">
        <f>TEXT(Tabela1[[#This Row],[DATA]],"dd/mm/aaaa")</f>
        <v>22/04/2026</v>
      </c>
    </row>
    <row r="1167" spans="1:21" x14ac:dyDescent="0.25">
      <c r="A1167" s="4">
        <v>46134.628298611111</v>
      </c>
      <c r="B1167" s="5" t="s">
        <v>19</v>
      </c>
      <c r="C1167" s="5" t="s">
        <v>37</v>
      </c>
      <c r="D1167" s="5">
        <v>536</v>
      </c>
      <c r="E1167" s="6">
        <v>61917457000150</v>
      </c>
      <c r="F1167" s="5">
        <v>536</v>
      </c>
      <c r="G1167" s="7">
        <v>177688108561151</v>
      </c>
      <c r="H1167" s="5" t="s">
        <v>622</v>
      </c>
      <c r="I1167" s="5">
        <v>3003</v>
      </c>
      <c r="J1167" s="5" t="s">
        <v>22</v>
      </c>
      <c r="K1167" s="5" t="s">
        <v>23</v>
      </c>
      <c r="L1167" s="5" t="s">
        <v>31</v>
      </c>
      <c r="M1167" s="5" t="s">
        <v>284</v>
      </c>
      <c r="N1167" s="5" t="s">
        <v>53</v>
      </c>
      <c r="O1167" s="5">
        <v>147</v>
      </c>
      <c r="P1167" s="5"/>
      <c r="Q1167" s="5"/>
      <c r="R1167" s="8">
        <v>8.1018518518518516E-5</v>
      </c>
      <c r="S1167" s="5" t="s">
        <v>37</v>
      </c>
      <c r="T1167" t="str">
        <f>IF(Tabela1[[#This Row],[STATUS_NEGOCIO]]="Enviar E-mail",1,"")</f>
        <v/>
      </c>
      <c r="U1167" t="str">
        <f>TEXT(Tabela1[[#This Row],[DATA]],"dd/mm/aaaa")</f>
        <v>22/04/2026</v>
      </c>
    </row>
    <row r="1168" spans="1:21" x14ac:dyDescent="0.25">
      <c r="A1168" s="4">
        <v>46134.62835648148</v>
      </c>
      <c r="B1168" s="5" t="s">
        <v>19</v>
      </c>
      <c r="C1168" s="5" t="s">
        <v>37</v>
      </c>
      <c r="D1168" s="5">
        <v>537</v>
      </c>
      <c r="E1168" s="6">
        <v>63110255000127</v>
      </c>
      <c r="F1168" s="5">
        <v>537</v>
      </c>
      <c r="G1168" s="7">
        <v>177688109061171</v>
      </c>
      <c r="H1168" s="5" t="s">
        <v>623</v>
      </c>
      <c r="I1168" s="5">
        <v>3003</v>
      </c>
      <c r="J1168" s="5" t="s">
        <v>22</v>
      </c>
      <c r="K1168" s="5" t="s">
        <v>23</v>
      </c>
      <c r="L1168" s="5" t="s">
        <v>31</v>
      </c>
      <c r="M1168" s="5" t="s">
        <v>284</v>
      </c>
      <c r="N1168" s="5" t="s">
        <v>53</v>
      </c>
      <c r="O1168" s="5">
        <v>128</v>
      </c>
      <c r="P1168" s="5"/>
      <c r="Q1168" s="5"/>
      <c r="R1168" s="8">
        <v>8.1018518518518516E-5</v>
      </c>
      <c r="S1168" s="5" t="s">
        <v>37</v>
      </c>
      <c r="T1168" t="str">
        <f>IF(Tabela1[[#This Row],[STATUS_NEGOCIO]]="Enviar E-mail",1,"")</f>
        <v/>
      </c>
      <c r="U1168" t="str">
        <f>TEXT(Tabela1[[#This Row],[DATA]],"dd/mm/aaaa")</f>
        <v>22/04/2026</v>
      </c>
    </row>
    <row r="1169" spans="1:21" x14ac:dyDescent="0.25">
      <c r="A1169" s="4">
        <v>46134.628368055557</v>
      </c>
      <c r="B1169" s="5" t="s">
        <v>19</v>
      </c>
      <c r="C1169" s="5" t="s">
        <v>37</v>
      </c>
      <c r="D1169" s="5">
        <v>538</v>
      </c>
      <c r="E1169" s="6">
        <v>68615988000137</v>
      </c>
      <c r="F1169" s="5">
        <v>538</v>
      </c>
      <c r="G1169" s="7">
        <v>177688109161191</v>
      </c>
      <c r="H1169" s="5" t="s">
        <v>232</v>
      </c>
      <c r="I1169" s="5">
        <v>3003</v>
      </c>
      <c r="J1169" s="5" t="s">
        <v>22</v>
      </c>
      <c r="K1169" s="5" t="s">
        <v>23</v>
      </c>
      <c r="L1169" s="5" t="s">
        <v>31</v>
      </c>
      <c r="M1169" s="5" t="s">
        <v>284</v>
      </c>
      <c r="N1169" s="5" t="s">
        <v>53</v>
      </c>
      <c r="O1169" s="5">
        <v>128</v>
      </c>
      <c r="P1169" s="5"/>
      <c r="Q1169" s="5"/>
      <c r="R1169" s="8">
        <v>8.1018518518518516E-5</v>
      </c>
      <c r="S1169" s="5" t="s">
        <v>37</v>
      </c>
      <c r="T1169" t="str">
        <f>IF(Tabela1[[#This Row],[STATUS_NEGOCIO]]="Enviar E-mail",1,"")</f>
        <v/>
      </c>
      <c r="U1169" t="str">
        <f>TEXT(Tabela1[[#This Row],[DATA]],"dd/mm/aaaa")</f>
        <v>22/04/2026</v>
      </c>
    </row>
    <row r="1170" spans="1:21" x14ac:dyDescent="0.25">
      <c r="A1170" s="4">
        <v>46134.628425925926</v>
      </c>
      <c r="B1170" s="5" t="s">
        <v>19</v>
      </c>
      <c r="C1170" s="5" t="s">
        <v>37</v>
      </c>
      <c r="D1170" s="5">
        <v>539</v>
      </c>
      <c r="E1170" s="6">
        <v>68654938000169</v>
      </c>
      <c r="F1170" s="5">
        <v>539</v>
      </c>
      <c r="G1170" s="7">
        <v>177688109661201</v>
      </c>
      <c r="H1170" s="5" t="s">
        <v>197</v>
      </c>
      <c r="I1170" s="5">
        <v>3003</v>
      </c>
      <c r="J1170" s="5" t="s">
        <v>22</v>
      </c>
      <c r="K1170" s="5" t="s">
        <v>23</v>
      </c>
      <c r="L1170" s="5" t="s">
        <v>31</v>
      </c>
      <c r="M1170" s="5" t="s">
        <v>284</v>
      </c>
      <c r="N1170" s="5" t="s">
        <v>53</v>
      </c>
      <c r="O1170" s="5">
        <v>128</v>
      </c>
      <c r="P1170" s="5"/>
      <c r="Q1170" s="5"/>
      <c r="R1170" s="8">
        <v>8.1018518518518516E-5</v>
      </c>
      <c r="S1170" s="5" t="s">
        <v>37</v>
      </c>
      <c r="T1170" t="str">
        <f>IF(Tabela1[[#This Row],[STATUS_NEGOCIO]]="Enviar E-mail",1,"")</f>
        <v/>
      </c>
      <c r="U1170" t="str">
        <f>TEXT(Tabela1[[#This Row],[DATA]],"dd/mm/aaaa")</f>
        <v>22/04/2026</v>
      </c>
    </row>
    <row r="1171" spans="1:21" x14ac:dyDescent="0.25">
      <c r="A1171" s="4">
        <v>46134.628437500003</v>
      </c>
      <c r="B1171" s="5" t="s">
        <v>19</v>
      </c>
      <c r="C1171" s="5" t="s">
        <v>37</v>
      </c>
      <c r="D1171" s="5">
        <v>540</v>
      </c>
      <c r="E1171" s="6">
        <v>68842905000142</v>
      </c>
      <c r="F1171" s="5">
        <v>540</v>
      </c>
      <c r="G1171" s="7">
        <v>177688109761221</v>
      </c>
      <c r="H1171" s="5" t="s">
        <v>624</v>
      </c>
      <c r="I1171" s="5">
        <v>3003</v>
      </c>
      <c r="J1171" s="5" t="s">
        <v>22</v>
      </c>
      <c r="K1171" s="5" t="s">
        <v>23</v>
      </c>
      <c r="L1171" s="5" t="s">
        <v>31</v>
      </c>
      <c r="M1171" s="5" t="s">
        <v>284</v>
      </c>
      <c r="N1171" s="5" t="s">
        <v>53</v>
      </c>
      <c r="O1171" s="5">
        <v>128</v>
      </c>
      <c r="P1171" s="5"/>
      <c r="Q1171" s="5"/>
      <c r="R1171" s="8">
        <v>8.1018518518518516E-5</v>
      </c>
      <c r="S1171" s="5" t="s">
        <v>37</v>
      </c>
      <c r="T1171" t="str">
        <f>IF(Tabela1[[#This Row],[STATUS_NEGOCIO]]="Enviar E-mail",1,"")</f>
        <v/>
      </c>
      <c r="U1171" t="str">
        <f>TEXT(Tabela1[[#This Row],[DATA]],"dd/mm/aaaa")</f>
        <v>22/04/2026</v>
      </c>
    </row>
    <row r="1172" spans="1:21" x14ac:dyDescent="0.25">
      <c r="A1172" s="4">
        <v>46134.628576388888</v>
      </c>
      <c r="B1172" s="5" t="s">
        <v>19</v>
      </c>
      <c r="C1172" s="5" t="s">
        <v>37</v>
      </c>
      <c r="D1172" s="5">
        <v>541</v>
      </c>
      <c r="E1172" s="6">
        <v>72357726000197</v>
      </c>
      <c r="F1172" s="5">
        <v>541</v>
      </c>
      <c r="G1172" s="7">
        <v>177688110961281</v>
      </c>
      <c r="H1172" s="5" t="s">
        <v>625</v>
      </c>
      <c r="I1172" s="5">
        <v>3003</v>
      </c>
      <c r="J1172" s="5" t="s">
        <v>22</v>
      </c>
      <c r="K1172" s="5" t="s">
        <v>23</v>
      </c>
      <c r="L1172" s="5" t="s">
        <v>31</v>
      </c>
      <c r="M1172" s="5" t="s">
        <v>284</v>
      </c>
      <c r="N1172" s="5" t="s">
        <v>53</v>
      </c>
      <c r="O1172" s="5">
        <v>128</v>
      </c>
      <c r="P1172" s="5"/>
      <c r="Q1172" s="5"/>
      <c r="R1172" s="8">
        <v>6.9444444444444444E-5</v>
      </c>
      <c r="S1172" s="5" t="s">
        <v>37</v>
      </c>
      <c r="T1172" t="str">
        <f>IF(Tabela1[[#This Row],[STATUS_NEGOCIO]]="Enviar E-mail",1,"")</f>
        <v/>
      </c>
      <c r="U1172" t="str">
        <f>TEXT(Tabela1[[#This Row],[DATA]],"dd/mm/aaaa")</f>
        <v>22/04/2026</v>
      </c>
    </row>
    <row r="1173" spans="1:21" x14ac:dyDescent="0.25">
      <c r="A1173" s="4">
        <v>46134.628622685188</v>
      </c>
      <c r="B1173" s="5" t="s">
        <v>19</v>
      </c>
      <c r="C1173" s="5" t="s">
        <v>37</v>
      </c>
      <c r="D1173" s="5">
        <v>542</v>
      </c>
      <c r="E1173" s="6">
        <v>72493794000183</v>
      </c>
      <c r="F1173" s="5">
        <v>542</v>
      </c>
      <c r="G1173" s="7">
        <v>177688111361311</v>
      </c>
      <c r="H1173" s="5" t="s">
        <v>626</v>
      </c>
      <c r="I1173" s="5">
        <v>3003</v>
      </c>
      <c r="J1173" s="5" t="s">
        <v>22</v>
      </c>
      <c r="K1173" s="5" t="s">
        <v>23</v>
      </c>
      <c r="L1173" s="5" t="s">
        <v>31</v>
      </c>
      <c r="M1173" s="5" t="s">
        <v>284</v>
      </c>
      <c r="N1173" s="5" t="s">
        <v>53</v>
      </c>
      <c r="O1173" s="5">
        <v>128</v>
      </c>
      <c r="P1173" s="5"/>
      <c r="Q1173" s="5"/>
      <c r="R1173" s="8">
        <v>8.1018518518518516E-5</v>
      </c>
      <c r="S1173" s="5" t="s">
        <v>37</v>
      </c>
      <c r="T1173" t="str">
        <f>IF(Tabela1[[#This Row],[STATUS_NEGOCIO]]="Enviar E-mail",1,"")</f>
        <v/>
      </c>
      <c r="U1173" t="str">
        <f>TEXT(Tabela1[[#This Row],[DATA]],"dd/mm/aaaa")</f>
        <v>22/04/2026</v>
      </c>
    </row>
    <row r="1174" spans="1:21" x14ac:dyDescent="0.25">
      <c r="A1174" s="4">
        <v>46134.628622685188</v>
      </c>
      <c r="B1174" s="5" t="s">
        <v>19</v>
      </c>
      <c r="C1174" s="5" t="s">
        <v>37</v>
      </c>
      <c r="D1174" s="5">
        <v>543</v>
      </c>
      <c r="E1174" s="6">
        <v>73275570000168</v>
      </c>
      <c r="F1174" s="5">
        <v>543</v>
      </c>
      <c r="G1174" s="7">
        <v>177688111361321</v>
      </c>
      <c r="H1174" s="5" t="s">
        <v>69</v>
      </c>
      <c r="I1174" s="5">
        <v>3003</v>
      </c>
      <c r="J1174" s="5" t="s">
        <v>22</v>
      </c>
      <c r="K1174" s="5" t="s">
        <v>23</v>
      </c>
      <c r="L1174" s="5" t="s">
        <v>31</v>
      </c>
      <c r="M1174" s="5" t="s">
        <v>284</v>
      </c>
      <c r="N1174" s="5" t="s">
        <v>53</v>
      </c>
      <c r="O1174" s="5">
        <v>128</v>
      </c>
      <c r="P1174" s="5"/>
      <c r="Q1174" s="5"/>
      <c r="R1174" s="8">
        <v>8.1018518518518516E-5</v>
      </c>
      <c r="S1174" s="5" t="s">
        <v>37</v>
      </c>
      <c r="T1174" t="str">
        <f>IF(Tabela1[[#This Row],[STATUS_NEGOCIO]]="Enviar E-mail",1,"")</f>
        <v/>
      </c>
      <c r="U1174" t="str">
        <f>TEXT(Tabela1[[#This Row],[DATA]],"dd/mm/aaaa")</f>
        <v>22/04/2026</v>
      </c>
    </row>
    <row r="1175" spans="1:21" x14ac:dyDescent="0.25">
      <c r="A1175" s="4">
        <v>46134.628668981481</v>
      </c>
      <c r="B1175" s="5" t="s">
        <v>19</v>
      </c>
      <c r="C1175" s="5" t="s">
        <v>37</v>
      </c>
      <c r="D1175" s="5">
        <v>544</v>
      </c>
      <c r="E1175" s="6">
        <v>73353534000175</v>
      </c>
      <c r="F1175" s="5">
        <v>544</v>
      </c>
      <c r="G1175" s="7">
        <v>177688111761341</v>
      </c>
      <c r="H1175" s="5" t="s">
        <v>627</v>
      </c>
      <c r="I1175" s="5" t="s">
        <v>52</v>
      </c>
      <c r="J1175" s="5" t="s">
        <v>22</v>
      </c>
      <c r="K1175" s="5" t="s">
        <v>36</v>
      </c>
      <c r="L1175" s="5" t="s">
        <v>36</v>
      </c>
      <c r="M1175" s="5" t="s">
        <v>284</v>
      </c>
      <c r="N1175" s="5" t="s">
        <v>53</v>
      </c>
      <c r="O1175" s="5">
        <v>19</v>
      </c>
      <c r="P1175" s="5"/>
      <c r="Q1175" s="5"/>
      <c r="R1175" s="8">
        <v>0</v>
      </c>
      <c r="S1175" s="5" t="s">
        <v>37</v>
      </c>
      <c r="T1175" t="str">
        <f>IF(Tabela1[[#This Row],[STATUS_NEGOCIO]]="Enviar E-mail",1,"")</f>
        <v/>
      </c>
      <c r="U1175" t="str">
        <f>TEXT(Tabela1[[#This Row],[DATA]],"dd/mm/aaaa")</f>
        <v>22/04/2026</v>
      </c>
    </row>
    <row r="1176" spans="1:21" x14ac:dyDescent="0.25">
      <c r="A1176" s="4">
        <v>46134.628865740742</v>
      </c>
      <c r="B1176" s="5" t="s">
        <v>19</v>
      </c>
      <c r="C1176" s="5" t="s">
        <v>37</v>
      </c>
      <c r="D1176" s="5">
        <v>545</v>
      </c>
      <c r="E1176" s="6">
        <v>73630725000137</v>
      </c>
      <c r="F1176" s="5">
        <v>545</v>
      </c>
      <c r="G1176" s="7">
        <v>177688113461361</v>
      </c>
      <c r="H1176" s="5" t="s">
        <v>119</v>
      </c>
      <c r="I1176" s="5">
        <v>3003</v>
      </c>
      <c r="J1176" s="5" t="s">
        <v>22</v>
      </c>
      <c r="K1176" s="5" t="s">
        <v>23</v>
      </c>
      <c r="L1176" s="5" t="s">
        <v>31</v>
      </c>
      <c r="M1176" s="5" t="s">
        <v>284</v>
      </c>
      <c r="N1176" s="5" t="s">
        <v>53</v>
      </c>
      <c r="O1176" s="5">
        <v>128</v>
      </c>
      <c r="P1176" s="5"/>
      <c r="Q1176" s="5"/>
      <c r="R1176" s="8">
        <v>8.1018518518518516E-5</v>
      </c>
      <c r="S1176" s="5" t="s">
        <v>37</v>
      </c>
      <c r="T1176" t="str">
        <f>IF(Tabela1[[#This Row],[STATUS_NEGOCIO]]="Enviar E-mail",1,"")</f>
        <v/>
      </c>
      <c r="U1176" t="str">
        <f>TEXT(Tabela1[[#This Row],[DATA]],"dd/mm/aaaa")</f>
        <v>22/04/2026</v>
      </c>
    </row>
    <row r="1177" spans="1:21" x14ac:dyDescent="0.25">
      <c r="A1177" s="4">
        <v>46134.629004629627</v>
      </c>
      <c r="B1177" s="5" t="s">
        <v>19</v>
      </c>
      <c r="C1177" s="5" t="s">
        <v>37</v>
      </c>
      <c r="D1177" s="5">
        <v>546</v>
      </c>
      <c r="E1177" s="6">
        <v>73852469000122</v>
      </c>
      <c r="F1177" s="5">
        <v>546</v>
      </c>
      <c r="G1177" s="7">
        <v>177688114661381</v>
      </c>
      <c r="H1177" s="5" t="s">
        <v>628</v>
      </c>
      <c r="I1177" s="5">
        <v>3003</v>
      </c>
      <c r="J1177" s="5" t="s">
        <v>22</v>
      </c>
      <c r="K1177" s="5" t="s">
        <v>23</v>
      </c>
      <c r="L1177" s="5" t="s">
        <v>31</v>
      </c>
      <c r="M1177" s="5" t="s">
        <v>284</v>
      </c>
      <c r="N1177" s="5" t="s">
        <v>53</v>
      </c>
      <c r="O1177" s="5">
        <v>128</v>
      </c>
      <c r="P1177" s="5"/>
      <c r="Q1177" s="5"/>
      <c r="R1177" s="8">
        <v>8.1018518518518516E-5</v>
      </c>
      <c r="S1177" s="5" t="s">
        <v>37</v>
      </c>
      <c r="T1177" t="str">
        <f>IF(Tabela1[[#This Row],[STATUS_NEGOCIO]]="Enviar E-mail",1,"")</f>
        <v/>
      </c>
      <c r="U1177" t="str">
        <f>TEXT(Tabela1[[#This Row],[DATA]],"dd/mm/aaaa")</f>
        <v>22/04/2026</v>
      </c>
    </row>
    <row r="1178" spans="1:21" x14ac:dyDescent="0.25">
      <c r="A1178" s="4">
        <v>46134.629050925927</v>
      </c>
      <c r="B1178" s="5" t="s">
        <v>19</v>
      </c>
      <c r="C1178" s="5" t="s">
        <v>37</v>
      </c>
      <c r="D1178" s="5">
        <v>547</v>
      </c>
      <c r="E1178" s="6">
        <v>82449760000145</v>
      </c>
      <c r="F1178" s="5">
        <v>547</v>
      </c>
      <c r="G1178" s="7">
        <v>177688115061401</v>
      </c>
      <c r="H1178" s="5" t="s">
        <v>629</v>
      </c>
      <c r="I1178" s="5">
        <v>3003</v>
      </c>
      <c r="J1178" s="5" t="s">
        <v>22</v>
      </c>
      <c r="K1178" s="5" t="s">
        <v>23</v>
      </c>
      <c r="L1178" s="5" t="s">
        <v>31</v>
      </c>
      <c r="M1178" s="5" t="s">
        <v>284</v>
      </c>
      <c r="N1178" s="5" t="s">
        <v>53</v>
      </c>
      <c r="O1178" s="5">
        <v>128</v>
      </c>
      <c r="P1178" s="5"/>
      <c r="Q1178" s="5"/>
      <c r="R1178" s="8">
        <v>8.1018518518518516E-5</v>
      </c>
      <c r="S1178" s="5" t="s">
        <v>37</v>
      </c>
      <c r="T1178" t="str">
        <f>IF(Tabela1[[#This Row],[STATUS_NEGOCIO]]="Enviar E-mail",1,"")</f>
        <v/>
      </c>
      <c r="U1178" t="str">
        <f>TEXT(Tabela1[[#This Row],[DATA]],"dd/mm/aaaa")</f>
        <v>22/04/2026</v>
      </c>
    </row>
    <row r="1179" spans="1:21" x14ac:dyDescent="0.25">
      <c r="A1179" s="4">
        <v>46134.629143518519</v>
      </c>
      <c r="B1179" s="5" t="s">
        <v>19</v>
      </c>
      <c r="C1179" s="5" t="s">
        <v>37</v>
      </c>
      <c r="D1179" s="5">
        <v>549</v>
      </c>
      <c r="E1179" s="6">
        <v>86936481000167</v>
      </c>
      <c r="F1179" s="5">
        <v>549</v>
      </c>
      <c r="G1179" s="7">
        <v>177688115861441</v>
      </c>
      <c r="H1179" s="5" t="s">
        <v>97</v>
      </c>
      <c r="I1179" s="5">
        <v>3003</v>
      </c>
      <c r="J1179" s="5" t="s">
        <v>22</v>
      </c>
      <c r="K1179" s="5" t="s">
        <v>23</v>
      </c>
      <c r="L1179" s="5" t="s">
        <v>31</v>
      </c>
      <c r="M1179" s="5" t="s">
        <v>284</v>
      </c>
      <c r="N1179" s="5" t="s">
        <v>53</v>
      </c>
      <c r="O1179" s="5">
        <v>128</v>
      </c>
      <c r="P1179" s="5"/>
      <c r="Q1179" s="5"/>
      <c r="R1179" s="8">
        <v>6.9444444444444444E-5</v>
      </c>
      <c r="S1179" s="5" t="s">
        <v>37</v>
      </c>
      <c r="T1179" t="str">
        <f>IF(Tabela1[[#This Row],[STATUS_NEGOCIO]]="Enviar E-mail",1,"")</f>
        <v/>
      </c>
      <c r="U1179" t="str">
        <f>TEXT(Tabela1[[#This Row],[DATA]],"dd/mm/aaaa")</f>
        <v>22/04/2026</v>
      </c>
    </row>
    <row r="1180" spans="1:21" x14ac:dyDescent="0.25">
      <c r="A1180" s="4">
        <v>46134.629224537035</v>
      </c>
      <c r="B1180" s="5" t="s">
        <v>19</v>
      </c>
      <c r="C1180" s="5" t="s">
        <v>37</v>
      </c>
      <c r="D1180" s="5">
        <v>550</v>
      </c>
      <c r="E1180" s="6">
        <v>97537119000130</v>
      </c>
      <c r="F1180" s="5">
        <v>550</v>
      </c>
      <c r="G1180" s="7">
        <v>177688116561461</v>
      </c>
      <c r="H1180" s="5" t="s">
        <v>630</v>
      </c>
      <c r="I1180" s="5">
        <v>3003</v>
      </c>
      <c r="J1180" s="5" t="s">
        <v>22</v>
      </c>
      <c r="K1180" s="5" t="s">
        <v>23</v>
      </c>
      <c r="L1180" s="5" t="s">
        <v>31</v>
      </c>
      <c r="M1180" s="5" t="s">
        <v>284</v>
      </c>
      <c r="N1180" s="5" t="s">
        <v>53</v>
      </c>
      <c r="O1180" s="5">
        <v>128</v>
      </c>
      <c r="P1180" s="5"/>
      <c r="Q1180" s="5"/>
      <c r="R1180" s="8">
        <v>8.1018518518518516E-5</v>
      </c>
      <c r="S1180" s="5" t="s">
        <v>37</v>
      </c>
      <c r="T1180" t="str">
        <f>IF(Tabela1[[#This Row],[STATUS_NEGOCIO]]="Enviar E-mail",1,"")</f>
        <v/>
      </c>
      <c r="U1180" t="str">
        <f>TEXT(Tabela1[[#This Row],[DATA]],"dd/mm/aaaa")</f>
        <v>22/04/2026</v>
      </c>
    </row>
    <row r="1181" spans="1:21" x14ac:dyDescent="0.25">
      <c r="A1181" s="4">
        <v>46134.629594907405</v>
      </c>
      <c r="B1181" s="5" t="s">
        <v>19</v>
      </c>
      <c r="C1181" s="5" t="s">
        <v>37</v>
      </c>
      <c r="D1181" s="5">
        <v>548</v>
      </c>
      <c r="E1181" s="6">
        <v>86932266000198</v>
      </c>
      <c r="F1181" s="5">
        <v>548</v>
      </c>
      <c r="G1181" s="7">
        <v>177688115361421</v>
      </c>
      <c r="H1181" s="5" t="s">
        <v>631</v>
      </c>
      <c r="I1181" s="5">
        <v>3003</v>
      </c>
      <c r="J1181" s="5" t="s">
        <v>22</v>
      </c>
      <c r="K1181" s="5" t="s">
        <v>23</v>
      </c>
      <c r="L1181" s="5" t="s">
        <v>31</v>
      </c>
      <c r="M1181" s="5" t="s">
        <v>284</v>
      </c>
      <c r="N1181" s="5" t="s">
        <v>26</v>
      </c>
      <c r="O1181" s="5">
        <v>131</v>
      </c>
      <c r="P1181" s="5"/>
      <c r="Q1181" s="5"/>
      <c r="R1181" s="8">
        <v>3.3564814814814812E-4</v>
      </c>
      <c r="S1181" s="5" t="s">
        <v>37</v>
      </c>
      <c r="T1181" t="str">
        <f>IF(Tabela1[[#This Row],[STATUS_NEGOCIO]]="Enviar E-mail",1,"")</f>
        <v/>
      </c>
      <c r="U1181" t="str">
        <f>TEXT(Tabela1[[#This Row],[DATA]],"dd/mm/aaaa")</f>
        <v>22/04/2026</v>
      </c>
    </row>
    <row r="1182" spans="1:21" x14ac:dyDescent="0.25">
      <c r="A1182" s="4">
        <v>46134.651944444442</v>
      </c>
      <c r="B1182" s="5" t="s">
        <v>19</v>
      </c>
      <c r="C1182" s="5" t="s">
        <v>37</v>
      </c>
      <c r="D1182" s="5">
        <v>7</v>
      </c>
      <c r="E1182" s="6">
        <v>451332000192</v>
      </c>
      <c r="F1182" s="5">
        <v>7</v>
      </c>
      <c r="G1182" s="7">
        <v>177688312863351</v>
      </c>
      <c r="H1182" s="5" t="s">
        <v>257</v>
      </c>
      <c r="I1182" s="5">
        <v>3003</v>
      </c>
      <c r="J1182" s="5" t="s">
        <v>22</v>
      </c>
      <c r="K1182" s="5" t="s">
        <v>23</v>
      </c>
      <c r="L1182" s="5" t="s">
        <v>31</v>
      </c>
      <c r="M1182" s="5" t="s">
        <v>284</v>
      </c>
      <c r="N1182" s="5" t="s">
        <v>53</v>
      </c>
      <c r="O1182" s="5">
        <v>147</v>
      </c>
      <c r="P1182" s="5"/>
      <c r="Q1182" s="5"/>
      <c r="R1182" s="8">
        <v>8.1018518518518516E-5</v>
      </c>
      <c r="S1182" s="5" t="s">
        <v>37</v>
      </c>
      <c r="T1182" t="str">
        <f>IF(Tabela1[[#This Row],[STATUS_NEGOCIO]]="Enviar E-mail",1,"")</f>
        <v/>
      </c>
      <c r="U1182" t="str">
        <f>TEXT(Tabela1[[#This Row],[DATA]],"dd/mm/aaaa")</f>
        <v>22/04/2026</v>
      </c>
    </row>
    <row r="1183" spans="1:21" x14ac:dyDescent="0.25">
      <c r="A1183" s="4">
        <v>46134.651944444442</v>
      </c>
      <c r="B1183" s="5" t="s">
        <v>19</v>
      </c>
      <c r="C1183" s="5" t="s">
        <v>37</v>
      </c>
      <c r="D1183" s="5">
        <v>13</v>
      </c>
      <c r="E1183" s="6">
        <v>1056628000171</v>
      </c>
      <c r="F1183" s="5">
        <v>13</v>
      </c>
      <c r="G1183" s="7">
        <v>177688312863361</v>
      </c>
      <c r="H1183" s="5" t="s">
        <v>262</v>
      </c>
      <c r="I1183" s="5">
        <v>3003</v>
      </c>
      <c r="J1183" s="5" t="s">
        <v>22</v>
      </c>
      <c r="K1183" s="5" t="s">
        <v>23</v>
      </c>
      <c r="L1183" s="5" t="s">
        <v>31</v>
      </c>
      <c r="M1183" s="5" t="s">
        <v>284</v>
      </c>
      <c r="N1183" s="5" t="s">
        <v>53</v>
      </c>
      <c r="O1183" s="5">
        <v>128</v>
      </c>
      <c r="P1183" s="5"/>
      <c r="Q1183" s="5"/>
      <c r="R1183" s="8">
        <v>6.9444444444444444E-5</v>
      </c>
      <c r="S1183" s="5" t="s">
        <v>37</v>
      </c>
      <c r="T1183" t="str">
        <f>IF(Tabela1[[#This Row],[STATUS_NEGOCIO]]="Enviar E-mail",1,"")</f>
        <v/>
      </c>
      <c r="U1183" t="str">
        <f>TEXT(Tabela1[[#This Row],[DATA]],"dd/mm/aaaa")</f>
        <v>22/04/2026</v>
      </c>
    </row>
    <row r="1184" spans="1:21" x14ac:dyDescent="0.25">
      <c r="A1184" s="4">
        <v>46134.651944444442</v>
      </c>
      <c r="B1184" s="5" t="s">
        <v>19</v>
      </c>
      <c r="C1184" s="5" t="s">
        <v>37</v>
      </c>
      <c r="D1184" s="5">
        <v>17</v>
      </c>
      <c r="E1184" s="6">
        <v>1340549000198</v>
      </c>
      <c r="F1184" s="5">
        <v>17</v>
      </c>
      <c r="G1184" s="7">
        <v>177688312863371</v>
      </c>
      <c r="H1184" s="5" t="s">
        <v>281</v>
      </c>
      <c r="I1184" s="5">
        <v>3003</v>
      </c>
      <c r="J1184" s="5" t="s">
        <v>22</v>
      </c>
      <c r="K1184" s="5" t="s">
        <v>23</v>
      </c>
      <c r="L1184" s="5" t="s">
        <v>31</v>
      </c>
      <c r="M1184" s="5" t="s">
        <v>284</v>
      </c>
      <c r="N1184" s="5" t="s">
        <v>53</v>
      </c>
      <c r="O1184" s="5">
        <v>128</v>
      </c>
      <c r="P1184" s="5"/>
      <c r="Q1184" s="5"/>
      <c r="R1184" s="8">
        <v>8.1018518518518516E-5</v>
      </c>
      <c r="S1184" s="5" t="s">
        <v>37</v>
      </c>
      <c r="T1184" t="str">
        <f>IF(Tabela1[[#This Row],[STATUS_NEGOCIO]]="Enviar E-mail",1,"")</f>
        <v/>
      </c>
      <c r="U1184" t="str">
        <f>TEXT(Tabela1[[#This Row],[DATA]],"dd/mm/aaaa")</f>
        <v>22/04/2026</v>
      </c>
    </row>
    <row r="1185" spans="1:21" x14ac:dyDescent="0.25">
      <c r="A1185" s="4">
        <v>46134.651944444442</v>
      </c>
      <c r="B1185" s="5" t="s">
        <v>19</v>
      </c>
      <c r="C1185" s="5" t="s">
        <v>37</v>
      </c>
      <c r="D1185" s="5">
        <v>18</v>
      </c>
      <c r="E1185" s="6">
        <v>1387961000163</v>
      </c>
      <c r="F1185" s="5">
        <v>18</v>
      </c>
      <c r="G1185" s="7">
        <v>177688312863381</v>
      </c>
      <c r="H1185" s="5" t="s">
        <v>267</v>
      </c>
      <c r="I1185" s="5">
        <v>3003</v>
      </c>
      <c r="J1185" s="5" t="s">
        <v>22</v>
      </c>
      <c r="K1185" s="5" t="s">
        <v>23</v>
      </c>
      <c r="L1185" s="5" t="s">
        <v>31</v>
      </c>
      <c r="M1185" s="5" t="s">
        <v>284</v>
      </c>
      <c r="N1185" s="5" t="s">
        <v>53</v>
      </c>
      <c r="O1185" s="5">
        <v>128</v>
      </c>
      <c r="P1185" s="5"/>
      <c r="Q1185" s="5"/>
      <c r="R1185" s="8">
        <v>8.1018518518518516E-5</v>
      </c>
      <c r="S1185" s="5" t="s">
        <v>37</v>
      </c>
      <c r="T1185" t="str">
        <f>IF(Tabela1[[#This Row],[STATUS_NEGOCIO]]="Enviar E-mail",1,"")</f>
        <v/>
      </c>
      <c r="U1185" t="str">
        <f>TEXT(Tabela1[[#This Row],[DATA]],"dd/mm/aaaa")</f>
        <v>22/04/2026</v>
      </c>
    </row>
    <row r="1186" spans="1:21" x14ac:dyDescent="0.25">
      <c r="A1186" s="4">
        <v>46134.65216435185</v>
      </c>
      <c r="B1186" s="5" t="s">
        <v>19</v>
      </c>
      <c r="C1186" s="5" t="s">
        <v>37</v>
      </c>
      <c r="D1186" s="5">
        <v>19</v>
      </c>
      <c r="E1186" s="6">
        <v>1399122000165</v>
      </c>
      <c r="F1186" s="5">
        <v>19</v>
      </c>
      <c r="G1186" s="7">
        <v>177688314763401</v>
      </c>
      <c r="H1186" s="5" t="s">
        <v>285</v>
      </c>
      <c r="I1186" s="5" t="s">
        <v>52</v>
      </c>
      <c r="J1186" s="5" t="s">
        <v>22</v>
      </c>
      <c r="K1186" s="5" t="s">
        <v>36</v>
      </c>
      <c r="L1186" s="5" t="s">
        <v>36</v>
      </c>
      <c r="M1186" s="5" t="s">
        <v>284</v>
      </c>
      <c r="N1186" s="5" t="s">
        <v>53</v>
      </c>
      <c r="O1186" s="5">
        <v>19</v>
      </c>
      <c r="P1186" s="5"/>
      <c r="Q1186" s="5"/>
      <c r="R1186" s="8">
        <v>0</v>
      </c>
      <c r="S1186" s="5" t="s">
        <v>37</v>
      </c>
      <c r="T1186" t="str">
        <f>IF(Tabela1[[#This Row],[STATUS_NEGOCIO]]="Enviar E-mail",1,"")</f>
        <v/>
      </c>
      <c r="U1186" t="str">
        <f>TEXT(Tabela1[[#This Row],[DATA]],"dd/mm/aaaa")</f>
        <v>22/04/2026</v>
      </c>
    </row>
    <row r="1187" spans="1:21" x14ac:dyDescent="0.25">
      <c r="A1187" s="4">
        <v>46134.652372685188</v>
      </c>
      <c r="B1187" s="5" t="s">
        <v>19</v>
      </c>
      <c r="C1187" s="5" t="s">
        <v>37</v>
      </c>
      <c r="D1187" s="5">
        <v>22</v>
      </c>
      <c r="E1187" s="6">
        <v>1632895000140</v>
      </c>
      <c r="F1187" s="5">
        <v>22</v>
      </c>
      <c r="G1187" s="7">
        <v>177688316563481</v>
      </c>
      <c r="H1187" s="5" t="s">
        <v>287</v>
      </c>
      <c r="I1187" s="5">
        <v>3003</v>
      </c>
      <c r="J1187" s="5" t="s">
        <v>22</v>
      </c>
      <c r="K1187" s="5" t="s">
        <v>23</v>
      </c>
      <c r="L1187" s="5" t="s">
        <v>31</v>
      </c>
      <c r="M1187" s="5" t="s">
        <v>284</v>
      </c>
      <c r="N1187" s="5" t="s">
        <v>53</v>
      </c>
      <c r="O1187" s="5">
        <v>147</v>
      </c>
      <c r="P1187" s="5"/>
      <c r="Q1187" s="5"/>
      <c r="R1187" s="8">
        <v>8.1018518518518516E-5</v>
      </c>
      <c r="S1187" s="5" t="s">
        <v>37</v>
      </c>
      <c r="T1187" t="str">
        <f>IF(Tabela1[[#This Row],[STATUS_NEGOCIO]]="Enviar E-mail",1,"")</f>
        <v/>
      </c>
      <c r="U1187" t="str">
        <f>TEXT(Tabela1[[#This Row],[DATA]],"dd/mm/aaaa")</f>
        <v>22/04/2026</v>
      </c>
    </row>
    <row r="1188" spans="1:21" x14ac:dyDescent="0.25">
      <c r="A1188" s="4">
        <v>46134.652581018519</v>
      </c>
      <c r="B1188" s="5" t="s">
        <v>19</v>
      </c>
      <c r="C1188" s="5" t="s">
        <v>37</v>
      </c>
      <c r="D1188" s="5">
        <v>28</v>
      </c>
      <c r="E1188" s="6">
        <v>1978794000125</v>
      </c>
      <c r="F1188" s="5">
        <v>28</v>
      </c>
      <c r="G1188" s="7">
        <v>177688318363581</v>
      </c>
      <c r="H1188" s="5" t="s">
        <v>292</v>
      </c>
      <c r="I1188" s="5">
        <v>3003</v>
      </c>
      <c r="J1188" s="5" t="s">
        <v>22</v>
      </c>
      <c r="K1188" s="5" t="s">
        <v>23</v>
      </c>
      <c r="L1188" s="5" t="s">
        <v>31</v>
      </c>
      <c r="M1188" s="5" t="s">
        <v>284</v>
      </c>
      <c r="N1188" s="5" t="s">
        <v>53</v>
      </c>
      <c r="O1188" s="5">
        <v>128</v>
      </c>
      <c r="P1188" s="5"/>
      <c r="Q1188" s="5"/>
      <c r="R1188" s="8">
        <v>8.1018518518518516E-5</v>
      </c>
      <c r="S1188" s="5" t="s">
        <v>37</v>
      </c>
      <c r="T1188" t="str">
        <f>IF(Tabela1[[#This Row],[STATUS_NEGOCIO]]="Enviar E-mail",1,"")</f>
        <v/>
      </c>
      <c r="U1188" t="str">
        <f>TEXT(Tabela1[[#This Row],[DATA]],"dd/mm/aaaa")</f>
        <v>22/04/2026</v>
      </c>
    </row>
    <row r="1189" spans="1:21" x14ac:dyDescent="0.25">
      <c r="A1189" s="4">
        <v>46134.652592592596</v>
      </c>
      <c r="B1189" s="5" t="s">
        <v>19</v>
      </c>
      <c r="C1189" s="5" t="s">
        <v>37</v>
      </c>
      <c r="D1189" s="5">
        <v>32</v>
      </c>
      <c r="E1189" s="6">
        <v>2113776000143</v>
      </c>
      <c r="F1189" s="5">
        <v>32</v>
      </c>
      <c r="G1189" s="7">
        <v>177688318463601</v>
      </c>
      <c r="H1189" s="5" t="s">
        <v>294</v>
      </c>
      <c r="I1189" s="5">
        <v>3003</v>
      </c>
      <c r="J1189" s="5" t="s">
        <v>22</v>
      </c>
      <c r="K1189" s="5" t="s">
        <v>23</v>
      </c>
      <c r="L1189" s="5" t="s">
        <v>31</v>
      </c>
      <c r="M1189" s="5" t="s">
        <v>284</v>
      </c>
      <c r="N1189" s="5" t="s">
        <v>53</v>
      </c>
      <c r="O1189" s="5">
        <v>147</v>
      </c>
      <c r="P1189" s="5"/>
      <c r="Q1189" s="5"/>
      <c r="R1189" s="8">
        <v>8.1018518518518516E-5</v>
      </c>
      <c r="S1189" s="5" t="s">
        <v>37</v>
      </c>
      <c r="T1189" t="str">
        <f>IF(Tabela1[[#This Row],[STATUS_NEGOCIO]]="Enviar E-mail",1,"")</f>
        <v/>
      </c>
      <c r="U1189" t="str">
        <f>TEXT(Tabela1[[#This Row],[DATA]],"dd/mm/aaaa")</f>
        <v>22/04/2026</v>
      </c>
    </row>
    <row r="1190" spans="1:21" x14ac:dyDescent="0.25">
      <c r="A1190" s="4">
        <v>46134.65283564815</v>
      </c>
      <c r="B1190" s="5" t="s">
        <v>19</v>
      </c>
      <c r="C1190" s="5" t="s">
        <v>37</v>
      </c>
      <c r="D1190" s="5">
        <v>33</v>
      </c>
      <c r="E1190" s="6">
        <v>2148473000166</v>
      </c>
      <c r="F1190" s="5">
        <v>33</v>
      </c>
      <c r="G1190" s="7">
        <v>177688320563641</v>
      </c>
      <c r="H1190" s="5" t="s">
        <v>283</v>
      </c>
      <c r="I1190" s="5">
        <v>3003</v>
      </c>
      <c r="J1190" s="5" t="s">
        <v>22</v>
      </c>
      <c r="K1190" s="5" t="s">
        <v>23</v>
      </c>
      <c r="L1190" s="5" t="s">
        <v>31</v>
      </c>
      <c r="M1190" s="5" t="s">
        <v>284</v>
      </c>
      <c r="N1190" s="5" t="s">
        <v>53</v>
      </c>
      <c r="O1190" s="5">
        <v>128</v>
      </c>
      <c r="P1190" s="5"/>
      <c r="Q1190" s="5"/>
      <c r="R1190" s="8">
        <v>8.1018518518518516E-5</v>
      </c>
      <c r="S1190" s="5" t="s">
        <v>37</v>
      </c>
      <c r="T1190" t="str">
        <f>IF(Tabela1[[#This Row],[STATUS_NEGOCIO]]="Enviar E-mail",1,"")</f>
        <v/>
      </c>
      <c r="U1190" t="str">
        <f>TEXT(Tabela1[[#This Row],[DATA]],"dd/mm/aaaa")</f>
        <v>22/04/2026</v>
      </c>
    </row>
    <row r="1191" spans="1:21" x14ac:dyDescent="0.25">
      <c r="A1191" s="4">
        <v>46134.65283564815</v>
      </c>
      <c r="B1191" s="5" t="s">
        <v>19</v>
      </c>
      <c r="C1191" s="5" t="s">
        <v>37</v>
      </c>
      <c r="D1191" s="5">
        <v>35</v>
      </c>
      <c r="E1191" s="6">
        <v>2326459000105</v>
      </c>
      <c r="F1191" s="5">
        <v>35</v>
      </c>
      <c r="G1191" s="7">
        <v>177688320563651</v>
      </c>
      <c r="H1191" s="5" t="s">
        <v>295</v>
      </c>
      <c r="I1191" s="5">
        <v>3003</v>
      </c>
      <c r="J1191" s="5" t="s">
        <v>22</v>
      </c>
      <c r="K1191" s="5" t="s">
        <v>23</v>
      </c>
      <c r="L1191" s="5" t="s">
        <v>31</v>
      </c>
      <c r="M1191" s="5" t="s">
        <v>284</v>
      </c>
      <c r="N1191" s="5" t="s">
        <v>53</v>
      </c>
      <c r="O1191" s="5">
        <v>128</v>
      </c>
      <c r="P1191" s="5"/>
      <c r="Q1191" s="5"/>
      <c r="R1191" s="8">
        <v>8.1018518518518516E-5</v>
      </c>
      <c r="S1191" s="5" t="s">
        <v>37</v>
      </c>
      <c r="T1191" t="str">
        <f>IF(Tabela1[[#This Row],[STATUS_NEGOCIO]]="Enviar E-mail",1,"")</f>
        <v/>
      </c>
      <c r="U1191" t="str">
        <f>TEXT(Tabela1[[#This Row],[DATA]],"dd/mm/aaaa")</f>
        <v>22/04/2026</v>
      </c>
    </row>
    <row r="1192" spans="1:21" x14ac:dyDescent="0.25">
      <c r="A1192" s="4">
        <v>46134.653078703705</v>
      </c>
      <c r="B1192" s="5" t="s">
        <v>19</v>
      </c>
      <c r="C1192" s="5" t="s">
        <v>37</v>
      </c>
      <c r="D1192" s="5">
        <v>39</v>
      </c>
      <c r="E1192" s="6">
        <v>2510074000101</v>
      </c>
      <c r="F1192" s="5">
        <v>39</v>
      </c>
      <c r="G1192" s="7">
        <v>177688322663691</v>
      </c>
      <c r="H1192" s="5" t="s">
        <v>299</v>
      </c>
      <c r="I1192" s="5">
        <v>3003</v>
      </c>
      <c r="J1192" s="5" t="s">
        <v>22</v>
      </c>
      <c r="K1192" s="5" t="s">
        <v>23</v>
      </c>
      <c r="L1192" s="5" t="s">
        <v>31</v>
      </c>
      <c r="M1192" s="5" t="s">
        <v>284</v>
      </c>
      <c r="N1192" s="5" t="s">
        <v>53</v>
      </c>
      <c r="O1192" s="5">
        <v>128</v>
      </c>
      <c r="P1192" s="5"/>
      <c r="Q1192" s="5"/>
      <c r="R1192" s="8">
        <v>8.1018518518518516E-5</v>
      </c>
      <c r="S1192" s="5" t="s">
        <v>37</v>
      </c>
      <c r="T1192" t="str">
        <f>IF(Tabela1[[#This Row],[STATUS_NEGOCIO]]="Enviar E-mail",1,"")</f>
        <v/>
      </c>
      <c r="U1192" t="str">
        <f>TEXT(Tabela1[[#This Row],[DATA]],"dd/mm/aaaa")</f>
        <v>22/04/2026</v>
      </c>
    </row>
    <row r="1193" spans="1:21" x14ac:dyDescent="0.25">
      <c r="A1193" s="4">
        <v>46134.653263888889</v>
      </c>
      <c r="B1193" s="5" t="s">
        <v>19</v>
      </c>
      <c r="C1193" s="5" t="s">
        <v>37</v>
      </c>
      <c r="D1193" s="5">
        <v>40</v>
      </c>
      <c r="E1193" s="6">
        <v>2604580000151</v>
      </c>
      <c r="F1193" s="5">
        <v>40</v>
      </c>
      <c r="G1193" s="7">
        <v>177688324263791</v>
      </c>
      <c r="H1193" s="5" t="s">
        <v>300</v>
      </c>
      <c r="I1193" s="5" t="s">
        <v>52</v>
      </c>
      <c r="J1193" s="5" t="s">
        <v>22</v>
      </c>
      <c r="K1193" s="5" t="s">
        <v>36</v>
      </c>
      <c r="L1193" s="5" t="s">
        <v>36</v>
      </c>
      <c r="M1193" s="5" t="s">
        <v>284</v>
      </c>
      <c r="N1193" s="5" t="s">
        <v>53</v>
      </c>
      <c r="O1193" s="5">
        <v>19</v>
      </c>
      <c r="P1193" s="5"/>
      <c r="Q1193" s="5"/>
      <c r="R1193" s="8">
        <v>0</v>
      </c>
      <c r="S1193" s="5" t="s">
        <v>37</v>
      </c>
      <c r="T1193" t="str">
        <f>IF(Tabela1[[#This Row],[STATUS_NEGOCIO]]="Enviar E-mail",1,"")</f>
        <v/>
      </c>
      <c r="U1193" t="str">
        <f>TEXT(Tabela1[[#This Row],[DATA]],"dd/mm/aaaa")</f>
        <v>22/04/2026</v>
      </c>
    </row>
    <row r="1194" spans="1:21" x14ac:dyDescent="0.25">
      <c r="A1194" s="4">
        <v>46134.653287037036</v>
      </c>
      <c r="B1194" s="5" t="s">
        <v>19</v>
      </c>
      <c r="C1194" s="5" t="s">
        <v>37</v>
      </c>
      <c r="D1194" s="5">
        <v>41</v>
      </c>
      <c r="E1194" s="6">
        <v>2605792000153</v>
      </c>
      <c r="F1194" s="5">
        <v>41</v>
      </c>
      <c r="G1194" s="7">
        <v>177688324463801</v>
      </c>
      <c r="H1194" s="5" t="s">
        <v>183</v>
      </c>
      <c r="I1194" s="5">
        <v>3003</v>
      </c>
      <c r="J1194" s="5" t="s">
        <v>22</v>
      </c>
      <c r="K1194" s="5" t="s">
        <v>23</v>
      </c>
      <c r="L1194" s="5" t="s">
        <v>31</v>
      </c>
      <c r="M1194" s="5" t="s">
        <v>284</v>
      </c>
      <c r="N1194" s="5" t="s">
        <v>53</v>
      </c>
      <c r="O1194" s="5">
        <v>128</v>
      </c>
      <c r="P1194" s="5"/>
      <c r="Q1194" s="5"/>
      <c r="R1194" s="8">
        <v>8.1018518518518516E-5</v>
      </c>
      <c r="S1194" s="5" t="s">
        <v>37</v>
      </c>
      <c r="T1194" t="str">
        <f>IF(Tabela1[[#This Row],[STATUS_NEGOCIO]]="Enviar E-mail",1,"")</f>
        <v/>
      </c>
      <c r="U1194" t="str">
        <f>TEXT(Tabela1[[#This Row],[DATA]],"dd/mm/aaaa")</f>
        <v>22/04/2026</v>
      </c>
    </row>
    <row r="1195" spans="1:21" x14ac:dyDescent="0.25">
      <c r="A1195" s="4">
        <v>46134.653460648151</v>
      </c>
      <c r="B1195" s="5" t="s">
        <v>19</v>
      </c>
      <c r="C1195" s="5" t="s">
        <v>37</v>
      </c>
      <c r="D1195" s="5">
        <v>23</v>
      </c>
      <c r="E1195" s="6">
        <v>1721269000120</v>
      </c>
      <c r="F1195" s="5">
        <v>23</v>
      </c>
      <c r="G1195" s="7">
        <v>177688318163551</v>
      </c>
      <c r="H1195" s="5" t="s">
        <v>288</v>
      </c>
      <c r="I1195" s="5">
        <v>3003</v>
      </c>
      <c r="J1195" s="5" t="s">
        <v>22</v>
      </c>
      <c r="K1195" s="5" t="s">
        <v>23</v>
      </c>
      <c r="L1195" s="5" t="s">
        <v>31</v>
      </c>
      <c r="M1195" s="5" t="s">
        <v>284</v>
      </c>
      <c r="N1195" s="5" t="s">
        <v>26</v>
      </c>
      <c r="O1195" s="5">
        <v>131</v>
      </c>
      <c r="P1195" s="5"/>
      <c r="Q1195" s="5"/>
      <c r="R1195" s="8">
        <v>8.6805555555555551E-4</v>
      </c>
      <c r="S1195" s="5" t="s">
        <v>37</v>
      </c>
      <c r="T1195" t="str">
        <f>IF(Tabela1[[#This Row],[STATUS_NEGOCIO]]="Enviar E-mail",1,"")</f>
        <v/>
      </c>
      <c r="U1195" t="str">
        <f>TEXT(Tabela1[[#This Row],[DATA]],"dd/mm/aaaa")</f>
        <v>22/04/2026</v>
      </c>
    </row>
    <row r="1196" spans="1:21" x14ac:dyDescent="0.25">
      <c r="A1196" s="4">
        <v>46134.653495370374</v>
      </c>
      <c r="B1196" s="5" t="s">
        <v>19</v>
      </c>
      <c r="C1196" s="5" t="s">
        <v>37</v>
      </c>
      <c r="D1196" s="5">
        <v>44</v>
      </c>
      <c r="E1196" s="6">
        <v>2823246000199</v>
      </c>
      <c r="F1196" s="5">
        <v>44</v>
      </c>
      <c r="G1196" s="7">
        <v>177688326263911</v>
      </c>
      <c r="H1196" s="5" t="s">
        <v>301</v>
      </c>
      <c r="I1196" s="5">
        <v>3003</v>
      </c>
      <c r="J1196" s="5" t="s">
        <v>22</v>
      </c>
      <c r="K1196" s="5" t="s">
        <v>23</v>
      </c>
      <c r="L1196" s="5" t="s">
        <v>31</v>
      </c>
      <c r="M1196" s="5" t="s">
        <v>284</v>
      </c>
      <c r="N1196" s="5" t="s">
        <v>53</v>
      </c>
      <c r="O1196" s="5">
        <v>128</v>
      </c>
      <c r="P1196" s="5"/>
      <c r="Q1196" s="5"/>
      <c r="R1196" s="8">
        <v>8.1018518518518516E-5</v>
      </c>
      <c r="S1196" s="5" t="s">
        <v>37</v>
      </c>
      <c r="T1196" t="str">
        <f>IF(Tabela1[[#This Row],[STATUS_NEGOCIO]]="Enviar E-mail",1,"")</f>
        <v/>
      </c>
      <c r="U1196" t="str">
        <f>TEXT(Tabela1[[#This Row],[DATA]],"dd/mm/aaaa")</f>
        <v>22/04/2026</v>
      </c>
    </row>
    <row r="1197" spans="1:21" x14ac:dyDescent="0.25">
      <c r="A1197" s="4">
        <v>46134.65351851852</v>
      </c>
      <c r="B1197" s="5" t="s">
        <v>19</v>
      </c>
      <c r="C1197" s="5" t="s">
        <v>37</v>
      </c>
      <c r="D1197" s="5">
        <v>46</v>
      </c>
      <c r="E1197" s="6">
        <v>2961614000165</v>
      </c>
      <c r="F1197" s="5">
        <v>46</v>
      </c>
      <c r="G1197" s="7">
        <v>177688326463931</v>
      </c>
      <c r="H1197" s="5" t="s">
        <v>192</v>
      </c>
      <c r="I1197" s="5" t="s">
        <v>52</v>
      </c>
      <c r="J1197" s="5" t="s">
        <v>22</v>
      </c>
      <c r="K1197" s="5" t="s">
        <v>36</v>
      </c>
      <c r="L1197" s="5" t="s">
        <v>36</v>
      </c>
      <c r="M1197" s="5" t="s">
        <v>284</v>
      </c>
      <c r="N1197" s="5" t="s">
        <v>53</v>
      </c>
      <c r="O1197" s="5">
        <v>19</v>
      </c>
      <c r="P1197" s="5"/>
      <c r="Q1197" s="5"/>
      <c r="R1197" s="8">
        <v>0</v>
      </c>
      <c r="S1197" s="5" t="s">
        <v>37</v>
      </c>
      <c r="T1197" t="str">
        <f>IF(Tabela1[[#This Row],[STATUS_NEGOCIO]]="Enviar E-mail",1,"")</f>
        <v/>
      </c>
      <c r="U1197" t="str">
        <f>TEXT(Tabela1[[#This Row],[DATA]],"dd/mm/aaaa")</f>
        <v>22/04/2026</v>
      </c>
    </row>
    <row r="1198" spans="1:21" x14ac:dyDescent="0.25">
      <c r="A1198" s="4">
        <v>46134.653553240743</v>
      </c>
      <c r="B1198" s="5" t="s">
        <v>19</v>
      </c>
      <c r="C1198" s="5" t="s">
        <v>37</v>
      </c>
      <c r="D1198" s="5">
        <v>47</v>
      </c>
      <c r="E1198" s="6">
        <v>3063053000140</v>
      </c>
      <c r="F1198" s="5">
        <v>47</v>
      </c>
      <c r="G1198" s="7">
        <v>177688326763941</v>
      </c>
      <c r="H1198" s="5" t="s">
        <v>302</v>
      </c>
      <c r="I1198" s="5">
        <v>3003</v>
      </c>
      <c r="J1198" s="5" t="s">
        <v>22</v>
      </c>
      <c r="K1198" s="5" t="s">
        <v>23</v>
      </c>
      <c r="L1198" s="5" t="s">
        <v>31</v>
      </c>
      <c r="M1198" s="5" t="s">
        <v>284</v>
      </c>
      <c r="N1198" s="5" t="s">
        <v>53</v>
      </c>
      <c r="O1198" s="5">
        <v>128</v>
      </c>
      <c r="P1198" s="5"/>
      <c r="Q1198" s="5"/>
      <c r="R1198" s="8">
        <v>8.1018518518518516E-5</v>
      </c>
      <c r="S1198" s="5" t="s">
        <v>37</v>
      </c>
      <c r="T1198" t="str">
        <f>IF(Tabela1[[#This Row],[STATUS_NEGOCIO]]="Enviar E-mail",1,"")</f>
        <v/>
      </c>
      <c r="U1198" t="str">
        <f>TEXT(Tabela1[[#This Row],[DATA]],"dd/mm/aaaa")</f>
        <v>22/04/2026</v>
      </c>
    </row>
    <row r="1199" spans="1:21" x14ac:dyDescent="0.25">
      <c r="A1199" s="4">
        <v>46134.653553240743</v>
      </c>
      <c r="B1199" s="5" t="s">
        <v>19</v>
      </c>
      <c r="C1199" s="5" t="s">
        <v>37</v>
      </c>
      <c r="D1199" s="5">
        <v>49</v>
      </c>
      <c r="E1199" s="6">
        <v>3130917000107</v>
      </c>
      <c r="F1199" s="5">
        <v>49</v>
      </c>
      <c r="G1199" s="7">
        <v>177688326763951</v>
      </c>
      <c r="H1199" s="5" t="s">
        <v>303</v>
      </c>
      <c r="I1199" s="5">
        <v>3003</v>
      </c>
      <c r="J1199" s="5" t="s">
        <v>22</v>
      </c>
      <c r="K1199" s="5" t="s">
        <v>23</v>
      </c>
      <c r="L1199" s="5" t="s">
        <v>31</v>
      </c>
      <c r="M1199" s="5" t="s">
        <v>284</v>
      </c>
      <c r="N1199" s="5" t="s">
        <v>53</v>
      </c>
      <c r="O1199" s="5">
        <v>128</v>
      </c>
      <c r="P1199" s="5"/>
      <c r="Q1199" s="5"/>
      <c r="R1199" s="8">
        <v>8.1018518518518516E-5</v>
      </c>
      <c r="S1199" s="5" t="s">
        <v>37</v>
      </c>
      <c r="T1199" t="str">
        <f>IF(Tabela1[[#This Row],[STATUS_NEGOCIO]]="Enviar E-mail",1,"")</f>
        <v/>
      </c>
      <c r="U1199" t="str">
        <f>TEXT(Tabela1[[#This Row],[DATA]],"dd/mm/aaaa")</f>
        <v>22/04/2026</v>
      </c>
    </row>
    <row r="1200" spans="1:21" x14ac:dyDescent="0.25">
      <c r="A1200" s="4">
        <v>46134.653553240743</v>
      </c>
      <c r="B1200" s="5" t="s">
        <v>19</v>
      </c>
      <c r="C1200" s="5" t="s">
        <v>37</v>
      </c>
      <c r="D1200" s="5">
        <v>50</v>
      </c>
      <c r="E1200" s="6">
        <v>3135802000105</v>
      </c>
      <c r="F1200" s="5">
        <v>50</v>
      </c>
      <c r="G1200" s="7">
        <v>177688326763961</v>
      </c>
      <c r="H1200" s="5" t="s">
        <v>304</v>
      </c>
      <c r="I1200" s="5">
        <v>3003</v>
      </c>
      <c r="J1200" s="5" t="s">
        <v>22</v>
      </c>
      <c r="K1200" s="5" t="s">
        <v>23</v>
      </c>
      <c r="L1200" s="5" t="s">
        <v>31</v>
      </c>
      <c r="M1200" s="5" t="s">
        <v>284</v>
      </c>
      <c r="N1200" s="5" t="s">
        <v>53</v>
      </c>
      <c r="O1200" s="5">
        <v>128</v>
      </c>
      <c r="P1200" s="5"/>
      <c r="Q1200" s="5"/>
      <c r="R1200" s="8">
        <v>8.1018518518518516E-5</v>
      </c>
      <c r="S1200" s="5" t="s">
        <v>37</v>
      </c>
      <c r="T1200" t="str">
        <f>IF(Tabela1[[#This Row],[STATUS_NEGOCIO]]="Enviar E-mail",1,"")</f>
        <v/>
      </c>
      <c r="U1200" t="str">
        <f>TEXT(Tabela1[[#This Row],[DATA]],"dd/mm/aaaa")</f>
        <v>22/04/2026</v>
      </c>
    </row>
    <row r="1201" spans="1:21" x14ac:dyDescent="0.25">
      <c r="A1201" s="4">
        <v>46134.653553240743</v>
      </c>
      <c r="B1201" s="5" t="s">
        <v>19</v>
      </c>
      <c r="C1201" s="5" t="s">
        <v>37</v>
      </c>
      <c r="D1201" s="5">
        <v>51</v>
      </c>
      <c r="E1201" s="6">
        <v>3276131000194</v>
      </c>
      <c r="F1201" s="5">
        <v>51</v>
      </c>
      <c r="G1201" s="7">
        <v>177688326763971</v>
      </c>
      <c r="H1201" s="5" t="s">
        <v>210</v>
      </c>
      <c r="I1201" s="5">
        <v>3003</v>
      </c>
      <c r="J1201" s="5" t="s">
        <v>22</v>
      </c>
      <c r="K1201" s="5" t="s">
        <v>23</v>
      </c>
      <c r="L1201" s="5" t="s">
        <v>31</v>
      </c>
      <c r="M1201" s="5" t="s">
        <v>284</v>
      </c>
      <c r="N1201" s="5" t="s">
        <v>53</v>
      </c>
      <c r="O1201" s="5">
        <v>128</v>
      </c>
      <c r="P1201" s="5"/>
      <c r="Q1201" s="5"/>
      <c r="R1201" s="8">
        <v>8.1018518518518516E-5</v>
      </c>
      <c r="S1201" s="5" t="s">
        <v>37</v>
      </c>
      <c r="T1201" t="str">
        <f>IF(Tabela1[[#This Row],[STATUS_NEGOCIO]]="Enviar E-mail",1,"")</f>
        <v/>
      </c>
      <c r="U1201" t="str">
        <f>TEXT(Tabela1[[#This Row],[DATA]],"dd/mm/aaaa")</f>
        <v>22/04/2026</v>
      </c>
    </row>
    <row r="1202" spans="1:21" x14ac:dyDescent="0.25">
      <c r="A1202" s="4">
        <v>46134.653634259259</v>
      </c>
      <c r="B1202" s="5" t="s">
        <v>19</v>
      </c>
      <c r="C1202" s="5" t="s">
        <v>37</v>
      </c>
      <c r="D1202" s="5">
        <v>52</v>
      </c>
      <c r="E1202" s="6">
        <v>3311811000100</v>
      </c>
      <c r="F1202" s="5">
        <v>52</v>
      </c>
      <c r="G1202" s="7">
        <v>177688327463991</v>
      </c>
      <c r="H1202" s="5" t="s">
        <v>305</v>
      </c>
      <c r="I1202" s="5">
        <v>3003</v>
      </c>
      <c r="J1202" s="5" t="s">
        <v>22</v>
      </c>
      <c r="K1202" s="5" t="s">
        <v>23</v>
      </c>
      <c r="L1202" s="5" t="s">
        <v>31</v>
      </c>
      <c r="M1202" s="5" t="s">
        <v>284</v>
      </c>
      <c r="N1202" s="5" t="s">
        <v>53</v>
      </c>
      <c r="O1202" s="5">
        <v>128</v>
      </c>
      <c r="P1202" s="5"/>
      <c r="Q1202" s="5"/>
      <c r="R1202" s="8">
        <v>8.1018518518518516E-5</v>
      </c>
      <c r="S1202" s="5" t="s">
        <v>37</v>
      </c>
      <c r="T1202" t="str">
        <f>IF(Tabela1[[#This Row],[STATUS_NEGOCIO]]="Enviar E-mail",1,"")</f>
        <v/>
      </c>
      <c r="U1202" t="str">
        <f>TEXT(Tabela1[[#This Row],[DATA]],"dd/mm/aaaa")</f>
        <v>22/04/2026</v>
      </c>
    </row>
    <row r="1203" spans="1:21" x14ac:dyDescent="0.25">
      <c r="A1203" s="4">
        <v>46134.653703703705</v>
      </c>
      <c r="B1203" s="5" t="s">
        <v>19</v>
      </c>
      <c r="C1203" s="5" t="s">
        <v>37</v>
      </c>
      <c r="D1203" s="5">
        <v>53</v>
      </c>
      <c r="E1203" s="6">
        <v>3463826000185</v>
      </c>
      <c r="F1203" s="5">
        <v>53</v>
      </c>
      <c r="G1203" s="7">
        <v>177688328064011</v>
      </c>
      <c r="H1203" s="5" t="s">
        <v>306</v>
      </c>
      <c r="I1203" s="5">
        <v>3003</v>
      </c>
      <c r="J1203" s="5" t="s">
        <v>22</v>
      </c>
      <c r="K1203" s="5" t="s">
        <v>23</v>
      </c>
      <c r="L1203" s="5" t="s">
        <v>31</v>
      </c>
      <c r="M1203" s="5" t="s">
        <v>284</v>
      </c>
      <c r="N1203" s="5" t="s">
        <v>53</v>
      </c>
      <c r="O1203" s="5">
        <v>128</v>
      </c>
      <c r="P1203" s="5"/>
      <c r="Q1203" s="5"/>
      <c r="R1203" s="8">
        <v>8.1018518518518516E-5</v>
      </c>
      <c r="S1203" s="5" t="s">
        <v>37</v>
      </c>
      <c r="T1203" t="str">
        <f>IF(Tabela1[[#This Row],[STATUS_NEGOCIO]]="Enviar E-mail",1,"")</f>
        <v/>
      </c>
      <c r="U1203" t="str">
        <f>TEXT(Tabela1[[#This Row],[DATA]],"dd/mm/aaaa")</f>
        <v>22/04/2026</v>
      </c>
    </row>
    <row r="1204" spans="1:21" x14ac:dyDescent="0.25">
      <c r="A1204" s="4">
        <v>46134.653761574074</v>
      </c>
      <c r="B1204" s="5" t="s">
        <v>19</v>
      </c>
      <c r="C1204" s="5" t="s">
        <v>37</v>
      </c>
      <c r="D1204" s="5">
        <v>55</v>
      </c>
      <c r="E1204" s="6">
        <v>3488597000153</v>
      </c>
      <c r="F1204" s="5">
        <v>55</v>
      </c>
      <c r="G1204" s="7">
        <v>177688328564031</v>
      </c>
      <c r="H1204" s="5" t="s">
        <v>308</v>
      </c>
      <c r="I1204" s="5">
        <v>3003</v>
      </c>
      <c r="J1204" s="5" t="s">
        <v>22</v>
      </c>
      <c r="K1204" s="5" t="s">
        <v>23</v>
      </c>
      <c r="L1204" s="5" t="s">
        <v>31</v>
      </c>
      <c r="M1204" s="5" t="s">
        <v>284</v>
      </c>
      <c r="N1204" s="5" t="s">
        <v>53</v>
      </c>
      <c r="O1204" s="5">
        <v>128</v>
      </c>
      <c r="P1204" s="5"/>
      <c r="Q1204" s="5"/>
      <c r="R1204" s="8">
        <v>8.1018518518518516E-5</v>
      </c>
      <c r="S1204" s="5" t="s">
        <v>37</v>
      </c>
      <c r="T1204" t="str">
        <f>IF(Tabela1[[#This Row],[STATUS_NEGOCIO]]="Enviar E-mail",1,"")</f>
        <v/>
      </c>
      <c r="U1204" t="str">
        <f>TEXT(Tabela1[[#This Row],[DATA]],"dd/mm/aaaa")</f>
        <v>22/04/2026</v>
      </c>
    </row>
    <row r="1205" spans="1:21" x14ac:dyDescent="0.25">
      <c r="A1205" s="4">
        <v>46134.653819444444</v>
      </c>
      <c r="B1205" s="5" t="s">
        <v>19</v>
      </c>
      <c r="C1205" s="5" t="s">
        <v>27</v>
      </c>
      <c r="D1205" s="5">
        <v>56</v>
      </c>
      <c r="E1205" s="6">
        <v>3569821000131</v>
      </c>
      <c r="F1205" s="5">
        <v>56</v>
      </c>
      <c r="G1205" s="7">
        <v>177688328964051</v>
      </c>
      <c r="H1205" s="5" t="s">
        <v>309</v>
      </c>
      <c r="I1205" s="5">
        <v>3003</v>
      </c>
      <c r="J1205" s="5" t="s">
        <v>22</v>
      </c>
      <c r="K1205" s="5" t="s">
        <v>23</v>
      </c>
      <c r="L1205" s="5" t="s">
        <v>40</v>
      </c>
      <c r="M1205" s="5" t="s">
        <v>284</v>
      </c>
      <c r="N1205" s="5" t="s">
        <v>26</v>
      </c>
      <c r="O1205" s="5">
        <v>16</v>
      </c>
      <c r="P1205" s="5"/>
      <c r="Q1205" s="5"/>
      <c r="R1205" s="8">
        <v>1.9444444444444444E-3</v>
      </c>
      <c r="S1205" s="8">
        <v>1.8865740740740742E-3</v>
      </c>
      <c r="T1205">
        <f>IF(Tabela1[[#This Row],[STATUS_NEGOCIO]]="Enviar E-mail",1,"")</f>
        <v>1</v>
      </c>
      <c r="U1205" t="str">
        <f>TEXT(Tabela1[[#This Row],[DATA]],"dd/mm/aaaa")</f>
        <v>22/04/2026</v>
      </c>
    </row>
    <row r="1206" spans="1:21" x14ac:dyDescent="0.25">
      <c r="A1206" s="4">
        <v>46134.653831018521</v>
      </c>
      <c r="B1206" s="5" t="s">
        <v>19</v>
      </c>
      <c r="C1206" s="5" t="s">
        <v>20</v>
      </c>
      <c r="D1206" s="5">
        <v>57</v>
      </c>
      <c r="E1206" s="6">
        <v>3651229000184</v>
      </c>
      <c r="F1206" s="5">
        <v>57</v>
      </c>
      <c r="G1206" s="7">
        <v>177688329164071</v>
      </c>
      <c r="H1206" s="5" t="s">
        <v>310</v>
      </c>
      <c r="I1206" s="5">
        <v>3003</v>
      </c>
      <c r="J1206" s="5" t="s">
        <v>22</v>
      </c>
      <c r="K1206" s="5" t="s">
        <v>23</v>
      </c>
      <c r="L1206" s="5" t="s">
        <v>40</v>
      </c>
      <c r="M1206" s="5" t="s">
        <v>284</v>
      </c>
      <c r="N1206" s="5" t="s">
        <v>26</v>
      </c>
      <c r="O1206" s="5">
        <v>16</v>
      </c>
      <c r="P1206" s="5"/>
      <c r="Q1206" s="5"/>
      <c r="R1206" s="8">
        <v>1.9444444444444444E-3</v>
      </c>
      <c r="S1206" s="8">
        <v>1.9097222222222222E-3</v>
      </c>
      <c r="T1206">
        <f>IF(Tabela1[[#This Row],[STATUS_NEGOCIO]]="Enviar E-mail",1,"")</f>
        <v>1</v>
      </c>
      <c r="U1206" t="str">
        <f>TEXT(Tabela1[[#This Row],[DATA]],"dd/mm/aaaa")</f>
        <v>22/04/2026</v>
      </c>
    </row>
    <row r="1207" spans="1:21" x14ac:dyDescent="0.25">
      <c r="A1207" s="4">
        <v>46134.65384259259</v>
      </c>
      <c r="B1207" s="5" t="s">
        <v>19</v>
      </c>
      <c r="C1207" s="5" t="s">
        <v>37</v>
      </c>
      <c r="D1207" s="5">
        <v>59</v>
      </c>
      <c r="E1207" s="6">
        <v>3904574000182</v>
      </c>
      <c r="F1207" s="5">
        <v>59</v>
      </c>
      <c r="G1207" s="7">
        <v>177688329264111</v>
      </c>
      <c r="H1207" s="5" t="s">
        <v>312</v>
      </c>
      <c r="I1207" s="5">
        <v>3003</v>
      </c>
      <c r="J1207" s="5" t="s">
        <v>22</v>
      </c>
      <c r="K1207" s="5" t="s">
        <v>23</v>
      </c>
      <c r="L1207" s="5" t="s">
        <v>31</v>
      </c>
      <c r="M1207" s="5" t="s">
        <v>284</v>
      </c>
      <c r="N1207" s="5" t="s">
        <v>53</v>
      </c>
      <c r="O1207" s="5">
        <v>128</v>
      </c>
      <c r="P1207" s="5"/>
      <c r="Q1207" s="5"/>
      <c r="R1207" s="8">
        <v>6.9444444444444444E-5</v>
      </c>
      <c r="S1207" s="5" t="s">
        <v>37</v>
      </c>
      <c r="T1207" t="str">
        <f>IF(Tabela1[[#This Row],[STATUS_NEGOCIO]]="Enviar E-mail",1,"")</f>
        <v/>
      </c>
      <c r="U1207" t="str">
        <f>TEXT(Tabela1[[#This Row],[DATA]],"dd/mm/aaaa")</f>
        <v>22/04/2026</v>
      </c>
    </row>
    <row r="1208" spans="1:21" x14ac:dyDescent="0.25">
      <c r="A1208" s="4">
        <v>46134.653900462959</v>
      </c>
      <c r="B1208" s="5" t="s">
        <v>19</v>
      </c>
      <c r="C1208" s="5" t="s">
        <v>37</v>
      </c>
      <c r="D1208" s="5">
        <v>60</v>
      </c>
      <c r="E1208" s="6">
        <v>3954733000153</v>
      </c>
      <c r="F1208" s="5">
        <v>60</v>
      </c>
      <c r="G1208" s="7">
        <v>177688329764161</v>
      </c>
      <c r="H1208" s="5" t="s">
        <v>313</v>
      </c>
      <c r="I1208" s="5">
        <v>3003</v>
      </c>
      <c r="J1208" s="5" t="s">
        <v>22</v>
      </c>
      <c r="K1208" s="5" t="s">
        <v>23</v>
      </c>
      <c r="L1208" s="5" t="s">
        <v>31</v>
      </c>
      <c r="M1208" s="5" t="s">
        <v>284</v>
      </c>
      <c r="N1208" s="5" t="s">
        <v>53</v>
      </c>
      <c r="O1208" s="5">
        <v>128</v>
      </c>
      <c r="P1208" s="5"/>
      <c r="Q1208" s="5"/>
      <c r="R1208" s="8">
        <v>8.1018518518518516E-5</v>
      </c>
      <c r="S1208" s="5" t="s">
        <v>37</v>
      </c>
      <c r="T1208" t="str">
        <f>IF(Tabela1[[#This Row],[STATUS_NEGOCIO]]="Enviar E-mail",1,"")</f>
        <v/>
      </c>
      <c r="U1208" t="str">
        <f>TEXT(Tabela1[[#This Row],[DATA]],"dd/mm/aaaa")</f>
        <v>22/04/2026</v>
      </c>
    </row>
    <row r="1209" spans="1:21" x14ac:dyDescent="0.25">
      <c r="A1209" s="4">
        <v>46134.653923611113</v>
      </c>
      <c r="B1209" s="5" t="s">
        <v>19</v>
      </c>
      <c r="C1209" s="5" t="s">
        <v>37</v>
      </c>
      <c r="D1209" s="5">
        <v>61</v>
      </c>
      <c r="E1209" s="6">
        <v>3995747000115</v>
      </c>
      <c r="F1209" s="5">
        <v>61</v>
      </c>
      <c r="G1209" s="7">
        <v>177688329964181</v>
      </c>
      <c r="H1209" s="5" t="s">
        <v>314</v>
      </c>
      <c r="I1209" s="5">
        <v>3003</v>
      </c>
      <c r="J1209" s="5" t="s">
        <v>22</v>
      </c>
      <c r="K1209" s="5" t="s">
        <v>23</v>
      </c>
      <c r="L1209" s="5" t="s">
        <v>31</v>
      </c>
      <c r="M1209" s="5" t="s">
        <v>284</v>
      </c>
      <c r="N1209" s="5" t="s">
        <v>53</v>
      </c>
      <c r="O1209" s="5">
        <v>128</v>
      </c>
      <c r="P1209" s="5"/>
      <c r="Q1209" s="5"/>
      <c r="R1209" s="8">
        <v>8.1018518518518516E-5</v>
      </c>
      <c r="S1209" s="5" t="s">
        <v>37</v>
      </c>
      <c r="T1209" t="str">
        <f>IF(Tabela1[[#This Row],[STATUS_NEGOCIO]]="Enviar E-mail",1,"")</f>
        <v/>
      </c>
      <c r="U1209" t="str">
        <f>TEXT(Tabela1[[#This Row],[DATA]],"dd/mm/aaaa")</f>
        <v>22/04/2026</v>
      </c>
    </row>
    <row r="1210" spans="1:21" x14ac:dyDescent="0.25">
      <c r="A1210" s="4">
        <v>46134.654039351852</v>
      </c>
      <c r="B1210" s="5" t="s">
        <v>19</v>
      </c>
      <c r="C1210" s="5" t="s">
        <v>37</v>
      </c>
      <c r="D1210" s="5">
        <v>62</v>
      </c>
      <c r="E1210" s="6">
        <v>4028062000162</v>
      </c>
      <c r="F1210" s="5">
        <v>62</v>
      </c>
      <c r="G1210" s="7">
        <v>177688330964221</v>
      </c>
      <c r="H1210" s="5" t="s">
        <v>315</v>
      </c>
      <c r="I1210" s="5">
        <v>3003</v>
      </c>
      <c r="J1210" s="5" t="s">
        <v>22</v>
      </c>
      <c r="K1210" s="5" t="s">
        <v>23</v>
      </c>
      <c r="L1210" s="5" t="s">
        <v>31</v>
      </c>
      <c r="M1210" s="5" t="s">
        <v>284</v>
      </c>
      <c r="N1210" s="5" t="s">
        <v>53</v>
      </c>
      <c r="O1210" s="5">
        <v>128</v>
      </c>
      <c r="P1210" s="5"/>
      <c r="Q1210" s="5"/>
      <c r="R1210" s="8">
        <v>8.1018518518518516E-5</v>
      </c>
      <c r="S1210" s="5" t="s">
        <v>37</v>
      </c>
      <c r="T1210" t="str">
        <f>IF(Tabela1[[#This Row],[STATUS_NEGOCIO]]="Enviar E-mail",1,"")</f>
        <v/>
      </c>
      <c r="U1210" t="str">
        <f>TEXT(Tabela1[[#This Row],[DATA]],"dd/mm/aaaa")</f>
        <v>22/04/2026</v>
      </c>
    </row>
    <row r="1211" spans="1:21" x14ac:dyDescent="0.25">
      <c r="A1211" s="4">
        <v>46134.654074074075</v>
      </c>
      <c r="B1211" s="5" t="s">
        <v>19</v>
      </c>
      <c r="C1211" s="5" t="s">
        <v>37</v>
      </c>
      <c r="D1211" s="5">
        <v>63</v>
      </c>
      <c r="E1211" s="6">
        <v>4044746000158</v>
      </c>
      <c r="F1211" s="5">
        <v>63</v>
      </c>
      <c r="G1211" s="7">
        <v>177688331264231</v>
      </c>
      <c r="H1211" s="5" t="s">
        <v>110</v>
      </c>
      <c r="I1211" s="5">
        <v>3003</v>
      </c>
      <c r="J1211" s="5" t="s">
        <v>22</v>
      </c>
      <c r="K1211" s="5" t="s">
        <v>23</v>
      </c>
      <c r="L1211" s="5" t="s">
        <v>31</v>
      </c>
      <c r="M1211" s="5" t="s">
        <v>284</v>
      </c>
      <c r="N1211" s="5" t="s">
        <v>53</v>
      </c>
      <c r="O1211" s="5">
        <v>128</v>
      </c>
      <c r="P1211" s="5"/>
      <c r="Q1211" s="5"/>
      <c r="R1211" s="8">
        <v>8.1018518518518516E-5</v>
      </c>
      <c r="S1211" s="5" t="s">
        <v>37</v>
      </c>
      <c r="T1211" t="str">
        <f>IF(Tabela1[[#This Row],[STATUS_NEGOCIO]]="Enviar E-mail",1,"")</f>
        <v/>
      </c>
      <c r="U1211" t="str">
        <f>TEXT(Tabela1[[#This Row],[DATA]],"dd/mm/aaaa")</f>
        <v>22/04/2026</v>
      </c>
    </row>
    <row r="1212" spans="1:21" x14ac:dyDescent="0.25">
      <c r="A1212" s="4">
        <v>46134.654131944444</v>
      </c>
      <c r="B1212" s="5" t="s">
        <v>19</v>
      </c>
      <c r="C1212" s="5" t="s">
        <v>37</v>
      </c>
      <c r="D1212" s="5">
        <v>64</v>
      </c>
      <c r="E1212" s="6">
        <v>4048649000133</v>
      </c>
      <c r="F1212" s="5">
        <v>64</v>
      </c>
      <c r="G1212" s="7">
        <v>177688331764321</v>
      </c>
      <c r="H1212" s="5" t="s">
        <v>137</v>
      </c>
      <c r="I1212" s="5">
        <v>3003</v>
      </c>
      <c r="J1212" s="5" t="s">
        <v>22</v>
      </c>
      <c r="K1212" s="5" t="s">
        <v>23</v>
      </c>
      <c r="L1212" s="5" t="s">
        <v>31</v>
      </c>
      <c r="M1212" s="5" t="s">
        <v>284</v>
      </c>
      <c r="N1212" s="5" t="s">
        <v>53</v>
      </c>
      <c r="O1212" s="5">
        <v>128</v>
      </c>
      <c r="P1212" s="5"/>
      <c r="Q1212" s="5"/>
      <c r="R1212" s="8">
        <v>8.1018518518518516E-5</v>
      </c>
      <c r="S1212" s="5" t="s">
        <v>37</v>
      </c>
      <c r="T1212" t="str">
        <f>IF(Tabela1[[#This Row],[STATUS_NEGOCIO]]="Enviar E-mail",1,"")</f>
        <v/>
      </c>
      <c r="U1212" t="str">
        <f>TEXT(Tabela1[[#This Row],[DATA]],"dd/mm/aaaa")</f>
        <v>22/04/2026</v>
      </c>
    </row>
    <row r="1213" spans="1:21" x14ac:dyDescent="0.25">
      <c r="A1213" s="4">
        <v>46134.654131944444</v>
      </c>
      <c r="B1213" s="5" t="s">
        <v>19</v>
      </c>
      <c r="C1213" s="5" t="s">
        <v>37</v>
      </c>
      <c r="D1213" s="5">
        <v>65</v>
      </c>
      <c r="E1213" s="6">
        <v>4063828000140</v>
      </c>
      <c r="F1213" s="5">
        <v>65</v>
      </c>
      <c r="G1213" s="7">
        <v>177688331764331</v>
      </c>
      <c r="H1213" s="5" t="s">
        <v>316</v>
      </c>
      <c r="I1213" s="5">
        <v>3003</v>
      </c>
      <c r="J1213" s="5" t="s">
        <v>22</v>
      </c>
      <c r="K1213" s="5" t="s">
        <v>23</v>
      </c>
      <c r="L1213" s="5" t="s">
        <v>31</v>
      </c>
      <c r="M1213" s="5" t="s">
        <v>284</v>
      </c>
      <c r="N1213" s="5" t="s">
        <v>53</v>
      </c>
      <c r="O1213" s="5">
        <v>128</v>
      </c>
      <c r="P1213" s="5"/>
      <c r="Q1213" s="5"/>
      <c r="R1213" s="8">
        <v>8.1018518518518516E-5</v>
      </c>
      <c r="S1213" s="5" t="s">
        <v>37</v>
      </c>
      <c r="T1213" t="str">
        <f>IF(Tabela1[[#This Row],[STATUS_NEGOCIO]]="Enviar E-mail",1,"")</f>
        <v/>
      </c>
      <c r="U1213" t="str">
        <f>TEXT(Tabela1[[#This Row],[DATA]],"dd/mm/aaaa")</f>
        <v>22/04/2026</v>
      </c>
    </row>
    <row r="1214" spans="1:21" x14ac:dyDescent="0.25">
      <c r="A1214" s="4">
        <v>46134.65421296296</v>
      </c>
      <c r="B1214" s="5" t="s">
        <v>19</v>
      </c>
      <c r="C1214" s="5" t="s">
        <v>37</v>
      </c>
      <c r="D1214" s="5">
        <v>66</v>
      </c>
      <c r="E1214" s="6">
        <v>4137354000133</v>
      </c>
      <c r="F1214" s="5">
        <v>66</v>
      </c>
      <c r="G1214" s="7">
        <v>177688332464351</v>
      </c>
      <c r="H1214" s="5" t="s">
        <v>136</v>
      </c>
      <c r="I1214" s="5">
        <v>3003</v>
      </c>
      <c r="J1214" s="5" t="s">
        <v>22</v>
      </c>
      <c r="K1214" s="5" t="s">
        <v>23</v>
      </c>
      <c r="L1214" s="5" t="s">
        <v>31</v>
      </c>
      <c r="M1214" s="5" t="s">
        <v>284</v>
      </c>
      <c r="N1214" s="5" t="s">
        <v>53</v>
      </c>
      <c r="O1214" s="5">
        <v>128</v>
      </c>
      <c r="P1214" s="5"/>
      <c r="Q1214" s="5"/>
      <c r="R1214" s="8">
        <v>8.1018518518518516E-5</v>
      </c>
      <c r="S1214" s="5" t="s">
        <v>37</v>
      </c>
      <c r="T1214" t="str">
        <f>IF(Tabela1[[#This Row],[STATUS_NEGOCIO]]="Enviar E-mail",1,"")</f>
        <v/>
      </c>
      <c r="U1214" t="str">
        <f>TEXT(Tabela1[[#This Row],[DATA]],"dd/mm/aaaa")</f>
        <v>22/04/2026</v>
      </c>
    </row>
    <row r="1215" spans="1:21" x14ac:dyDescent="0.25">
      <c r="A1215" s="4">
        <v>46134.654270833336</v>
      </c>
      <c r="B1215" s="5" t="s">
        <v>19</v>
      </c>
      <c r="C1215" s="5" t="s">
        <v>37</v>
      </c>
      <c r="D1215" s="5">
        <v>67</v>
      </c>
      <c r="E1215" s="6">
        <v>4160599000181</v>
      </c>
      <c r="F1215" s="5">
        <v>67</v>
      </c>
      <c r="G1215" s="7">
        <v>177688332964371</v>
      </c>
      <c r="H1215" s="5" t="s">
        <v>238</v>
      </c>
      <c r="I1215" s="5">
        <v>3003</v>
      </c>
      <c r="J1215" s="5" t="s">
        <v>22</v>
      </c>
      <c r="K1215" s="5" t="s">
        <v>23</v>
      </c>
      <c r="L1215" s="5" t="s">
        <v>31</v>
      </c>
      <c r="M1215" s="5" t="s">
        <v>284</v>
      </c>
      <c r="N1215" s="5" t="s">
        <v>53</v>
      </c>
      <c r="O1215" s="5">
        <v>147</v>
      </c>
      <c r="P1215" s="5"/>
      <c r="Q1215" s="5"/>
      <c r="R1215" s="8">
        <v>8.1018518518518516E-5</v>
      </c>
      <c r="S1215" s="5" t="s">
        <v>37</v>
      </c>
      <c r="T1215" t="str">
        <f>IF(Tabela1[[#This Row],[STATUS_NEGOCIO]]="Enviar E-mail",1,"")</f>
        <v/>
      </c>
      <c r="U1215" t="str">
        <f>TEXT(Tabela1[[#This Row],[DATA]],"dd/mm/aaaa")</f>
        <v>22/04/2026</v>
      </c>
    </row>
    <row r="1216" spans="1:21" x14ac:dyDescent="0.25">
      <c r="A1216" s="4">
        <v>46134.654282407406</v>
      </c>
      <c r="B1216" s="5" t="s">
        <v>19</v>
      </c>
      <c r="C1216" s="5" t="s">
        <v>37</v>
      </c>
      <c r="D1216" s="5">
        <v>68</v>
      </c>
      <c r="E1216" s="6">
        <v>4356149000169</v>
      </c>
      <c r="F1216" s="5">
        <v>68</v>
      </c>
      <c r="G1216" s="7">
        <v>177688333064401</v>
      </c>
      <c r="H1216" s="5" t="s">
        <v>317</v>
      </c>
      <c r="I1216" s="5">
        <v>3003</v>
      </c>
      <c r="J1216" s="5" t="s">
        <v>22</v>
      </c>
      <c r="K1216" s="5" t="s">
        <v>23</v>
      </c>
      <c r="L1216" s="5" t="s">
        <v>31</v>
      </c>
      <c r="M1216" s="5" t="s">
        <v>284</v>
      </c>
      <c r="N1216" s="5" t="s">
        <v>53</v>
      </c>
      <c r="O1216" s="5">
        <v>128</v>
      </c>
      <c r="P1216" s="5"/>
      <c r="Q1216" s="5"/>
      <c r="R1216" s="8">
        <v>8.1018518518518516E-5</v>
      </c>
      <c r="S1216" s="5" t="s">
        <v>37</v>
      </c>
      <c r="T1216" t="str">
        <f>IF(Tabela1[[#This Row],[STATUS_NEGOCIO]]="Enviar E-mail",1,"")</f>
        <v/>
      </c>
      <c r="U1216" t="str">
        <f>TEXT(Tabela1[[#This Row],[DATA]],"dd/mm/aaaa")</f>
        <v>22/04/2026</v>
      </c>
    </row>
    <row r="1217" spans="1:21" x14ac:dyDescent="0.25">
      <c r="A1217" s="4">
        <v>46134.654363425929</v>
      </c>
      <c r="B1217" s="5" t="s">
        <v>19</v>
      </c>
      <c r="C1217" s="5" t="s">
        <v>37</v>
      </c>
      <c r="D1217" s="5">
        <v>69</v>
      </c>
      <c r="E1217" s="6">
        <v>4371864000170</v>
      </c>
      <c r="F1217" s="5">
        <v>69</v>
      </c>
      <c r="G1217" s="7">
        <v>177688333764481</v>
      </c>
      <c r="H1217" s="5" t="s">
        <v>318</v>
      </c>
      <c r="I1217" s="5">
        <v>3003</v>
      </c>
      <c r="J1217" s="5" t="s">
        <v>22</v>
      </c>
      <c r="K1217" s="5" t="s">
        <v>23</v>
      </c>
      <c r="L1217" s="5" t="s">
        <v>31</v>
      </c>
      <c r="M1217" s="5" t="s">
        <v>284</v>
      </c>
      <c r="N1217" s="5" t="s">
        <v>53</v>
      </c>
      <c r="O1217" s="5">
        <v>128</v>
      </c>
      <c r="P1217" s="5"/>
      <c r="Q1217" s="5"/>
      <c r="R1217" s="8">
        <v>8.1018518518518516E-5</v>
      </c>
      <c r="S1217" s="5" t="s">
        <v>37</v>
      </c>
      <c r="T1217" t="str">
        <f>IF(Tabela1[[#This Row],[STATUS_NEGOCIO]]="Enviar E-mail",1,"")</f>
        <v/>
      </c>
      <c r="U1217" t="str">
        <f>TEXT(Tabela1[[#This Row],[DATA]],"dd/mm/aaaa")</f>
        <v>22/04/2026</v>
      </c>
    </row>
    <row r="1218" spans="1:21" x14ac:dyDescent="0.25">
      <c r="A1218" s="4">
        <v>46134.654386574075</v>
      </c>
      <c r="B1218" s="5" t="s">
        <v>19</v>
      </c>
      <c r="C1218" s="5" t="s">
        <v>37</v>
      </c>
      <c r="D1218" s="5">
        <v>70</v>
      </c>
      <c r="E1218" s="6">
        <v>4373195000176</v>
      </c>
      <c r="F1218" s="5">
        <v>70</v>
      </c>
      <c r="G1218" s="7">
        <v>177688333964501</v>
      </c>
      <c r="H1218" s="5" t="s">
        <v>319</v>
      </c>
      <c r="I1218" s="5">
        <v>3003</v>
      </c>
      <c r="J1218" s="5" t="s">
        <v>22</v>
      </c>
      <c r="K1218" s="5" t="s">
        <v>23</v>
      </c>
      <c r="L1218" s="5" t="s">
        <v>31</v>
      </c>
      <c r="M1218" s="5" t="s">
        <v>284</v>
      </c>
      <c r="N1218" s="5" t="s">
        <v>26</v>
      </c>
      <c r="O1218" s="5">
        <v>131</v>
      </c>
      <c r="P1218" s="5"/>
      <c r="Q1218" s="5"/>
      <c r="R1218" s="8">
        <v>4.3981481481481481E-4</v>
      </c>
      <c r="S1218" s="5" t="s">
        <v>37</v>
      </c>
      <c r="T1218" t="str">
        <f>IF(Tabela1[[#This Row],[STATUS_NEGOCIO]]="Enviar E-mail",1,"")</f>
        <v/>
      </c>
      <c r="U1218" t="str">
        <f>TEXT(Tabela1[[#This Row],[DATA]],"dd/mm/aaaa")</f>
        <v>22/04/2026</v>
      </c>
    </row>
    <row r="1219" spans="1:21" x14ac:dyDescent="0.25">
      <c r="A1219" s="4">
        <v>46134.654479166667</v>
      </c>
      <c r="B1219" s="5" t="s">
        <v>19</v>
      </c>
      <c r="C1219" s="5" t="s">
        <v>37</v>
      </c>
      <c r="D1219" s="5">
        <v>71</v>
      </c>
      <c r="E1219" s="6">
        <v>4433625000106</v>
      </c>
      <c r="F1219" s="5">
        <v>71</v>
      </c>
      <c r="G1219" s="7">
        <v>177688334764521</v>
      </c>
      <c r="H1219" s="5" t="s">
        <v>320</v>
      </c>
      <c r="I1219" s="5">
        <v>3003</v>
      </c>
      <c r="J1219" s="5" t="s">
        <v>22</v>
      </c>
      <c r="K1219" s="5" t="s">
        <v>23</v>
      </c>
      <c r="L1219" s="5" t="s">
        <v>31</v>
      </c>
      <c r="M1219" s="5" t="s">
        <v>284</v>
      </c>
      <c r="N1219" s="5" t="s">
        <v>53</v>
      </c>
      <c r="O1219" s="5">
        <v>128</v>
      </c>
      <c r="P1219" s="5"/>
      <c r="Q1219" s="5"/>
      <c r="R1219" s="8">
        <v>8.1018518518518516E-5</v>
      </c>
      <c r="S1219" s="5" t="s">
        <v>37</v>
      </c>
      <c r="T1219" t="str">
        <f>IF(Tabela1[[#This Row],[STATUS_NEGOCIO]]="Enviar E-mail",1,"")</f>
        <v/>
      </c>
      <c r="U1219" t="str">
        <f>TEXT(Tabela1[[#This Row],[DATA]],"dd/mm/aaaa")</f>
        <v>22/04/2026</v>
      </c>
    </row>
    <row r="1220" spans="1:21" x14ac:dyDescent="0.25">
      <c r="A1220" s="4">
        <v>46134.654502314814</v>
      </c>
      <c r="B1220" s="5" t="s">
        <v>19</v>
      </c>
      <c r="C1220" s="5" t="s">
        <v>37</v>
      </c>
      <c r="D1220" s="5">
        <v>72</v>
      </c>
      <c r="E1220" s="6">
        <v>4652839000165</v>
      </c>
      <c r="F1220" s="5">
        <v>72</v>
      </c>
      <c r="G1220" s="7">
        <v>177688334964591</v>
      </c>
      <c r="H1220" s="5" t="s">
        <v>208</v>
      </c>
      <c r="I1220" s="5">
        <v>3003</v>
      </c>
      <c r="J1220" s="5" t="s">
        <v>22</v>
      </c>
      <c r="K1220" s="5" t="s">
        <v>23</v>
      </c>
      <c r="L1220" s="5" t="s">
        <v>31</v>
      </c>
      <c r="M1220" s="5" t="s">
        <v>284</v>
      </c>
      <c r="N1220" s="5" t="s">
        <v>53</v>
      </c>
      <c r="O1220" s="5">
        <v>128</v>
      </c>
      <c r="P1220" s="5"/>
      <c r="Q1220" s="5"/>
      <c r="R1220" s="8">
        <v>8.1018518518518516E-5</v>
      </c>
      <c r="S1220" s="5" t="s">
        <v>37</v>
      </c>
      <c r="T1220" t="str">
        <f>IF(Tabela1[[#This Row],[STATUS_NEGOCIO]]="Enviar E-mail",1,"")</f>
        <v/>
      </c>
      <c r="U1220" t="str">
        <f>TEXT(Tabela1[[#This Row],[DATA]],"dd/mm/aaaa")</f>
        <v>22/04/2026</v>
      </c>
    </row>
    <row r="1221" spans="1:21" x14ac:dyDescent="0.25">
      <c r="A1221" s="4">
        <v>46134.654618055552</v>
      </c>
      <c r="B1221" s="5" t="s">
        <v>19</v>
      </c>
      <c r="C1221" s="5" t="s">
        <v>37</v>
      </c>
      <c r="D1221" s="5">
        <v>73</v>
      </c>
      <c r="E1221" s="6">
        <v>4728735000197</v>
      </c>
      <c r="F1221" s="5">
        <v>73</v>
      </c>
      <c r="G1221" s="7">
        <v>177688335964671</v>
      </c>
      <c r="H1221" s="5" t="s">
        <v>321</v>
      </c>
      <c r="I1221" s="5">
        <v>3003</v>
      </c>
      <c r="J1221" s="5" t="s">
        <v>22</v>
      </c>
      <c r="K1221" s="5" t="s">
        <v>23</v>
      </c>
      <c r="L1221" s="5" t="s">
        <v>31</v>
      </c>
      <c r="M1221" s="5" t="s">
        <v>284</v>
      </c>
      <c r="N1221" s="5" t="s">
        <v>53</v>
      </c>
      <c r="O1221" s="5">
        <v>128</v>
      </c>
      <c r="P1221" s="5"/>
      <c r="Q1221" s="5"/>
      <c r="R1221" s="8">
        <v>6.9444444444444444E-5</v>
      </c>
      <c r="S1221" s="5" t="s">
        <v>37</v>
      </c>
      <c r="T1221" t="str">
        <f>IF(Tabela1[[#This Row],[STATUS_NEGOCIO]]="Enviar E-mail",1,"")</f>
        <v/>
      </c>
      <c r="U1221" t="str">
        <f>TEXT(Tabela1[[#This Row],[DATA]],"dd/mm/aaaa")</f>
        <v>22/04/2026</v>
      </c>
    </row>
    <row r="1222" spans="1:21" x14ac:dyDescent="0.25">
      <c r="A1222" s="4">
        <v>46134.654699074075</v>
      </c>
      <c r="B1222" s="5" t="s">
        <v>19</v>
      </c>
      <c r="C1222" s="5" t="s">
        <v>37</v>
      </c>
      <c r="D1222" s="5">
        <v>74</v>
      </c>
      <c r="E1222" s="6">
        <v>4900076000124</v>
      </c>
      <c r="F1222" s="5">
        <v>74</v>
      </c>
      <c r="G1222" s="7">
        <v>177688336664721</v>
      </c>
      <c r="H1222" s="5" t="s">
        <v>322</v>
      </c>
      <c r="I1222" s="5">
        <v>3003</v>
      </c>
      <c r="J1222" s="5" t="s">
        <v>22</v>
      </c>
      <c r="K1222" s="5" t="s">
        <v>23</v>
      </c>
      <c r="L1222" s="5" t="s">
        <v>31</v>
      </c>
      <c r="M1222" s="5" t="s">
        <v>284</v>
      </c>
      <c r="N1222" s="5" t="s">
        <v>53</v>
      </c>
      <c r="O1222" s="5">
        <v>128</v>
      </c>
      <c r="P1222" s="5"/>
      <c r="Q1222" s="5"/>
      <c r="R1222" s="8">
        <v>8.1018518518518516E-5</v>
      </c>
      <c r="S1222" s="5" t="s">
        <v>37</v>
      </c>
      <c r="T1222" t="str">
        <f>IF(Tabela1[[#This Row],[STATUS_NEGOCIO]]="Enviar E-mail",1,"")</f>
        <v/>
      </c>
      <c r="U1222" t="str">
        <f>TEXT(Tabela1[[#This Row],[DATA]],"dd/mm/aaaa")</f>
        <v>22/04/2026</v>
      </c>
    </row>
    <row r="1223" spans="1:21" x14ac:dyDescent="0.25">
      <c r="A1223" s="4">
        <v>46134.654722222222</v>
      </c>
      <c r="B1223" s="5" t="s">
        <v>19</v>
      </c>
      <c r="C1223" s="5" t="s">
        <v>37</v>
      </c>
      <c r="D1223" s="5">
        <v>75</v>
      </c>
      <c r="E1223" s="6">
        <v>4987252000107</v>
      </c>
      <c r="F1223" s="5">
        <v>75</v>
      </c>
      <c r="G1223" s="7">
        <v>177688336864751</v>
      </c>
      <c r="H1223" s="5" t="s">
        <v>323</v>
      </c>
      <c r="I1223" s="5">
        <v>3003</v>
      </c>
      <c r="J1223" s="5" t="s">
        <v>22</v>
      </c>
      <c r="K1223" s="5" t="s">
        <v>23</v>
      </c>
      <c r="L1223" s="5" t="s">
        <v>31</v>
      </c>
      <c r="M1223" s="5" t="s">
        <v>284</v>
      </c>
      <c r="N1223" s="5" t="s">
        <v>53</v>
      </c>
      <c r="O1223" s="5">
        <v>128</v>
      </c>
      <c r="P1223" s="5"/>
      <c r="Q1223" s="5"/>
      <c r="R1223" s="8">
        <v>8.1018518518518516E-5</v>
      </c>
      <c r="S1223" s="5" t="s">
        <v>37</v>
      </c>
      <c r="T1223" t="str">
        <f>IF(Tabela1[[#This Row],[STATUS_NEGOCIO]]="Enviar E-mail",1,"")</f>
        <v/>
      </c>
      <c r="U1223" t="str">
        <f>TEXT(Tabela1[[#This Row],[DATA]],"dd/mm/aaaa")</f>
        <v>22/04/2026</v>
      </c>
    </row>
    <row r="1224" spans="1:21" x14ac:dyDescent="0.25">
      <c r="A1224" s="4">
        <v>46134.654745370368</v>
      </c>
      <c r="B1224" s="5" t="s">
        <v>19</v>
      </c>
      <c r="C1224" s="5" t="s">
        <v>37</v>
      </c>
      <c r="D1224" s="5">
        <v>76</v>
      </c>
      <c r="E1224" s="6">
        <v>5068583000106</v>
      </c>
      <c r="F1224" s="5">
        <v>76</v>
      </c>
      <c r="G1224" s="7">
        <v>177688337064821</v>
      </c>
      <c r="H1224" s="5" t="s">
        <v>174</v>
      </c>
      <c r="I1224" s="5">
        <v>3003</v>
      </c>
      <c r="J1224" s="5" t="s">
        <v>22</v>
      </c>
      <c r="K1224" s="5" t="s">
        <v>23</v>
      </c>
      <c r="L1224" s="5" t="s">
        <v>31</v>
      </c>
      <c r="M1224" s="5" t="s">
        <v>284</v>
      </c>
      <c r="N1224" s="5" t="s">
        <v>53</v>
      </c>
      <c r="O1224" s="5">
        <v>128</v>
      </c>
      <c r="P1224" s="5"/>
      <c r="Q1224" s="5"/>
      <c r="R1224" s="8">
        <v>3.4722222222222222E-5</v>
      </c>
      <c r="S1224" s="5" t="s">
        <v>37</v>
      </c>
      <c r="T1224" t="str">
        <f>IF(Tabela1[[#This Row],[STATUS_NEGOCIO]]="Enviar E-mail",1,"")</f>
        <v/>
      </c>
      <c r="U1224" t="str">
        <f>TEXT(Tabela1[[#This Row],[DATA]],"dd/mm/aaaa")</f>
        <v>22/04/2026</v>
      </c>
    </row>
    <row r="1225" spans="1:21" x14ac:dyDescent="0.25">
      <c r="A1225" s="4">
        <v>46134.654791666668</v>
      </c>
      <c r="B1225" s="5" t="s">
        <v>19</v>
      </c>
      <c r="C1225" s="5" t="s">
        <v>37</v>
      </c>
      <c r="D1225" s="5">
        <v>77</v>
      </c>
      <c r="E1225" s="6">
        <v>5105470000133</v>
      </c>
      <c r="F1225" s="5">
        <v>77</v>
      </c>
      <c r="G1225" s="7">
        <v>177688337464941</v>
      </c>
      <c r="H1225" s="5" t="s">
        <v>274</v>
      </c>
      <c r="I1225" s="5">
        <v>3003</v>
      </c>
      <c r="J1225" s="5" t="s">
        <v>22</v>
      </c>
      <c r="K1225" s="5" t="s">
        <v>23</v>
      </c>
      <c r="L1225" s="5" t="s">
        <v>31</v>
      </c>
      <c r="M1225" s="5" t="s">
        <v>284</v>
      </c>
      <c r="N1225" s="5" t="s">
        <v>53</v>
      </c>
      <c r="O1225" s="5">
        <v>128</v>
      </c>
      <c r="P1225" s="5"/>
      <c r="Q1225" s="5"/>
      <c r="R1225" s="8">
        <v>8.1018518518518516E-5</v>
      </c>
      <c r="S1225" s="5" t="s">
        <v>37</v>
      </c>
      <c r="T1225" t="str">
        <f>IF(Tabela1[[#This Row],[STATUS_NEGOCIO]]="Enviar E-mail",1,"")</f>
        <v/>
      </c>
      <c r="U1225" t="str">
        <f>TEXT(Tabela1[[#This Row],[DATA]],"dd/mm/aaaa")</f>
        <v>22/04/2026</v>
      </c>
    </row>
    <row r="1226" spans="1:21" x14ac:dyDescent="0.25">
      <c r="A1226" s="4">
        <v>46134.654814814814</v>
      </c>
      <c r="B1226" s="5" t="s">
        <v>19</v>
      </c>
      <c r="C1226" s="5" t="s">
        <v>37</v>
      </c>
      <c r="D1226" s="5">
        <v>78</v>
      </c>
      <c r="E1226" s="6">
        <v>5124020000198</v>
      </c>
      <c r="F1226" s="5">
        <v>78</v>
      </c>
      <c r="G1226" s="7">
        <v>177688337664971</v>
      </c>
      <c r="H1226" s="5" t="s">
        <v>268</v>
      </c>
      <c r="I1226" s="5">
        <v>3003</v>
      </c>
      <c r="J1226" s="5" t="s">
        <v>22</v>
      </c>
      <c r="K1226" s="5" t="s">
        <v>23</v>
      </c>
      <c r="L1226" s="5" t="s">
        <v>31</v>
      </c>
      <c r="M1226" s="5" t="s">
        <v>284</v>
      </c>
      <c r="N1226" s="5" t="s">
        <v>53</v>
      </c>
      <c r="O1226" s="5">
        <v>128</v>
      </c>
      <c r="P1226" s="5"/>
      <c r="Q1226" s="5"/>
      <c r="R1226" s="8">
        <v>8.1018518518518516E-5</v>
      </c>
      <c r="S1226" s="5" t="s">
        <v>37</v>
      </c>
      <c r="T1226" t="str">
        <f>IF(Tabela1[[#This Row],[STATUS_NEGOCIO]]="Enviar E-mail",1,"")</f>
        <v/>
      </c>
      <c r="U1226" t="str">
        <f>TEXT(Tabela1[[#This Row],[DATA]],"dd/mm/aaaa")</f>
        <v>22/04/2026</v>
      </c>
    </row>
    <row r="1227" spans="1:21" x14ac:dyDescent="0.25">
      <c r="A1227" s="4">
        <v>46134.654918981483</v>
      </c>
      <c r="B1227" s="5" t="s">
        <v>19</v>
      </c>
      <c r="C1227" s="5" t="s">
        <v>37</v>
      </c>
      <c r="D1227" s="5">
        <v>79</v>
      </c>
      <c r="E1227" s="6">
        <v>5133369000196</v>
      </c>
      <c r="F1227" s="5">
        <v>79</v>
      </c>
      <c r="G1227" s="7">
        <v>177688338564991</v>
      </c>
      <c r="H1227" s="5" t="s">
        <v>103</v>
      </c>
      <c r="I1227" s="5">
        <v>3003</v>
      </c>
      <c r="J1227" s="5" t="s">
        <v>22</v>
      </c>
      <c r="K1227" s="5" t="s">
        <v>23</v>
      </c>
      <c r="L1227" s="5" t="s">
        <v>31</v>
      </c>
      <c r="M1227" s="5" t="s">
        <v>284</v>
      </c>
      <c r="N1227" s="5" t="s">
        <v>53</v>
      </c>
      <c r="O1227" s="5">
        <v>128</v>
      </c>
      <c r="P1227" s="5"/>
      <c r="Q1227" s="5"/>
      <c r="R1227" s="8">
        <v>8.1018518518518516E-5</v>
      </c>
      <c r="S1227" s="5" t="s">
        <v>37</v>
      </c>
      <c r="T1227" t="str">
        <f>IF(Tabela1[[#This Row],[STATUS_NEGOCIO]]="Enviar E-mail",1,"")</f>
        <v/>
      </c>
      <c r="U1227" t="str">
        <f>TEXT(Tabela1[[#This Row],[DATA]],"dd/mm/aaaa")</f>
        <v>22/04/2026</v>
      </c>
    </row>
    <row r="1228" spans="1:21" x14ac:dyDescent="0.25">
      <c r="A1228" s="4">
        <v>46134.654965277776</v>
      </c>
      <c r="B1228" s="5" t="s">
        <v>19</v>
      </c>
      <c r="C1228" s="5" t="s">
        <v>37</v>
      </c>
      <c r="D1228" s="5">
        <v>80</v>
      </c>
      <c r="E1228" s="6">
        <v>5207886000162</v>
      </c>
      <c r="F1228" s="5">
        <v>80</v>
      </c>
      <c r="G1228" s="7">
        <v>177688338965061</v>
      </c>
      <c r="H1228" s="5" t="s">
        <v>190</v>
      </c>
      <c r="I1228" s="5">
        <v>3003</v>
      </c>
      <c r="J1228" s="5" t="s">
        <v>22</v>
      </c>
      <c r="K1228" s="5" t="s">
        <v>23</v>
      </c>
      <c r="L1228" s="5" t="s">
        <v>31</v>
      </c>
      <c r="M1228" s="5" t="s">
        <v>284</v>
      </c>
      <c r="N1228" s="5" t="s">
        <v>53</v>
      </c>
      <c r="O1228" s="5">
        <v>128</v>
      </c>
      <c r="P1228" s="5"/>
      <c r="Q1228" s="5"/>
      <c r="R1228" s="8">
        <v>8.1018518518518516E-5</v>
      </c>
      <c r="S1228" s="5" t="s">
        <v>37</v>
      </c>
      <c r="T1228" t="str">
        <f>IF(Tabela1[[#This Row],[STATUS_NEGOCIO]]="Enviar E-mail",1,"")</f>
        <v/>
      </c>
      <c r="U1228" t="str">
        <f>TEXT(Tabela1[[#This Row],[DATA]],"dd/mm/aaaa")</f>
        <v>22/04/2026</v>
      </c>
    </row>
    <row r="1229" spans="1:21" x14ac:dyDescent="0.25">
      <c r="A1229" s="4">
        <v>46134.654999999999</v>
      </c>
      <c r="B1229" s="5" t="s">
        <v>19</v>
      </c>
      <c r="C1229" s="5" t="s">
        <v>37</v>
      </c>
      <c r="D1229" s="5">
        <v>81</v>
      </c>
      <c r="E1229" s="6">
        <v>5476516000120</v>
      </c>
      <c r="F1229" s="5">
        <v>81</v>
      </c>
      <c r="G1229" s="7">
        <v>177688339265121</v>
      </c>
      <c r="H1229" s="5" t="s">
        <v>324</v>
      </c>
      <c r="I1229" s="5">
        <v>3003</v>
      </c>
      <c r="J1229" s="5" t="s">
        <v>22</v>
      </c>
      <c r="K1229" s="5" t="s">
        <v>23</v>
      </c>
      <c r="L1229" s="5" t="s">
        <v>31</v>
      </c>
      <c r="M1229" s="5" t="s">
        <v>284</v>
      </c>
      <c r="N1229" s="5" t="s">
        <v>53</v>
      </c>
      <c r="O1229" s="5">
        <v>128</v>
      </c>
      <c r="P1229" s="5"/>
      <c r="Q1229" s="5"/>
      <c r="R1229" s="8">
        <v>8.1018518518518516E-5</v>
      </c>
      <c r="S1229" s="5" t="s">
        <v>37</v>
      </c>
      <c r="T1229" t="str">
        <f>IF(Tabela1[[#This Row],[STATUS_NEGOCIO]]="Enviar E-mail",1,"")</f>
        <v/>
      </c>
      <c r="U1229" t="str">
        <f>TEXT(Tabela1[[#This Row],[DATA]],"dd/mm/aaaa")</f>
        <v>22/04/2026</v>
      </c>
    </row>
    <row r="1230" spans="1:21" x14ac:dyDescent="0.25">
      <c r="A1230" s="4">
        <v>46134.655034722222</v>
      </c>
      <c r="B1230" s="5" t="s">
        <v>19</v>
      </c>
      <c r="C1230" s="5" t="s">
        <v>37</v>
      </c>
      <c r="D1230" s="5">
        <v>82</v>
      </c>
      <c r="E1230" s="6">
        <v>5483497000160</v>
      </c>
      <c r="F1230" s="5">
        <v>82</v>
      </c>
      <c r="G1230" s="7">
        <v>177688339565141</v>
      </c>
      <c r="H1230" s="5" t="s">
        <v>58</v>
      </c>
      <c r="I1230" s="5">
        <v>3003</v>
      </c>
      <c r="J1230" s="5" t="s">
        <v>22</v>
      </c>
      <c r="K1230" s="5" t="s">
        <v>23</v>
      </c>
      <c r="L1230" s="5" t="s">
        <v>31</v>
      </c>
      <c r="M1230" s="5" t="s">
        <v>284</v>
      </c>
      <c r="N1230" s="5" t="s">
        <v>53</v>
      </c>
      <c r="O1230" s="5">
        <v>128</v>
      </c>
      <c r="P1230" s="5"/>
      <c r="Q1230" s="5"/>
      <c r="R1230" s="8">
        <v>8.1018518518518516E-5</v>
      </c>
      <c r="S1230" s="5" t="s">
        <v>37</v>
      </c>
      <c r="T1230" t="str">
        <f>IF(Tabela1[[#This Row],[STATUS_NEGOCIO]]="Enviar E-mail",1,"")</f>
        <v/>
      </c>
      <c r="U1230" t="str">
        <f>TEXT(Tabela1[[#This Row],[DATA]],"dd/mm/aaaa")</f>
        <v>22/04/2026</v>
      </c>
    </row>
    <row r="1231" spans="1:21" x14ac:dyDescent="0.25">
      <c r="A1231" s="4">
        <v>46134.655069444445</v>
      </c>
      <c r="B1231" s="5" t="s">
        <v>19</v>
      </c>
      <c r="C1231" s="5" t="s">
        <v>37</v>
      </c>
      <c r="D1231" s="5">
        <v>83</v>
      </c>
      <c r="E1231" s="6">
        <v>5485452000124</v>
      </c>
      <c r="F1231" s="5">
        <v>83</v>
      </c>
      <c r="G1231" s="7">
        <v>177688339865211</v>
      </c>
      <c r="H1231" s="5" t="s">
        <v>325</v>
      </c>
      <c r="I1231" s="5">
        <v>3003</v>
      </c>
      <c r="J1231" s="5" t="s">
        <v>22</v>
      </c>
      <c r="K1231" s="5" t="s">
        <v>23</v>
      </c>
      <c r="L1231" s="5" t="s">
        <v>31</v>
      </c>
      <c r="M1231" s="5" t="s">
        <v>284</v>
      </c>
      <c r="N1231" s="5" t="s">
        <v>53</v>
      </c>
      <c r="O1231" s="5">
        <v>128</v>
      </c>
      <c r="P1231" s="5"/>
      <c r="Q1231" s="5"/>
      <c r="R1231" s="8">
        <v>8.1018518518518516E-5</v>
      </c>
      <c r="S1231" s="5" t="s">
        <v>37</v>
      </c>
      <c r="T1231" t="str">
        <f>IF(Tabela1[[#This Row],[STATUS_NEGOCIO]]="Enviar E-mail",1,"")</f>
        <v/>
      </c>
      <c r="U1231" t="str">
        <f>TEXT(Tabela1[[#This Row],[DATA]],"dd/mm/aaaa")</f>
        <v>22/04/2026</v>
      </c>
    </row>
    <row r="1232" spans="1:21" x14ac:dyDescent="0.25">
      <c r="A1232" s="4">
        <v>46134.655104166668</v>
      </c>
      <c r="B1232" s="5" t="s">
        <v>19</v>
      </c>
      <c r="C1232" s="5" t="s">
        <v>37</v>
      </c>
      <c r="D1232" s="5">
        <v>84</v>
      </c>
      <c r="E1232" s="6">
        <v>5487548000121</v>
      </c>
      <c r="F1232" s="5">
        <v>84</v>
      </c>
      <c r="G1232" s="7">
        <v>177688340165241</v>
      </c>
      <c r="H1232" s="5" t="s">
        <v>49</v>
      </c>
      <c r="I1232" s="5">
        <v>3003</v>
      </c>
      <c r="J1232" s="5" t="s">
        <v>22</v>
      </c>
      <c r="K1232" s="5" t="s">
        <v>23</v>
      </c>
      <c r="L1232" s="5" t="s">
        <v>31</v>
      </c>
      <c r="M1232" s="5" t="s">
        <v>284</v>
      </c>
      <c r="N1232" s="5" t="s">
        <v>53</v>
      </c>
      <c r="O1232" s="5">
        <v>128</v>
      </c>
      <c r="P1232" s="5"/>
      <c r="Q1232" s="5"/>
      <c r="R1232" s="8">
        <v>8.1018518518518516E-5</v>
      </c>
      <c r="S1232" s="5" t="s">
        <v>37</v>
      </c>
      <c r="T1232" t="str">
        <f>IF(Tabela1[[#This Row],[STATUS_NEGOCIO]]="Enviar E-mail",1,"")</f>
        <v/>
      </c>
      <c r="U1232" t="str">
        <f>TEXT(Tabela1[[#This Row],[DATA]],"dd/mm/aaaa")</f>
        <v>22/04/2026</v>
      </c>
    </row>
    <row r="1233" spans="1:21" x14ac:dyDescent="0.25">
      <c r="A1233" s="4">
        <v>46134.655162037037</v>
      </c>
      <c r="B1233" s="5" t="s">
        <v>19</v>
      </c>
      <c r="C1233" s="5" t="s">
        <v>37</v>
      </c>
      <c r="D1233" s="5">
        <v>85</v>
      </c>
      <c r="E1233" s="6">
        <v>5587109000190</v>
      </c>
      <c r="F1233" s="5">
        <v>85</v>
      </c>
      <c r="G1233" s="7">
        <v>177688340665321</v>
      </c>
      <c r="H1233" s="5" t="s">
        <v>249</v>
      </c>
      <c r="I1233" s="5">
        <v>3003</v>
      </c>
      <c r="J1233" s="5" t="s">
        <v>22</v>
      </c>
      <c r="K1233" s="5" t="s">
        <v>23</v>
      </c>
      <c r="L1233" s="5" t="s">
        <v>31</v>
      </c>
      <c r="M1233" s="5" t="s">
        <v>284</v>
      </c>
      <c r="N1233" s="5" t="s">
        <v>53</v>
      </c>
      <c r="O1233" s="5">
        <v>128</v>
      </c>
      <c r="P1233" s="5"/>
      <c r="Q1233" s="5"/>
      <c r="R1233" s="8">
        <v>6.9444444444444444E-5</v>
      </c>
      <c r="S1233" s="5" t="s">
        <v>37</v>
      </c>
      <c r="T1233" t="str">
        <f>IF(Tabela1[[#This Row],[STATUS_NEGOCIO]]="Enviar E-mail",1,"")</f>
        <v/>
      </c>
      <c r="U1233" t="str">
        <f>TEXT(Tabela1[[#This Row],[DATA]],"dd/mm/aaaa")</f>
        <v>22/04/2026</v>
      </c>
    </row>
    <row r="1234" spans="1:21" x14ac:dyDescent="0.25">
      <c r="A1234" s="4">
        <v>46134.655162037037</v>
      </c>
      <c r="B1234" s="5" t="s">
        <v>19</v>
      </c>
      <c r="C1234" s="5" t="s">
        <v>37</v>
      </c>
      <c r="D1234" s="5">
        <v>86</v>
      </c>
      <c r="E1234" s="6">
        <v>5600088000104</v>
      </c>
      <c r="F1234" s="5">
        <v>86</v>
      </c>
      <c r="G1234" s="7">
        <v>177688340665331</v>
      </c>
      <c r="H1234" s="5" t="s">
        <v>326</v>
      </c>
      <c r="I1234" s="5">
        <v>3003</v>
      </c>
      <c r="J1234" s="5" t="s">
        <v>22</v>
      </c>
      <c r="K1234" s="5" t="s">
        <v>23</v>
      </c>
      <c r="L1234" s="5" t="s">
        <v>31</v>
      </c>
      <c r="M1234" s="5" t="s">
        <v>284</v>
      </c>
      <c r="N1234" s="5" t="s">
        <v>53</v>
      </c>
      <c r="O1234" s="5">
        <v>128</v>
      </c>
      <c r="P1234" s="5"/>
      <c r="Q1234" s="5"/>
      <c r="R1234" s="8">
        <v>6.9444444444444444E-5</v>
      </c>
      <c r="S1234" s="5" t="s">
        <v>37</v>
      </c>
      <c r="T1234" t="str">
        <f>IF(Tabela1[[#This Row],[STATUS_NEGOCIO]]="Enviar E-mail",1,"")</f>
        <v/>
      </c>
      <c r="U1234" t="str">
        <f>TEXT(Tabela1[[#This Row],[DATA]],"dd/mm/aaaa")</f>
        <v>22/04/2026</v>
      </c>
    </row>
    <row r="1235" spans="1:21" x14ac:dyDescent="0.25">
      <c r="A1235" s="4">
        <v>46134.655162037037</v>
      </c>
      <c r="B1235" s="5" t="s">
        <v>19</v>
      </c>
      <c r="C1235" s="5" t="s">
        <v>37</v>
      </c>
      <c r="D1235" s="5">
        <v>88</v>
      </c>
      <c r="E1235" s="6">
        <v>5870198000188</v>
      </c>
      <c r="F1235" s="5">
        <v>88</v>
      </c>
      <c r="G1235" s="7">
        <v>177688340665341</v>
      </c>
      <c r="H1235" s="5" t="s">
        <v>135</v>
      </c>
      <c r="I1235" s="5">
        <v>3003</v>
      </c>
      <c r="J1235" s="5" t="s">
        <v>22</v>
      </c>
      <c r="K1235" s="5" t="s">
        <v>23</v>
      </c>
      <c r="L1235" s="5" t="s">
        <v>31</v>
      </c>
      <c r="M1235" s="5" t="s">
        <v>284</v>
      </c>
      <c r="N1235" s="5" t="s">
        <v>26</v>
      </c>
      <c r="O1235" s="5">
        <v>131</v>
      </c>
      <c r="P1235" s="5"/>
      <c r="Q1235" s="5"/>
      <c r="R1235" s="8">
        <v>9.2592592592592588E-5</v>
      </c>
      <c r="S1235" s="5" t="s">
        <v>37</v>
      </c>
      <c r="T1235" t="str">
        <f>IF(Tabela1[[#This Row],[STATUS_NEGOCIO]]="Enviar E-mail",1,"")</f>
        <v/>
      </c>
      <c r="U1235" t="str">
        <f>TEXT(Tabela1[[#This Row],[DATA]],"dd/mm/aaaa")</f>
        <v>22/04/2026</v>
      </c>
    </row>
    <row r="1236" spans="1:21" x14ac:dyDescent="0.25">
      <c r="A1236" s="4">
        <v>46134.655277777776</v>
      </c>
      <c r="B1236" s="5" t="s">
        <v>19</v>
      </c>
      <c r="C1236" s="5" t="s">
        <v>37</v>
      </c>
      <c r="D1236" s="5">
        <v>89</v>
      </c>
      <c r="E1236" s="6">
        <v>5887391000121</v>
      </c>
      <c r="F1236" s="5">
        <v>89</v>
      </c>
      <c r="G1236" s="7">
        <v>177688341665361</v>
      </c>
      <c r="H1236" s="5" t="s">
        <v>327</v>
      </c>
      <c r="I1236" s="5">
        <v>3003</v>
      </c>
      <c r="J1236" s="5" t="s">
        <v>22</v>
      </c>
      <c r="K1236" s="5" t="s">
        <v>23</v>
      </c>
      <c r="L1236" s="5" t="s">
        <v>31</v>
      </c>
      <c r="M1236" s="5" t="s">
        <v>284</v>
      </c>
      <c r="N1236" s="5" t="s">
        <v>53</v>
      </c>
      <c r="O1236" s="5">
        <v>128</v>
      </c>
      <c r="P1236" s="5"/>
      <c r="Q1236" s="5"/>
      <c r="R1236" s="8">
        <v>6.9444444444444444E-5</v>
      </c>
      <c r="S1236" s="5" t="s">
        <v>37</v>
      </c>
      <c r="T1236" t="str">
        <f>IF(Tabela1[[#This Row],[STATUS_NEGOCIO]]="Enviar E-mail",1,"")</f>
        <v/>
      </c>
      <c r="U1236" t="str">
        <f>TEXT(Tabela1[[#This Row],[DATA]],"dd/mm/aaaa")</f>
        <v>22/04/2026</v>
      </c>
    </row>
    <row r="1237" spans="1:21" x14ac:dyDescent="0.25">
      <c r="A1237" s="4">
        <v>46134.655312499999</v>
      </c>
      <c r="B1237" s="5" t="s">
        <v>19</v>
      </c>
      <c r="C1237" s="5" t="s">
        <v>37</v>
      </c>
      <c r="D1237" s="5">
        <v>90</v>
      </c>
      <c r="E1237" s="6">
        <v>5951912000162</v>
      </c>
      <c r="F1237" s="5">
        <v>90</v>
      </c>
      <c r="G1237" s="7">
        <v>177688341965381</v>
      </c>
      <c r="H1237" s="5" t="s">
        <v>328</v>
      </c>
      <c r="I1237" s="5">
        <v>3003</v>
      </c>
      <c r="J1237" s="5" t="s">
        <v>22</v>
      </c>
      <c r="K1237" s="5" t="s">
        <v>23</v>
      </c>
      <c r="L1237" s="5" t="s">
        <v>31</v>
      </c>
      <c r="M1237" s="5" t="s">
        <v>284</v>
      </c>
      <c r="N1237" s="5" t="s">
        <v>53</v>
      </c>
      <c r="O1237" s="5">
        <v>128</v>
      </c>
      <c r="P1237" s="5"/>
      <c r="Q1237" s="5"/>
      <c r="R1237" s="8">
        <v>8.1018518518518516E-5</v>
      </c>
      <c r="S1237" s="5" t="s">
        <v>37</v>
      </c>
      <c r="T1237" t="str">
        <f>IF(Tabela1[[#This Row],[STATUS_NEGOCIO]]="Enviar E-mail",1,"")</f>
        <v/>
      </c>
      <c r="U1237" t="str">
        <f>TEXT(Tabela1[[#This Row],[DATA]],"dd/mm/aaaa")</f>
        <v>22/04/2026</v>
      </c>
    </row>
    <row r="1238" spans="1:21" x14ac:dyDescent="0.25">
      <c r="A1238" s="4">
        <v>46134.655451388891</v>
      </c>
      <c r="B1238" s="5" t="s">
        <v>19</v>
      </c>
      <c r="C1238" s="5" t="s">
        <v>37</v>
      </c>
      <c r="D1238" s="5">
        <v>91</v>
      </c>
      <c r="E1238" s="6">
        <v>6058857000149</v>
      </c>
      <c r="F1238" s="5">
        <v>91</v>
      </c>
      <c r="G1238" s="7">
        <v>177688343165401</v>
      </c>
      <c r="H1238" s="5" t="s">
        <v>254</v>
      </c>
      <c r="I1238" s="5" t="s">
        <v>52</v>
      </c>
      <c r="J1238" s="5" t="s">
        <v>22</v>
      </c>
      <c r="K1238" s="5" t="s">
        <v>36</v>
      </c>
      <c r="L1238" s="5" t="s">
        <v>36</v>
      </c>
      <c r="M1238" s="5" t="s">
        <v>284</v>
      </c>
      <c r="N1238" s="5" t="s">
        <v>53</v>
      </c>
      <c r="O1238" s="5">
        <v>19</v>
      </c>
      <c r="P1238" s="5"/>
      <c r="Q1238" s="5"/>
      <c r="R1238" s="8">
        <v>0</v>
      </c>
      <c r="S1238" s="5" t="s">
        <v>37</v>
      </c>
      <c r="T1238" t="str">
        <f>IF(Tabela1[[#This Row],[STATUS_NEGOCIO]]="Enviar E-mail",1,"")</f>
        <v/>
      </c>
      <c r="U1238" t="str">
        <f>TEXT(Tabela1[[#This Row],[DATA]],"dd/mm/aaaa")</f>
        <v>22/04/2026</v>
      </c>
    </row>
    <row r="1239" spans="1:21" x14ac:dyDescent="0.25">
      <c r="A1239" s="4">
        <v>46134.655462962961</v>
      </c>
      <c r="B1239" s="5" t="s">
        <v>19</v>
      </c>
      <c r="C1239" s="5" t="s">
        <v>37</v>
      </c>
      <c r="D1239" s="5">
        <v>92</v>
      </c>
      <c r="E1239" s="6">
        <v>6093542000132</v>
      </c>
      <c r="F1239" s="5">
        <v>92</v>
      </c>
      <c r="G1239" s="7">
        <v>177688343265421</v>
      </c>
      <c r="H1239" s="5" t="s">
        <v>329</v>
      </c>
      <c r="I1239" s="5">
        <v>3003</v>
      </c>
      <c r="J1239" s="5" t="s">
        <v>22</v>
      </c>
      <c r="K1239" s="5" t="s">
        <v>23</v>
      </c>
      <c r="L1239" s="5" t="s">
        <v>31</v>
      </c>
      <c r="M1239" s="5" t="s">
        <v>284</v>
      </c>
      <c r="N1239" s="5" t="s">
        <v>53</v>
      </c>
      <c r="O1239" s="5">
        <v>128</v>
      </c>
      <c r="P1239" s="5"/>
      <c r="Q1239" s="5"/>
      <c r="R1239" s="8">
        <v>8.1018518518518516E-5</v>
      </c>
      <c r="S1239" s="5" t="s">
        <v>37</v>
      </c>
      <c r="T1239" t="str">
        <f>IF(Tabela1[[#This Row],[STATUS_NEGOCIO]]="Enviar E-mail",1,"")</f>
        <v/>
      </c>
      <c r="U1239" t="str">
        <f>TEXT(Tabela1[[#This Row],[DATA]],"dd/mm/aaaa")</f>
        <v>22/04/2026</v>
      </c>
    </row>
    <row r="1240" spans="1:21" x14ac:dyDescent="0.25">
      <c r="A1240" s="4">
        <v>46134.65552083333</v>
      </c>
      <c r="B1240" s="5" t="s">
        <v>19</v>
      </c>
      <c r="C1240" s="5" t="s">
        <v>37</v>
      </c>
      <c r="D1240" s="5">
        <v>93</v>
      </c>
      <c r="E1240" s="6">
        <v>6100968000176</v>
      </c>
      <c r="F1240" s="5">
        <v>93</v>
      </c>
      <c r="G1240" s="7">
        <v>177688343765451</v>
      </c>
      <c r="H1240" s="5" t="s">
        <v>330</v>
      </c>
      <c r="I1240" s="5" t="s">
        <v>52</v>
      </c>
      <c r="J1240" s="5" t="s">
        <v>22</v>
      </c>
      <c r="K1240" s="5" t="s">
        <v>36</v>
      </c>
      <c r="L1240" s="5" t="s">
        <v>36</v>
      </c>
      <c r="M1240" s="5" t="s">
        <v>284</v>
      </c>
      <c r="N1240" s="5" t="s">
        <v>53</v>
      </c>
      <c r="O1240" s="5">
        <v>1</v>
      </c>
      <c r="P1240" s="5"/>
      <c r="Q1240" s="5"/>
      <c r="R1240" s="8">
        <v>0</v>
      </c>
      <c r="S1240" s="5" t="s">
        <v>37</v>
      </c>
      <c r="T1240" t="str">
        <f>IF(Tabela1[[#This Row],[STATUS_NEGOCIO]]="Enviar E-mail",1,"")</f>
        <v/>
      </c>
      <c r="U1240" t="str">
        <f>TEXT(Tabela1[[#This Row],[DATA]],"dd/mm/aaaa")</f>
        <v>22/04/2026</v>
      </c>
    </row>
    <row r="1241" spans="1:21" x14ac:dyDescent="0.25">
      <c r="A1241" s="4">
        <v>46134.65552083333</v>
      </c>
      <c r="B1241" s="5" t="s">
        <v>19</v>
      </c>
      <c r="C1241" s="5" t="s">
        <v>37</v>
      </c>
      <c r="D1241" s="5">
        <v>94</v>
      </c>
      <c r="E1241" s="6">
        <v>6215708000146</v>
      </c>
      <c r="F1241" s="5">
        <v>94</v>
      </c>
      <c r="G1241" s="7">
        <v>177688343765461</v>
      </c>
      <c r="H1241" s="5" t="s">
        <v>180</v>
      </c>
      <c r="I1241" s="5">
        <v>3003</v>
      </c>
      <c r="J1241" s="5" t="s">
        <v>22</v>
      </c>
      <c r="K1241" s="5" t="s">
        <v>23</v>
      </c>
      <c r="L1241" s="5" t="s">
        <v>31</v>
      </c>
      <c r="M1241" s="5" t="s">
        <v>284</v>
      </c>
      <c r="N1241" s="5" t="s">
        <v>53</v>
      </c>
      <c r="O1241" s="5">
        <v>128</v>
      </c>
      <c r="P1241" s="5"/>
      <c r="Q1241" s="5"/>
      <c r="R1241" s="8">
        <v>8.1018518518518516E-5</v>
      </c>
      <c r="S1241" s="5" t="s">
        <v>37</v>
      </c>
      <c r="T1241" t="str">
        <f>IF(Tabela1[[#This Row],[STATUS_NEGOCIO]]="Enviar E-mail",1,"")</f>
        <v/>
      </c>
      <c r="U1241" t="str">
        <f>TEXT(Tabela1[[#This Row],[DATA]],"dd/mm/aaaa")</f>
        <v>22/04/2026</v>
      </c>
    </row>
    <row r="1242" spans="1:21" x14ac:dyDescent="0.25">
      <c r="A1242" s="4">
        <v>46134.655601851853</v>
      </c>
      <c r="B1242" s="5" t="s">
        <v>19</v>
      </c>
      <c r="C1242" s="5" t="s">
        <v>37</v>
      </c>
      <c r="D1242" s="5">
        <v>95</v>
      </c>
      <c r="E1242" s="6">
        <v>6236859000180</v>
      </c>
      <c r="F1242" s="5">
        <v>95</v>
      </c>
      <c r="G1242" s="7">
        <v>177688344465481</v>
      </c>
      <c r="H1242" s="5" t="s">
        <v>331</v>
      </c>
      <c r="I1242" s="5">
        <v>3003</v>
      </c>
      <c r="J1242" s="5" t="s">
        <v>22</v>
      </c>
      <c r="K1242" s="5" t="s">
        <v>23</v>
      </c>
      <c r="L1242" s="5" t="s">
        <v>31</v>
      </c>
      <c r="M1242" s="5" t="s">
        <v>284</v>
      </c>
      <c r="N1242" s="5" t="s">
        <v>53</v>
      </c>
      <c r="O1242" s="5">
        <v>128</v>
      </c>
      <c r="P1242" s="5"/>
      <c r="Q1242" s="5"/>
      <c r="R1242" s="8">
        <v>8.1018518518518516E-5</v>
      </c>
      <c r="S1242" s="5" t="s">
        <v>37</v>
      </c>
      <c r="T1242" t="str">
        <f>IF(Tabela1[[#This Row],[STATUS_NEGOCIO]]="Enviar E-mail",1,"")</f>
        <v/>
      </c>
      <c r="U1242" t="str">
        <f>TEXT(Tabela1[[#This Row],[DATA]],"dd/mm/aaaa")</f>
        <v>22/04/2026</v>
      </c>
    </row>
    <row r="1243" spans="1:21" x14ac:dyDescent="0.25">
      <c r="A1243" s="4">
        <v>46134.655682870369</v>
      </c>
      <c r="B1243" s="5" t="s">
        <v>19</v>
      </c>
      <c r="C1243" s="5" t="s">
        <v>37</v>
      </c>
      <c r="D1243" s="5">
        <v>96</v>
      </c>
      <c r="E1243" s="6">
        <v>6276371000187</v>
      </c>
      <c r="F1243" s="5">
        <v>96</v>
      </c>
      <c r="G1243" s="7">
        <v>177688345165511</v>
      </c>
      <c r="H1243" s="5" t="s">
        <v>332</v>
      </c>
      <c r="I1243" s="5">
        <v>3003</v>
      </c>
      <c r="J1243" s="5" t="s">
        <v>22</v>
      </c>
      <c r="K1243" s="5" t="s">
        <v>23</v>
      </c>
      <c r="L1243" s="5" t="s">
        <v>31</v>
      </c>
      <c r="M1243" s="5" t="s">
        <v>284</v>
      </c>
      <c r="N1243" s="5" t="s">
        <v>53</v>
      </c>
      <c r="O1243" s="5">
        <v>128</v>
      </c>
      <c r="P1243" s="5"/>
      <c r="Q1243" s="5"/>
      <c r="R1243" s="8">
        <v>8.1018518518518516E-5</v>
      </c>
      <c r="S1243" s="5" t="s">
        <v>37</v>
      </c>
      <c r="T1243" t="str">
        <f>IF(Tabela1[[#This Row],[STATUS_NEGOCIO]]="Enviar E-mail",1,"")</f>
        <v/>
      </c>
      <c r="U1243" t="str">
        <f>TEXT(Tabela1[[#This Row],[DATA]],"dd/mm/aaaa")</f>
        <v>22/04/2026</v>
      </c>
    </row>
    <row r="1244" spans="1:21" x14ac:dyDescent="0.25">
      <c r="A1244" s="4">
        <v>46134.655763888892</v>
      </c>
      <c r="B1244" s="5" t="s">
        <v>19</v>
      </c>
      <c r="C1244" s="5" t="s">
        <v>37</v>
      </c>
      <c r="D1244" s="5">
        <v>97</v>
      </c>
      <c r="E1244" s="6">
        <v>6326043000148</v>
      </c>
      <c r="F1244" s="5">
        <v>97</v>
      </c>
      <c r="G1244" s="7">
        <v>177688345865531</v>
      </c>
      <c r="H1244" s="5" t="s">
        <v>116</v>
      </c>
      <c r="I1244" s="5">
        <v>3003</v>
      </c>
      <c r="J1244" s="5" t="s">
        <v>22</v>
      </c>
      <c r="K1244" s="5" t="s">
        <v>23</v>
      </c>
      <c r="L1244" s="5" t="s">
        <v>31</v>
      </c>
      <c r="M1244" s="5" t="s">
        <v>284</v>
      </c>
      <c r="N1244" s="5" t="s">
        <v>53</v>
      </c>
      <c r="O1244" s="5">
        <v>147</v>
      </c>
      <c r="P1244" s="5"/>
      <c r="Q1244" s="5"/>
      <c r="R1244" s="8">
        <v>8.1018518518518516E-5</v>
      </c>
      <c r="S1244" s="5" t="s">
        <v>37</v>
      </c>
      <c r="T1244" t="str">
        <f>IF(Tabela1[[#This Row],[STATUS_NEGOCIO]]="Enviar E-mail",1,"")</f>
        <v/>
      </c>
      <c r="U1244" t="str">
        <f>TEXT(Tabela1[[#This Row],[DATA]],"dd/mm/aaaa")</f>
        <v>22/04/2026</v>
      </c>
    </row>
    <row r="1245" spans="1:21" x14ac:dyDescent="0.25">
      <c r="A1245" s="4">
        <v>46134.655810185184</v>
      </c>
      <c r="B1245" s="5" t="s">
        <v>19</v>
      </c>
      <c r="C1245" s="5" t="s">
        <v>37</v>
      </c>
      <c r="D1245" s="5">
        <v>98</v>
      </c>
      <c r="E1245" s="6">
        <v>6652280000107</v>
      </c>
      <c r="F1245" s="5">
        <v>98</v>
      </c>
      <c r="G1245" s="7">
        <v>177688346265551</v>
      </c>
      <c r="H1245" s="5" t="s">
        <v>333</v>
      </c>
      <c r="I1245" s="5" t="s">
        <v>52</v>
      </c>
      <c r="J1245" s="5" t="s">
        <v>22</v>
      </c>
      <c r="K1245" s="5" t="s">
        <v>36</v>
      </c>
      <c r="L1245" s="5" t="s">
        <v>36</v>
      </c>
      <c r="M1245" s="5" t="s">
        <v>284</v>
      </c>
      <c r="N1245" s="5" t="s">
        <v>53</v>
      </c>
      <c r="O1245" s="5">
        <v>1</v>
      </c>
      <c r="P1245" s="5"/>
      <c r="Q1245" s="5"/>
      <c r="R1245" s="8">
        <v>0</v>
      </c>
      <c r="S1245" s="5" t="s">
        <v>37</v>
      </c>
      <c r="T1245" t="str">
        <f>IF(Tabela1[[#This Row],[STATUS_NEGOCIO]]="Enviar E-mail",1,"")</f>
        <v/>
      </c>
      <c r="U1245" t="str">
        <f>TEXT(Tabela1[[#This Row],[DATA]],"dd/mm/aaaa")</f>
        <v>22/04/2026</v>
      </c>
    </row>
    <row r="1246" spans="1:21" x14ac:dyDescent="0.25">
      <c r="A1246" s="4">
        <v>46134.655810185184</v>
      </c>
      <c r="B1246" s="5" t="s">
        <v>19</v>
      </c>
      <c r="C1246" s="5" t="s">
        <v>37</v>
      </c>
      <c r="D1246" s="5">
        <v>99</v>
      </c>
      <c r="E1246" s="6">
        <v>6983876000181</v>
      </c>
      <c r="F1246" s="5">
        <v>99</v>
      </c>
      <c r="G1246" s="7">
        <v>177688346265561</v>
      </c>
      <c r="H1246" s="5" t="s">
        <v>334</v>
      </c>
      <c r="I1246" s="5">
        <v>3003</v>
      </c>
      <c r="J1246" s="5" t="s">
        <v>22</v>
      </c>
      <c r="K1246" s="5" t="s">
        <v>23</v>
      </c>
      <c r="L1246" s="5" t="s">
        <v>31</v>
      </c>
      <c r="M1246" s="5" t="s">
        <v>284</v>
      </c>
      <c r="N1246" s="5" t="s">
        <v>53</v>
      </c>
      <c r="O1246" s="5">
        <v>128</v>
      </c>
      <c r="P1246" s="5"/>
      <c r="Q1246" s="5"/>
      <c r="R1246" s="8">
        <v>8.1018518518518516E-5</v>
      </c>
      <c r="S1246" s="5" t="s">
        <v>37</v>
      </c>
      <c r="T1246" t="str">
        <f>IF(Tabela1[[#This Row],[STATUS_NEGOCIO]]="Enviar E-mail",1,"")</f>
        <v/>
      </c>
      <c r="U1246" t="str">
        <f>TEXT(Tabela1[[#This Row],[DATA]],"dd/mm/aaaa")</f>
        <v>22/04/2026</v>
      </c>
    </row>
    <row r="1247" spans="1:21" x14ac:dyDescent="0.25">
      <c r="A1247" s="4">
        <v>46134.655833333331</v>
      </c>
      <c r="B1247" s="5" t="s">
        <v>19</v>
      </c>
      <c r="C1247" s="5" t="s">
        <v>37</v>
      </c>
      <c r="D1247" s="5">
        <v>100</v>
      </c>
      <c r="E1247" s="6">
        <v>7042642000364</v>
      </c>
      <c r="F1247" s="5">
        <v>100</v>
      </c>
      <c r="G1247" s="7">
        <v>177688346465591</v>
      </c>
      <c r="H1247" s="5" t="s">
        <v>335</v>
      </c>
      <c r="I1247" s="5">
        <v>3003</v>
      </c>
      <c r="J1247" s="5" t="s">
        <v>22</v>
      </c>
      <c r="K1247" s="5" t="s">
        <v>23</v>
      </c>
      <c r="L1247" s="5" t="s">
        <v>31</v>
      </c>
      <c r="M1247" s="5" t="s">
        <v>284</v>
      </c>
      <c r="N1247" s="5" t="s">
        <v>53</v>
      </c>
      <c r="O1247" s="5">
        <v>147</v>
      </c>
      <c r="P1247" s="5"/>
      <c r="Q1247" s="5"/>
      <c r="R1247" s="8">
        <v>8.1018518518518516E-5</v>
      </c>
      <c r="S1247" s="5" t="s">
        <v>37</v>
      </c>
      <c r="T1247" t="str">
        <f>IF(Tabela1[[#This Row],[STATUS_NEGOCIO]]="Enviar E-mail",1,"")</f>
        <v/>
      </c>
      <c r="U1247" t="str">
        <f>TEXT(Tabela1[[#This Row],[DATA]],"dd/mm/aaaa")</f>
        <v>22/04/2026</v>
      </c>
    </row>
    <row r="1248" spans="1:21" x14ac:dyDescent="0.25">
      <c r="A1248" s="4">
        <v>46134.655833333331</v>
      </c>
      <c r="B1248" s="5" t="s">
        <v>19</v>
      </c>
      <c r="C1248" s="5" t="s">
        <v>37</v>
      </c>
      <c r="D1248" s="5">
        <v>102</v>
      </c>
      <c r="E1248" s="6">
        <v>7211888000150</v>
      </c>
      <c r="F1248" s="5">
        <v>102</v>
      </c>
      <c r="G1248" s="7">
        <v>177688346465601</v>
      </c>
      <c r="H1248" s="5" t="s">
        <v>337</v>
      </c>
      <c r="I1248" s="5" t="s">
        <v>52</v>
      </c>
      <c r="J1248" s="5" t="s">
        <v>22</v>
      </c>
      <c r="K1248" s="5" t="s">
        <v>36</v>
      </c>
      <c r="L1248" s="5" t="s">
        <v>36</v>
      </c>
      <c r="M1248" s="5" t="s">
        <v>284</v>
      </c>
      <c r="N1248" s="5" t="s">
        <v>53</v>
      </c>
      <c r="O1248" s="5">
        <v>19</v>
      </c>
      <c r="P1248" s="5"/>
      <c r="Q1248" s="5"/>
      <c r="R1248" s="8">
        <v>0</v>
      </c>
      <c r="S1248" s="5" t="s">
        <v>37</v>
      </c>
      <c r="T1248" t="str">
        <f>IF(Tabela1[[#This Row],[STATUS_NEGOCIO]]="Enviar E-mail",1,"")</f>
        <v/>
      </c>
      <c r="U1248" t="str">
        <f>TEXT(Tabela1[[#This Row],[DATA]],"dd/mm/aaaa")</f>
        <v>22/04/2026</v>
      </c>
    </row>
    <row r="1249" spans="1:21" x14ac:dyDescent="0.25">
      <c r="A1249" s="4">
        <v>46134.65587962963</v>
      </c>
      <c r="B1249" s="5" t="s">
        <v>19</v>
      </c>
      <c r="C1249" s="5" t="s">
        <v>27</v>
      </c>
      <c r="D1249" s="5">
        <v>103</v>
      </c>
      <c r="E1249" s="6">
        <v>7355123000194</v>
      </c>
      <c r="F1249" s="5">
        <v>103</v>
      </c>
      <c r="G1249" s="7">
        <v>177688346865611</v>
      </c>
      <c r="H1249" s="5" t="s">
        <v>161</v>
      </c>
      <c r="I1249" s="5">
        <v>3003</v>
      </c>
      <c r="J1249" s="5" t="s">
        <v>22</v>
      </c>
      <c r="K1249" s="5" t="s">
        <v>23</v>
      </c>
      <c r="L1249" s="5" t="s">
        <v>265</v>
      </c>
      <c r="M1249" s="5" t="s">
        <v>284</v>
      </c>
      <c r="N1249" s="5" t="s">
        <v>32</v>
      </c>
      <c r="O1249" s="5">
        <v>16</v>
      </c>
      <c r="P1249" s="5"/>
      <c r="Q1249" s="5"/>
      <c r="R1249" s="8">
        <v>4.7453703703703704E-4</v>
      </c>
      <c r="S1249" s="8">
        <v>4.2824074074074075E-4</v>
      </c>
      <c r="T1249" t="str">
        <f>IF(Tabela1[[#This Row],[STATUS_NEGOCIO]]="Enviar E-mail",1,"")</f>
        <v/>
      </c>
      <c r="U1249" t="str">
        <f>TEXT(Tabela1[[#This Row],[DATA]],"dd/mm/aaaa")</f>
        <v>22/04/2026</v>
      </c>
    </row>
    <row r="1250" spans="1:21" x14ac:dyDescent="0.25">
      <c r="A1250" s="4">
        <v>46134.65587962963</v>
      </c>
      <c r="B1250" s="5" t="s">
        <v>19</v>
      </c>
      <c r="C1250" s="5" t="s">
        <v>37</v>
      </c>
      <c r="D1250" s="5">
        <v>104</v>
      </c>
      <c r="E1250" s="6">
        <v>7368744000102</v>
      </c>
      <c r="F1250" s="5">
        <v>104</v>
      </c>
      <c r="G1250" s="7">
        <v>177688346865631</v>
      </c>
      <c r="H1250" s="5" t="s">
        <v>338</v>
      </c>
      <c r="I1250" s="5">
        <v>3003</v>
      </c>
      <c r="J1250" s="5" t="s">
        <v>22</v>
      </c>
      <c r="K1250" s="5" t="s">
        <v>23</v>
      </c>
      <c r="L1250" s="5" t="s">
        <v>31</v>
      </c>
      <c r="M1250" s="5" t="s">
        <v>284</v>
      </c>
      <c r="N1250" s="5" t="s">
        <v>53</v>
      </c>
      <c r="O1250" s="5">
        <v>128</v>
      </c>
      <c r="P1250" s="5"/>
      <c r="Q1250" s="5"/>
      <c r="R1250" s="8">
        <v>8.1018518518518516E-5</v>
      </c>
      <c r="S1250" s="5" t="s">
        <v>37</v>
      </c>
      <c r="T1250" t="str">
        <f>IF(Tabela1[[#This Row],[STATUS_NEGOCIO]]="Enviar E-mail",1,"")</f>
        <v/>
      </c>
      <c r="U1250" t="str">
        <f>TEXT(Tabela1[[#This Row],[DATA]],"dd/mm/aaaa")</f>
        <v>22/04/2026</v>
      </c>
    </row>
    <row r="1251" spans="1:21" x14ac:dyDescent="0.25">
      <c r="A1251" s="4">
        <v>46134.6559375</v>
      </c>
      <c r="B1251" s="5" t="s">
        <v>19</v>
      </c>
      <c r="C1251" s="5" t="s">
        <v>37</v>
      </c>
      <c r="D1251" s="5">
        <v>106</v>
      </c>
      <c r="E1251" s="6">
        <v>7485047000131</v>
      </c>
      <c r="F1251" s="5">
        <v>106</v>
      </c>
      <c r="G1251" s="7">
        <v>177688347365651</v>
      </c>
      <c r="H1251" s="5" t="s">
        <v>340</v>
      </c>
      <c r="I1251" s="5">
        <v>3003</v>
      </c>
      <c r="J1251" s="5" t="s">
        <v>22</v>
      </c>
      <c r="K1251" s="5" t="s">
        <v>23</v>
      </c>
      <c r="L1251" s="5" t="s">
        <v>31</v>
      </c>
      <c r="M1251" s="5" t="s">
        <v>284</v>
      </c>
      <c r="N1251" s="5" t="s">
        <v>53</v>
      </c>
      <c r="O1251" s="5">
        <v>147</v>
      </c>
      <c r="P1251" s="5"/>
      <c r="Q1251" s="5"/>
      <c r="R1251" s="8">
        <v>8.1018518518518516E-5</v>
      </c>
      <c r="S1251" s="5" t="s">
        <v>37</v>
      </c>
      <c r="T1251" t="str">
        <f>IF(Tabela1[[#This Row],[STATUS_NEGOCIO]]="Enviar E-mail",1,"")</f>
        <v/>
      </c>
      <c r="U1251" t="str">
        <f>TEXT(Tabela1[[#This Row],[DATA]],"dd/mm/aaaa")</f>
        <v>22/04/2026</v>
      </c>
    </row>
    <row r="1252" spans="1:21" x14ac:dyDescent="0.25">
      <c r="A1252" s="4">
        <v>46134.656030092592</v>
      </c>
      <c r="B1252" s="5" t="s">
        <v>19</v>
      </c>
      <c r="C1252" s="5" t="s">
        <v>37</v>
      </c>
      <c r="D1252" s="5">
        <v>108</v>
      </c>
      <c r="E1252" s="6">
        <v>7560240000190</v>
      </c>
      <c r="F1252" s="5">
        <v>108</v>
      </c>
      <c r="G1252" s="7">
        <v>177688348165711</v>
      </c>
      <c r="H1252" s="5" t="s">
        <v>165</v>
      </c>
      <c r="I1252" s="5">
        <v>3003</v>
      </c>
      <c r="J1252" s="5" t="s">
        <v>22</v>
      </c>
      <c r="K1252" s="5" t="s">
        <v>23</v>
      </c>
      <c r="L1252" s="5" t="s">
        <v>31</v>
      </c>
      <c r="M1252" s="5" t="s">
        <v>284</v>
      </c>
      <c r="N1252" s="5" t="s">
        <v>53</v>
      </c>
      <c r="O1252" s="5">
        <v>128</v>
      </c>
      <c r="P1252" s="5"/>
      <c r="Q1252" s="5"/>
      <c r="R1252" s="8">
        <v>8.1018518518518516E-5</v>
      </c>
      <c r="S1252" s="5" t="s">
        <v>37</v>
      </c>
      <c r="T1252" t="str">
        <f>IF(Tabela1[[#This Row],[STATUS_NEGOCIO]]="Enviar E-mail",1,"")</f>
        <v/>
      </c>
      <c r="U1252" t="str">
        <f>TEXT(Tabela1[[#This Row],[DATA]],"dd/mm/aaaa")</f>
        <v>22/04/2026</v>
      </c>
    </row>
    <row r="1253" spans="1:21" x14ac:dyDescent="0.25">
      <c r="A1253" s="4">
        <v>46134.656041666669</v>
      </c>
      <c r="B1253" s="5" t="s">
        <v>19</v>
      </c>
      <c r="C1253" s="5" t="s">
        <v>37</v>
      </c>
      <c r="D1253" s="5">
        <v>110</v>
      </c>
      <c r="E1253" s="6">
        <v>7585606000185</v>
      </c>
      <c r="F1253" s="5">
        <v>110</v>
      </c>
      <c r="G1253" s="7">
        <v>177688348265731</v>
      </c>
      <c r="H1253" s="5" t="s">
        <v>93</v>
      </c>
      <c r="I1253" s="5">
        <v>3003</v>
      </c>
      <c r="J1253" s="5" t="s">
        <v>22</v>
      </c>
      <c r="K1253" s="5" t="s">
        <v>23</v>
      </c>
      <c r="L1253" s="5" t="s">
        <v>31</v>
      </c>
      <c r="M1253" s="5" t="s">
        <v>284</v>
      </c>
      <c r="N1253" s="5" t="s">
        <v>53</v>
      </c>
      <c r="O1253" s="5">
        <v>128</v>
      </c>
      <c r="P1253" s="5"/>
      <c r="Q1253" s="5"/>
      <c r="R1253" s="8">
        <v>8.1018518518518516E-5</v>
      </c>
      <c r="S1253" s="5" t="s">
        <v>37</v>
      </c>
      <c r="T1253" t="str">
        <f>IF(Tabela1[[#This Row],[STATUS_NEGOCIO]]="Enviar E-mail",1,"")</f>
        <v/>
      </c>
      <c r="U1253" t="str">
        <f>TEXT(Tabela1[[#This Row],[DATA]],"dd/mm/aaaa")</f>
        <v>22/04/2026</v>
      </c>
    </row>
    <row r="1254" spans="1:21" x14ac:dyDescent="0.25">
      <c r="A1254" s="4">
        <v>46134.656122685185</v>
      </c>
      <c r="B1254" s="5" t="s">
        <v>19</v>
      </c>
      <c r="C1254" s="5" t="s">
        <v>37</v>
      </c>
      <c r="D1254" s="5">
        <v>112</v>
      </c>
      <c r="E1254" s="6">
        <v>7762793000125</v>
      </c>
      <c r="F1254" s="5">
        <v>112</v>
      </c>
      <c r="G1254" s="7">
        <v>177688348965751</v>
      </c>
      <c r="H1254" s="5" t="s">
        <v>343</v>
      </c>
      <c r="I1254" s="5">
        <v>3003</v>
      </c>
      <c r="J1254" s="5" t="s">
        <v>22</v>
      </c>
      <c r="K1254" s="5" t="s">
        <v>23</v>
      </c>
      <c r="L1254" s="5" t="s">
        <v>31</v>
      </c>
      <c r="M1254" s="5" t="s">
        <v>284</v>
      </c>
      <c r="N1254" s="5" t="s">
        <v>53</v>
      </c>
      <c r="O1254" s="5">
        <v>128</v>
      </c>
      <c r="P1254" s="5"/>
      <c r="Q1254" s="5"/>
      <c r="R1254" s="8">
        <v>8.1018518518518516E-5</v>
      </c>
      <c r="S1254" s="5" t="s">
        <v>37</v>
      </c>
      <c r="T1254" t="str">
        <f>IF(Tabela1[[#This Row],[STATUS_NEGOCIO]]="Enviar E-mail",1,"")</f>
        <v/>
      </c>
      <c r="U1254" t="str">
        <f>TEXT(Tabela1[[#This Row],[DATA]],"dd/mm/aaaa")</f>
        <v>22/04/2026</v>
      </c>
    </row>
    <row r="1255" spans="1:21" x14ac:dyDescent="0.25">
      <c r="A1255" s="4">
        <v>46134.656192129631</v>
      </c>
      <c r="B1255" s="5" t="s">
        <v>19</v>
      </c>
      <c r="C1255" s="5" t="s">
        <v>37</v>
      </c>
      <c r="D1255" s="5">
        <v>113</v>
      </c>
      <c r="E1255" s="6">
        <v>7783371000136</v>
      </c>
      <c r="F1255" s="5">
        <v>113</v>
      </c>
      <c r="G1255" s="7">
        <v>177688349565771</v>
      </c>
      <c r="H1255" s="5" t="s">
        <v>84</v>
      </c>
      <c r="I1255" s="5">
        <v>3003</v>
      </c>
      <c r="J1255" s="5" t="s">
        <v>22</v>
      </c>
      <c r="K1255" s="5" t="s">
        <v>23</v>
      </c>
      <c r="L1255" s="5" t="s">
        <v>31</v>
      </c>
      <c r="M1255" s="5" t="s">
        <v>284</v>
      </c>
      <c r="N1255" s="5" t="s">
        <v>53</v>
      </c>
      <c r="O1255" s="5">
        <v>128</v>
      </c>
      <c r="P1255" s="5"/>
      <c r="Q1255" s="5"/>
      <c r="R1255" s="8">
        <v>8.1018518518518516E-5</v>
      </c>
      <c r="S1255" s="5" t="s">
        <v>37</v>
      </c>
      <c r="T1255" t="str">
        <f>IF(Tabela1[[#This Row],[STATUS_NEGOCIO]]="Enviar E-mail",1,"")</f>
        <v/>
      </c>
      <c r="U1255" t="str">
        <f>TEXT(Tabela1[[#This Row],[DATA]],"dd/mm/aaaa")</f>
        <v>22/04/2026</v>
      </c>
    </row>
    <row r="1256" spans="1:21" x14ac:dyDescent="0.25">
      <c r="A1256" s="4">
        <v>46134.656238425923</v>
      </c>
      <c r="B1256" s="5" t="s">
        <v>19</v>
      </c>
      <c r="C1256" s="5" t="s">
        <v>37</v>
      </c>
      <c r="D1256" s="5">
        <v>114</v>
      </c>
      <c r="E1256" s="6">
        <v>7876652000133</v>
      </c>
      <c r="F1256" s="5">
        <v>114</v>
      </c>
      <c r="G1256" s="7">
        <v>177688349965791</v>
      </c>
      <c r="H1256" s="5" t="s">
        <v>344</v>
      </c>
      <c r="I1256" s="5">
        <v>3003</v>
      </c>
      <c r="J1256" s="5" t="s">
        <v>22</v>
      </c>
      <c r="K1256" s="5" t="s">
        <v>23</v>
      </c>
      <c r="L1256" s="5" t="s">
        <v>31</v>
      </c>
      <c r="M1256" s="5" t="s">
        <v>284</v>
      </c>
      <c r="N1256" s="5" t="s">
        <v>53</v>
      </c>
      <c r="O1256" s="5">
        <v>128</v>
      </c>
      <c r="P1256" s="5"/>
      <c r="Q1256" s="5"/>
      <c r="R1256" s="8">
        <v>8.1018518518518516E-5</v>
      </c>
      <c r="S1256" s="5" t="s">
        <v>37</v>
      </c>
      <c r="T1256" t="str">
        <f>IF(Tabela1[[#This Row],[STATUS_NEGOCIO]]="Enviar E-mail",1,"")</f>
        <v/>
      </c>
      <c r="U1256" t="str">
        <f>TEXT(Tabela1[[#This Row],[DATA]],"dd/mm/aaaa")</f>
        <v>22/04/2026</v>
      </c>
    </row>
    <row r="1257" spans="1:21" x14ac:dyDescent="0.25">
      <c r="A1257" s="4">
        <v>46134.656307870369</v>
      </c>
      <c r="B1257" s="5" t="s">
        <v>19</v>
      </c>
      <c r="C1257" s="5" t="s">
        <v>37</v>
      </c>
      <c r="D1257" s="5">
        <v>115</v>
      </c>
      <c r="E1257" s="6">
        <v>7955927000124</v>
      </c>
      <c r="F1257" s="5">
        <v>115</v>
      </c>
      <c r="G1257" s="7">
        <v>177688350565851</v>
      </c>
      <c r="H1257" s="5" t="s">
        <v>79</v>
      </c>
      <c r="I1257" s="5">
        <v>3003</v>
      </c>
      <c r="J1257" s="5" t="s">
        <v>22</v>
      </c>
      <c r="K1257" s="5" t="s">
        <v>23</v>
      </c>
      <c r="L1257" s="5" t="s">
        <v>31</v>
      </c>
      <c r="M1257" s="5" t="s">
        <v>284</v>
      </c>
      <c r="N1257" s="5" t="s">
        <v>53</v>
      </c>
      <c r="O1257" s="5">
        <v>128</v>
      </c>
      <c r="P1257" s="5"/>
      <c r="Q1257" s="5"/>
      <c r="R1257" s="8">
        <v>8.1018518518518516E-5</v>
      </c>
      <c r="S1257" s="5" t="s">
        <v>37</v>
      </c>
      <c r="T1257" t="str">
        <f>IF(Tabela1[[#This Row],[STATUS_NEGOCIO]]="Enviar E-mail",1,"")</f>
        <v/>
      </c>
      <c r="U1257" t="str">
        <f>TEXT(Tabela1[[#This Row],[DATA]],"dd/mm/aaaa")</f>
        <v>22/04/2026</v>
      </c>
    </row>
    <row r="1258" spans="1:21" x14ac:dyDescent="0.25">
      <c r="A1258" s="4">
        <v>46134.656319444446</v>
      </c>
      <c r="B1258" s="5" t="s">
        <v>19</v>
      </c>
      <c r="C1258" s="5" t="s">
        <v>37</v>
      </c>
      <c r="D1258" s="5">
        <v>116</v>
      </c>
      <c r="E1258" s="6">
        <v>8083779000168</v>
      </c>
      <c r="F1258" s="5">
        <v>116</v>
      </c>
      <c r="G1258" s="7">
        <v>177688350665881</v>
      </c>
      <c r="H1258" s="5" t="s">
        <v>345</v>
      </c>
      <c r="I1258" s="5">
        <v>3003</v>
      </c>
      <c r="J1258" s="5" t="s">
        <v>22</v>
      </c>
      <c r="K1258" s="5" t="s">
        <v>23</v>
      </c>
      <c r="L1258" s="5" t="s">
        <v>31</v>
      </c>
      <c r="M1258" s="5" t="s">
        <v>284</v>
      </c>
      <c r="N1258" s="5" t="s">
        <v>53</v>
      </c>
      <c r="O1258" s="5">
        <v>128</v>
      </c>
      <c r="P1258" s="5"/>
      <c r="Q1258" s="5"/>
      <c r="R1258" s="8">
        <v>8.1018518518518516E-5</v>
      </c>
      <c r="S1258" s="5" t="s">
        <v>37</v>
      </c>
      <c r="T1258" t="str">
        <f>IF(Tabela1[[#This Row],[STATUS_NEGOCIO]]="Enviar E-mail",1,"")</f>
        <v/>
      </c>
      <c r="U1258" t="str">
        <f>TEXT(Tabela1[[#This Row],[DATA]],"dd/mm/aaaa")</f>
        <v>22/04/2026</v>
      </c>
    </row>
    <row r="1259" spans="1:21" x14ac:dyDescent="0.25">
      <c r="A1259" s="4">
        <v>46134.656319444446</v>
      </c>
      <c r="B1259" s="5" t="s">
        <v>19</v>
      </c>
      <c r="C1259" s="5" t="s">
        <v>37</v>
      </c>
      <c r="D1259" s="5">
        <v>118</v>
      </c>
      <c r="E1259" s="6">
        <v>8144303000190</v>
      </c>
      <c r="F1259" s="5">
        <v>118</v>
      </c>
      <c r="G1259" s="7">
        <v>177688350665891</v>
      </c>
      <c r="H1259" s="5" t="s">
        <v>346</v>
      </c>
      <c r="I1259" s="5">
        <v>3003</v>
      </c>
      <c r="J1259" s="5" t="s">
        <v>22</v>
      </c>
      <c r="K1259" s="5" t="s">
        <v>23</v>
      </c>
      <c r="L1259" s="5" t="s">
        <v>31</v>
      </c>
      <c r="M1259" s="5" t="s">
        <v>284</v>
      </c>
      <c r="N1259" s="5" t="s">
        <v>53</v>
      </c>
      <c r="O1259" s="5">
        <v>128</v>
      </c>
      <c r="P1259" s="5"/>
      <c r="Q1259" s="5"/>
      <c r="R1259" s="8">
        <v>8.1018518518518516E-5</v>
      </c>
      <c r="S1259" s="5" t="s">
        <v>37</v>
      </c>
      <c r="T1259" t="str">
        <f>IF(Tabela1[[#This Row],[STATUS_NEGOCIO]]="Enviar E-mail",1,"")</f>
        <v/>
      </c>
      <c r="U1259" t="str">
        <f>TEXT(Tabela1[[#This Row],[DATA]],"dd/mm/aaaa")</f>
        <v>22/04/2026</v>
      </c>
    </row>
    <row r="1260" spans="1:21" x14ac:dyDescent="0.25">
      <c r="A1260" s="4">
        <v>46134.656342592592</v>
      </c>
      <c r="B1260" s="5" t="s">
        <v>19</v>
      </c>
      <c r="C1260" s="5" t="s">
        <v>37</v>
      </c>
      <c r="D1260" s="5">
        <v>120</v>
      </c>
      <c r="E1260" s="6">
        <v>8226364000104</v>
      </c>
      <c r="F1260" s="5">
        <v>120</v>
      </c>
      <c r="G1260" s="7">
        <v>177688350865911</v>
      </c>
      <c r="H1260" s="5" t="s">
        <v>348</v>
      </c>
      <c r="I1260" s="5">
        <v>3003</v>
      </c>
      <c r="J1260" s="5" t="s">
        <v>22</v>
      </c>
      <c r="K1260" s="5" t="s">
        <v>23</v>
      </c>
      <c r="L1260" s="5" t="s">
        <v>31</v>
      </c>
      <c r="M1260" s="5" t="s">
        <v>284</v>
      </c>
      <c r="N1260" s="5" t="s">
        <v>53</v>
      </c>
      <c r="O1260" s="5">
        <v>128</v>
      </c>
      <c r="P1260" s="5"/>
      <c r="Q1260" s="5"/>
      <c r="R1260" s="8">
        <v>6.9444444444444444E-5</v>
      </c>
      <c r="S1260" s="5" t="s">
        <v>37</v>
      </c>
      <c r="T1260" t="str">
        <f>IF(Tabela1[[#This Row],[STATUS_NEGOCIO]]="Enviar E-mail",1,"")</f>
        <v/>
      </c>
      <c r="U1260" t="str">
        <f>TEXT(Tabela1[[#This Row],[DATA]],"dd/mm/aaaa")</f>
        <v>22/04/2026</v>
      </c>
    </row>
    <row r="1261" spans="1:21" x14ac:dyDescent="0.25">
      <c r="A1261" s="4">
        <v>46134.656354166669</v>
      </c>
      <c r="B1261" s="5" t="s">
        <v>19</v>
      </c>
      <c r="C1261" s="5" t="s">
        <v>37</v>
      </c>
      <c r="D1261" s="5">
        <v>121</v>
      </c>
      <c r="E1261" s="6">
        <v>8311819000262</v>
      </c>
      <c r="F1261" s="5">
        <v>121</v>
      </c>
      <c r="G1261" s="7">
        <v>177688350965931</v>
      </c>
      <c r="H1261" s="5" t="s">
        <v>349</v>
      </c>
      <c r="I1261" s="5">
        <v>3003</v>
      </c>
      <c r="J1261" s="5" t="s">
        <v>22</v>
      </c>
      <c r="K1261" s="5" t="s">
        <v>23</v>
      </c>
      <c r="L1261" s="5" t="s">
        <v>31</v>
      </c>
      <c r="M1261" s="5" t="s">
        <v>284</v>
      </c>
      <c r="N1261" s="5" t="s">
        <v>53</v>
      </c>
      <c r="O1261" s="5">
        <v>128</v>
      </c>
      <c r="P1261" s="5"/>
      <c r="Q1261" s="5"/>
      <c r="R1261" s="8">
        <v>8.1018518518518516E-5</v>
      </c>
      <c r="S1261" s="5" t="s">
        <v>37</v>
      </c>
      <c r="T1261" t="str">
        <f>IF(Tabela1[[#This Row],[STATUS_NEGOCIO]]="Enviar E-mail",1,"")</f>
        <v/>
      </c>
      <c r="U1261" t="str">
        <f>TEXT(Tabela1[[#This Row],[DATA]],"dd/mm/aaaa")</f>
        <v>22/04/2026</v>
      </c>
    </row>
    <row r="1262" spans="1:21" x14ac:dyDescent="0.25">
      <c r="A1262" s="4">
        <v>46134.656412037039</v>
      </c>
      <c r="B1262" s="5" t="s">
        <v>19</v>
      </c>
      <c r="C1262" s="5" t="s">
        <v>37</v>
      </c>
      <c r="D1262" s="5">
        <v>122</v>
      </c>
      <c r="E1262" s="6">
        <v>8518829000354</v>
      </c>
      <c r="F1262" s="5">
        <v>122</v>
      </c>
      <c r="G1262" s="7">
        <v>177688351465941</v>
      </c>
      <c r="H1262" s="5" t="s">
        <v>350</v>
      </c>
      <c r="I1262" s="5">
        <v>3003</v>
      </c>
      <c r="J1262" s="5" t="s">
        <v>22</v>
      </c>
      <c r="K1262" s="5" t="s">
        <v>23</v>
      </c>
      <c r="L1262" s="5" t="s">
        <v>31</v>
      </c>
      <c r="M1262" s="5" t="s">
        <v>284</v>
      </c>
      <c r="N1262" s="5" t="s">
        <v>53</v>
      </c>
      <c r="O1262" s="5">
        <v>128</v>
      </c>
      <c r="P1262" s="5"/>
      <c r="Q1262" s="5"/>
      <c r="R1262" s="8">
        <v>8.1018518518518516E-5</v>
      </c>
      <c r="S1262" s="5" t="s">
        <v>37</v>
      </c>
      <c r="T1262" t="str">
        <f>IF(Tabela1[[#This Row],[STATUS_NEGOCIO]]="Enviar E-mail",1,"")</f>
        <v/>
      </c>
      <c r="U1262" t="str">
        <f>TEXT(Tabela1[[#This Row],[DATA]],"dd/mm/aaaa")</f>
        <v>22/04/2026</v>
      </c>
    </row>
    <row r="1263" spans="1:21" x14ac:dyDescent="0.25">
      <c r="A1263" s="4">
        <v>46134.656469907408</v>
      </c>
      <c r="B1263" s="5" t="s">
        <v>19</v>
      </c>
      <c r="C1263" s="5" t="s">
        <v>37</v>
      </c>
      <c r="D1263" s="5">
        <v>123</v>
      </c>
      <c r="E1263" s="6">
        <v>8537926000122</v>
      </c>
      <c r="F1263" s="5">
        <v>123</v>
      </c>
      <c r="G1263" s="7">
        <v>177688351965971</v>
      </c>
      <c r="H1263" s="5" t="s">
        <v>351</v>
      </c>
      <c r="I1263" s="5">
        <v>3003</v>
      </c>
      <c r="J1263" s="5" t="s">
        <v>22</v>
      </c>
      <c r="K1263" s="5" t="s">
        <v>23</v>
      </c>
      <c r="L1263" s="5" t="s">
        <v>31</v>
      </c>
      <c r="M1263" s="5" t="s">
        <v>284</v>
      </c>
      <c r="N1263" s="5" t="s">
        <v>53</v>
      </c>
      <c r="O1263" s="5">
        <v>128</v>
      </c>
      <c r="P1263" s="5"/>
      <c r="Q1263" s="5"/>
      <c r="R1263" s="8">
        <v>8.1018518518518516E-5</v>
      </c>
      <c r="S1263" s="5" t="s">
        <v>37</v>
      </c>
      <c r="T1263" t="str">
        <f>IF(Tabela1[[#This Row],[STATUS_NEGOCIO]]="Enviar E-mail",1,"")</f>
        <v/>
      </c>
      <c r="U1263" t="str">
        <f>TEXT(Tabela1[[#This Row],[DATA]],"dd/mm/aaaa")</f>
        <v>22/04/2026</v>
      </c>
    </row>
    <row r="1264" spans="1:21" x14ac:dyDescent="0.25">
      <c r="A1264" s="4">
        <v>46134.656481481485</v>
      </c>
      <c r="B1264" s="5" t="s">
        <v>19</v>
      </c>
      <c r="C1264" s="5" t="s">
        <v>37</v>
      </c>
      <c r="D1264" s="5">
        <v>124</v>
      </c>
      <c r="E1264" s="6">
        <v>8599024000110</v>
      </c>
      <c r="F1264" s="5">
        <v>124</v>
      </c>
      <c r="G1264" s="7">
        <v>177688352065981</v>
      </c>
      <c r="H1264" s="5" t="s">
        <v>352</v>
      </c>
      <c r="I1264" s="5">
        <v>3003</v>
      </c>
      <c r="J1264" s="5" t="s">
        <v>22</v>
      </c>
      <c r="K1264" s="5" t="s">
        <v>23</v>
      </c>
      <c r="L1264" s="5" t="s">
        <v>31</v>
      </c>
      <c r="M1264" s="5" t="s">
        <v>284</v>
      </c>
      <c r="N1264" s="5" t="s">
        <v>53</v>
      </c>
      <c r="O1264" s="5">
        <v>128</v>
      </c>
      <c r="P1264" s="5"/>
      <c r="Q1264" s="5"/>
      <c r="R1264" s="8">
        <v>8.1018518518518516E-5</v>
      </c>
      <c r="S1264" s="5" t="s">
        <v>37</v>
      </c>
      <c r="T1264" t="str">
        <f>IF(Tabela1[[#This Row],[STATUS_NEGOCIO]]="Enviar E-mail",1,"")</f>
        <v/>
      </c>
      <c r="U1264" t="str">
        <f>TEXT(Tabela1[[#This Row],[DATA]],"dd/mm/aaaa")</f>
        <v>22/04/2026</v>
      </c>
    </row>
    <row r="1265" spans="1:21" x14ac:dyDescent="0.25">
      <c r="A1265" s="4">
        <v>46134.656493055554</v>
      </c>
      <c r="B1265" s="5" t="s">
        <v>19</v>
      </c>
      <c r="C1265" s="5" t="s">
        <v>37</v>
      </c>
      <c r="D1265" s="5">
        <v>126</v>
      </c>
      <c r="E1265" s="6">
        <v>8764146000115</v>
      </c>
      <c r="F1265" s="5">
        <v>126</v>
      </c>
      <c r="G1265" s="7">
        <v>177688352166001</v>
      </c>
      <c r="H1265" s="5" t="s">
        <v>354</v>
      </c>
      <c r="I1265" s="5">
        <v>3003</v>
      </c>
      <c r="J1265" s="5" t="s">
        <v>22</v>
      </c>
      <c r="K1265" s="5" t="s">
        <v>23</v>
      </c>
      <c r="L1265" s="5" t="s">
        <v>31</v>
      </c>
      <c r="M1265" s="5" t="s">
        <v>284</v>
      </c>
      <c r="N1265" s="5" t="s">
        <v>53</v>
      </c>
      <c r="O1265" s="5">
        <v>128</v>
      </c>
      <c r="P1265" s="5"/>
      <c r="Q1265" s="5"/>
      <c r="R1265" s="8">
        <v>8.1018518518518516E-5</v>
      </c>
      <c r="S1265" s="5" t="s">
        <v>37</v>
      </c>
      <c r="T1265" t="str">
        <f>IF(Tabela1[[#This Row],[STATUS_NEGOCIO]]="Enviar E-mail",1,"")</f>
        <v/>
      </c>
      <c r="U1265" t="str">
        <f>TEXT(Tabela1[[#This Row],[DATA]],"dd/mm/aaaa")</f>
        <v>22/04/2026</v>
      </c>
    </row>
    <row r="1266" spans="1:21" x14ac:dyDescent="0.25">
      <c r="A1266" s="4">
        <v>46134.65662037037</v>
      </c>
      <c r="B1266" s="5" t="s">
        <v>19</v>
      </c>
      <c r="C1266" s="5" t="s">
        <v>37</v>
      </c>
      <c r="D1266" s="5">
        <v>127</v>
      </c>
      <c r="E1266" s="6">
        <v>8879331000155</v>
      </c>
      <c r="F1266" s="5">
        <v>127</v>
      </c>
      <c r="G1266" s="7">
        <v>177688353266021</v>
      </c>
      <c r="H1266" s="5" t="s">
        <v>355</v>
      </c>
      <c r="I1266" s="5" t="s">
        <v>52</v>
      </c>
      <c r="J1266" s="5" t="s">
        <v>22</v>
      </c>
      <c r="K1266" s="5" t="s">
        <v>36</v>
      </c>
      <c r="L1266" s="5" t="s">
        <v>36</v>
      </c>
      <c r="M1266" s="5" t="s">
        <v>284</v>
      </c>
      <c r="N1266" s="5" t="s">
        <v>53</v>
      </c>
      <c r="O1266" s="5">
        <v>34</v>
      </c>
      <c r="P1266" s="5"/>
      <c r="Q1266" s="5"/>
      <c r="R1266" s="8">
        <v>0</v>
      </c>
      <c r="S1266" s="5" t="s">
        <v>37</v>
      </c>
      <c r="T1266" t="str">
        <f>IF(Tabela1[[#This Row],[STATUS_NEGOCIO]]="Enviar E-mail",1,"")</f>
        <v/>
      </c>
      <c r="U1266" t="str">
        <f>TEXT(Tabela1[[#This Row],[DATA]],"dd/mm/aaaa")</f>
        <v>22/04/2026</v>
      </c>
    </row>
    <row r="1267" spans="1:21" x14ac:dyDescent="0.25">
      <c r="A1267" s="4">
        <v>46134.656631944446</v>
      </c>
      <c r="B1267" s="5" t="s">
        <v>19</v>
      </c>
      <c r="C1267" s="5" t="s">
        <v>37</v>
      </c>
      <c r="D1267" s="5">
        <v>128</v>
      </c>
      <c r="E1267" s="6">
        <v>8892204000196</v>
      </c>
      <c r="F1267" s="5">
        <v>128</v>
      </c>
      <c r="G1267" s="7">
        <v>177688353366041</v>
      </c>
      <c r="H1267" s="5" t="s">
        <v>356</v>
      </c>
      <c r="I1267" s="5">
        <v>3003</v>
      </c>
      <c r="J1267" s="5" t="s">
        <v>22</v>
      </c>
      <c r="K1267" s="5" t="s">
        <v>23</v>
      </c>
      <c r="L1267" s="5" t="s">
        <v>31</v>
      </c>
      <c r="M1267" s="5" t="s">
        <v>284</v>
      </c>
      <c r="N1267" s="5" t="s">
        <v>53</v>
      </c>
      <c r="O1267" s="5">
        <v>128</v>
      </c>
      <c r="P1267" s="5"/>
      <c r="Q1267" s="5"/>
      <c r="R1267" s="8">
        <v>8.1018518518518516E-5</v>
      </c>
      <c r="S1267" s="5" t="s">
        <v>37</v>
      </c>
      <c r="T1267" t="str">
        <f>IF(Tabela1[[#This Row],[STATUS_NEGOCIO]]="Enviar E-mail",1,"")</f>
        <v/>
      </c>
      <c r="U1267" t="str">
        <f>TEXT(Tabela1[[#This Row],[DATA]],"dd/mm/aaaa")</f>
        <v>22/04/2026</v>
      </c>
    </row>
    <row r="1268" spans="1:21" x14ac:dyDescent="0.25">
      <c r="A1268" s="4">
        <v>46134.656631944446</v>
      </c>
      <c r="B1268" s="5" t="s">
        <v>19</v>
      </c>
      <c r="C1268" s="5" t="s">
        <v>37</v>
      </c>
      <c r="D1268" s="5">
        <v>129</v>
      </c>
      <c r="E1268" s="6">
        <v>8912389000153</v>
      </c>
      <c r="F1268" s="5">
        <v>129</v>
      </c>
      <c r="G1268" s="7">
        <v>177688353366061</v>
      </c>
      <c r="H1268" s="5" t="s">
        <v>357</v>
      </c>
      <c r="I1268" s="5">
        <v>3003</v>
      </c>
      <c r="J1268" s="5" t="s">
        <v>22</v>
      </c>
      <c r="K1268" s="5" t="s">
        <v>23</v>
      </c>
      <c r="L1268" s="5" t="s">
        <v>31</v>
      </c>
      <c r="M1268" s="5" t="s">
        <v>284</v>
      </c>
      <c r="N1268" s="5" t="s">
        <v>53</v>
      </c>
      <c r="O1268" s="5">
        <v>128</v>
      </c>
      <c r="P1268" s="5"/>
      <c r="Q1268" s="5"/>
      <c r="R1268" s="8">
        <v>6.9444444444444444E-5</v>
      </c>
      <c r="S1268" s="5" t="s">
        <v>37</v>
      </c>
      <c r="T1268" t="str">
        <f>IF(Tabela1[[#This Row],[STATUS_NEGOCIO]]="Enviar E-mail",1,"")</f>
        <v/>
      </c>
      <c r="U1268" t="str">
        <f>TEXT(Tabela1[[#This Row],[DATA]],"dd/mm/aaaa")</f>
        <v>22/04/2026</v>
      </c>
    </row>
    <row r="1269" spans="1:21" x14ac:dyDescent="0.25">
      <c r="A1269" s="4">
        <v>46134.656655092593</v>
      </c>
      <c r="B1269" s="5" t="s">
        <v>19</v>
      </c>
      <c r="C1269" s="5" t="s">
        <v>37</v>
      </c>
      <c r="D1269" s="5">
        <v>131</v>
      </c>
      <c r="E1269" s="6">
        <v>8973205000165</v>
      </c>
      <c r="F1269" s="5">
        <v>131</v>
      </c>
      <c r="G1269" s="7">
        <v>177688353566081</v>
      </c>
      <c r="H1269" s="5" t="s">
        <v>359</v>
      </c>
      <c r="I1269" s="5">
        <v>3003</v>
      </c>
      <c r="J1269" s="5" t="s">
        <v>22</v>
      </c>
      <c r="K1269" s="5" t="s">
        <v>23</v>
      </c>
      <c r="L1269" s="5" t="s">
        <v>31</v>
      </c>
      <c r="M1269" s="5" t="s">
        <v>284</v>
      </c>
      <c r="N1269" s="5" t="s">
        <v>53</v>
      </c>
      <c r="O1269" s="5">
        <v>128</v>
      </c>
      <c r="P1269" s="5"/>
      <c r="Q1269" s="5"/>
      <c r="R1269" s="8">
        <v>8.1018518518518516E-5</v>
      </c>
      <c r="S1269" s="5" t="s">
        <v>37</v>
      </c>
      <c r="T1269" t="str">
        <f>IF(Tabela1[[#This Row],[STATUS_NEGOCIO]]="Enviar E-mail",1,"")</f>
        <v/>
      </c>
      <c r="U1269" t="str">
        <f>TEXT(Tabela1[[#This Row],[DATA]],"dd/mm/aaaa")</f>
        <v>22/04/2026</v>
      </c>
    </row>
    <row r="1270" spans="1:21" x14ac:dyDescent="0.25">
      <c r="A1270" s="4">
        <v>46134.656678240739</v>
      </c>
      <c r="B1270" s="5" t="s">
        <v>19</v>
      </c>
      <c r="C1270" s="5" t="s">
        <v>37</v>
      </c>
      <c r="D1270" s="5">
        <v>132</v>
      </c>
      <c r="E1270" s="6">
        <v>8996355000194</v>
      </c>
      <c r="F1270" s="5">
        <v>132</v>
      </c>
      <c r="G1270" s="7">
        <v>177688353766111</v>
      </c>
      <c r="H1270" s="5" t="s">
        <v>360</v>
      </c>
      <c r="I1270" s="5">
        <v>3003</v>
      </c>
      <c r="J1270" s="5" t="s">
        <v>22</v>
      </c>
      <c r="K1270" s="5" t="s">
        <v>23</v>
      </c>
      <c r="L1270" s="5" t="s">
        <v>31</v>
      </c>
      <c r="M1270" s="5" t="s">
        <v>284</v>
      </c>
      <c r="N1270" s="5" t="s">
        <v>53</v>
      </c>
      <c r="O1270" s="5">
        <v>128</v>
      </c>
      <c r="P1270" s="5"/>
      <c r="Q1270" s="5"/>
      <c r="R1270" s="8">
        <v>8.1018518518518516E-5</v>
      </c>
      <c r="S1270" s="5" t="s">
        <v>37</v>
      </c>
      <c r="T1270" t="str">
        <f>IF(Tabela1[[#This Row],[STATUS_NEGOCIO]]="Enviar E-mail",1,"")</f>
        <v/>
      </c>
      <c r="U1270" t="str">
        <f>TEXT(Tabela1[[#This Row],[DATA]],"dd/mm/aaaa")</f>
        <v>22/04/2026</v>
      </c>
    </row>
    <row r="1271" spans="1:21" x14ac:dyDescent="0.25">
      <c r="A1271" s="4">
        <v>46134.656678240739</v>
      </c>
      <c r="B1271" s="5" t="s">
        <v>19</v>
      </c>
      <c r="C1271" s="5" t="s">
        <v>37</v>
      </c>
      <c r="D1271" s="5">
        <v>133</v>
      </c>
      <c r="E1271" s="6">
        <v>9082639000138</v>
      </c>
      <c r="F1271" s="5">
        <v>133</v>
      </c>
      <c r="G1271" s="7">
        <v>177688353766121</v>
      </c>
      <c r="H1271" s="5" t="s">
        <v>41</v>
      </c>
      <c r="I1271" s="5">
        <v>3003</v>
      </c>
      <c r="J1271" s="5" t="s">
        <v>22</v>
      </c>
      <c r="K1271" s="5" t="s">
        <v>23</v>
      </c>
      <c r="L1271" s="5" t="s">
        <v>31</v>
      </c>
      <c r="M1271" s="5" t="s">
        <v>284</v>
      </c>
      <c r="N1271" s="5" t="s">
        <v>53</v>
      </c>
      <c r="O1271" s="5">
        <v>128</v>
      </c>
      <c r="P1271" s="5"/>
      <c r="Q1271" s="5"/>
      <c r="R1271" s="8">
        <v>8.1018518518518516E-5</v>
      </c>
      <c r="S1271" s="5" t="s">
        <v>37</v>
      </c>
      <c r="T1271" t="str">
        <f>IF(Tabela1[[#This Row],[STATUS_NEGOCIO]]="Enviar E-mail",1,"")</f>
        <v/>
      </c>
      <c r="U1271" t="str">
        <f>TEXT(Tabela1[[#This Row],[DATA]],"dd/mm/aaaa")</f>
        <v>22/04/2026</v>
      </c>
    </row>
    <row r="1272" spans="1:21" x14ac:dyDescent="0.25">
      <c r="A1272" s="4">
        <v>46134.656689814816</v>
      </c>
      <c r="B1272" s="5" t="s">
        <v>19</v>
      </c>
      <c r="C1272" s="5" t="s">
        <v>37</v>
      </c>
      <c r="D1272" s="5">
        <v>134</v>
      </c>
      <c r="E1272" s="6">
        <v>9158698000142</v>
      </c>
      <c r="F1272" s="5">
        <v>134</v>
      </c>
      <c r="G1272" s="7">
        <v>177688353866131</v>
      </c>
      <c r="H1272" s="5" t="s">
        <v>107</v>
      </c>
      <c r="I1272" s="5">
        <v>3003</v>
      </c>
      <c r="J1272" s="5" t="s">
        <v>22</v>
      </c>
      <c r="K1272" s="5" t="s">
        <v>23</v>
      </c>
      <c r="L1272" s="5" t="s">
        <v>31</v>
      </c>
      <c r="M1272" s="5" t="s">
        <v>284</v>
      </c>
      <c r="N1272" s="5" t="s">
        <v>53</v>
      </c>
      <c r="O1272" s="5">
        <v>128</v>
      </c>
      <c r="P1272" s="5"/>
      <c r="Q1272" s="5"/>
      <c r="R1272" s="8">
        <v>8.1018518518518516E-5</v>
      </c>
      <c r="S1272" s="5" t="s">
        <v>37</v>
      </c>
      <c r="T1272" t="str">
        <f>IF(Tabela1[[#This Row],[STATUS_NEGOCIO]]="Enviar E-mail",1,"")</f>
        <v/>
      </c>
      <c r="U1272" t="str">
        <f>TEXT(Tabela1[[#This Row],[DATA]],"dd/mm/aaaa")</f>
        <v>22/04/2026</v>
      </c>
    </row>
    <row r="1273" spans="1:21" x14ac:dyDescent="0.25">
      <c r="A1273" s="4">
        <v>46134.656793981485</v>
      </c>
      <c r="B1273" s="5" t="s">
        <v>19</v>
      </c>
      <c r="C1273" s="5" t="s">
        <v>37</v>
      </c>
      <c r="D1273" s="5">
        <v>136</v>
      </c>
      <c r="E1273" s="6">
        <v>9232340000112</v>
      </c>
      <c r="F1273" s="5">
        <v>136</v>
      </c>
      <c r="G1273" s="7">
        <v>177688354766211</v>
      </c>
      <c r="H1273" s="5" t="s">
        <v>362</v>
      </c>
      <c r="I1273" s="5">
        <v>3003</v>
      </c>
      <c r="J1273" s="5" t="s">
        <v>22</v>
      </c>
      <c r="K1273" s="5" t="s">
        <v>23</v>
      </c>
      <c r="L1273" s="5" t="s">
        <v>31</v>
      </c>
      <c r="M1273" s="5" t="s">
        <v>284</v>
      </c>
      <c r="N1273" s="5" t="s">
        <v>53</v>
      </c>
      <c r="O1273" s="5">
        <v>128</v>
      </c>
      <c r="P1273" s="5"/>
      <c r="Q1273" s="5"/>
      <c r="R1273" s="8">
        <v>8.1018518518518516E-5</v>
      </c>
      <c r="S1273" s="5" t="s">
        <v>37</v>
      </c>
      <c r="T1273" t="str">
        <f>IF(Tabela1[[#This Row],[STATUS_NEGOCIO]]="Enviar E-mail",1,"")</f>
        <v/>
      </c>
      <c r="U1273" t="str">
        <f>TEXT(Tabela1[[#This Row],[DATA]],"dd/mm/aaaa")</f>
        <v>22/04/2026</v>
      </c>
    </row>
    <row r="1274" spans="1:21" x14ac:dyDescent="0.25">
      <c r="A1274" s="4">
        <v>46134.656828703701</v>
      </c>
      <c r="B1274" s="5" t="s">
        <v>19</v>
      </c>
      <c r="C1274" s="5" t="s">
        <v>37</v>
      </c>
      <c r="D1274" s="5">
        <v>137</v>
      </c>
      <c r="E1274" s="6">
        <v>9243828000145</v>
      </c>
      <c r="F1274" s="5">
        <v>137</v>
      </c>
      <c r="G1274" s="7">
        <v>177688355066231</v>
      </c>
      <c r="H1274" s="5" t="s">
        <v>80</v>
      </c>
      <c r="I1274" s="5">
        <v>3003</v>
      </c>
      <c r="J1274" s="5" t="s">
        <v>22</v>
      </c>
      <c r="K1274" s="5" t="s">
        <v>23</v>
      </c>
      <c r="L1274" s="5" t="s">
        <v>31</v>
      </c>
      <c r="M1274" s="5" t="s">
        <v>284</v>
      </c>
      <c r="N1274" s="5" t="s">
        <v>53</v>
      </c>
      <c r="O1274" s="5">
        <v>128</v>
      </c>
      <c r="P1274" s="5"/>
      <c r="Q1274" s="5"/>
      <c r="R1274" s="8">
        <v>8.1018518518518516E-5</v>
      </c>
      <c r="S1274" s="5" t="s">
        <v>37</v>
      </c>
      <c r="T1274" t="str">
        <f>IF(Tabela1[[#This Row],[STATUS_NEGOCIO]]="Enviar E-mail",1,"")</f>
        <v/>
      </c>
      <c r="U1274" t="str">
        <f>TEXT(Tabela1[[#This Row],[DATA]],"dd/mm/aaaa")</f>
        <v>22/04/2026</v>
      </c>
    </row>
    <row r="1275" spans="1:21" x14ac:dyDescent="0.25">
      <c r="A1275" s="4">
        <v>46134.656851851854</v>
      </c>
      <c r="B1275" s="5" t="s">
        <v>19</v>
      </c>
      <c r="C1275" s="5" t="s">
        <v>37</v>
      </c>
      <c r="D1275" s="5">
        <v>141</v>
      </c>
      <c r="E1275" s="6">
        <v>9477090000180</v>
      </c>
      <c r="F1275" s="5">
        <v>141</v>
      </c>
      <c r="G1275" s="7">
        <v>177688355266251</v>
      </c>
      <c r="H1275" s="5" t="s">
        <v>364</v>
      </c>
      <c r="I1275" s="5">
        <v>3003</v>
      </c>
      <c r="J1275" s="5" t="s">
        <v>22</v>
      </c>
      <c r="K1275" s="5" t="s">
        <v>23</v>
      </c>
      <c r="L1275" s="5" t="s">
        <v>31</v>
      </c>
      <c r="M1275" s="5" t="s">
        <v>284</v>
      </c>
      <c r="N1275" s="5" t="s">
        <v>53</v>
      </c>
      <c r="O1275" s="5">
        <v>128</v>
      </c>
      <c r="P1275" s="5"/>
      <c r="Q1275" s="5"/>
      <c r="R1275" s="8">
        <v>8.1018518518518516E-5</v>
      </c>
      <c r="S1275" s="5" t="s">
        <v>37</v>
      </c>
      <c r="T1275" t="str">
        <f>IF(Tabela1[[#This Row],[STATUS_NEGOCIO]]="Enviar E-mail",1,"")</f>
        <v/>
      </c>
      <c r="U1275" t="str">
        <f>TEXT(Tabela1[[#This Row],[DATA]],"dd/mm/aaaa")</f>
        <v>22/04/2026</v>
      </c>
    </row>
    <row r="1276" spans="1:21" x14ac:dyDescent="0.25">
      <c r="A1276" s="4">
        <v>46134.656875000001</v>
      </c>
      <c r="B1276" s="5" t="s">
        <v>19</v>
      </c>
      <c r="C1276" s="5" t="s">
        <v>20</v>
      </c>
      <c r="D1276" s="5">
        <v>142</v>
      </c>
      <c r="E1276" s="6">
        <v>9524235000157</v>
      </c>
      <c r="F1276" s="5">
        <v>142</v>
      </c>
      <c r="G1276" s="7">
        <v>177688355466271</v>
      </c>
      <c r="H1276" s="5" t="s">
        <v>365</v>
      </c>
      <c r="I1276" s="5">
        <v>3003</v>
      </c>
      <c r="J1276" s="5" t="s">
        <v>22</v>
      </c>
      <c r="K1276" s="5" t="s">
        <v>23</v>
      </c>
      <c r="L1276" s="5" t="s">
        <v>44</v>
      </c>
      <c r="M1276" s="5" t="s">
        <v>284</v>
      </c>
      <c r="N1276" s="5" t="s">
        <v>26</v>
      </c>
      <c r="O1276" s="5">
        <v>16</v>
      </c>
      <c r="P1276" s="5"/>
      <c r="Q1276" s="5"/>
      <c r="R1276" s="8">
        <v>6.9444444444444444E-5</v>
      </c>
      <c r="S1276" s="5" t="s">
        <v>37</v>
      </c>
      <c r="T1276" t="str">
        <f>IF(Tabela1[[#This Row],[STATUS_NEGOCIO]]="Enviar E-mail",1,"")</f>
        <v/>
      </c>
      <c r="U1276" t="str">
        <f>TEXT(Tabela1[[#This Row],[DATA]],"dd/mm/aaaa")</f>
        <v>22/04/2026</v>
      </c>
    </row>
    <row r="1277" spans="1:21" x14ac:dyDescent="0.25">
      <c r="A1277" s="4">
        <v>46134.656990740739</v>
      </c>
      <c r="B1277" s="5" t="s">
        <v>19</v>
      </c>
      <c r="C1277" s="5" t="s">
        <v>37</v>
      </c>
      <c r="D1277" s="5">
        <v>143</v>
      </c>
      <c r="E1277" s="6">
        <v>10199619000120</v>
      </c>
      <c r="F1277" s="5">
        <v>143</v>
      </c>
      <c r="G1277" s="7">
        <v>177688356466291</v>
      </c>
      <c r="H1277" s="5" t="s">
        <v>366</v>
      </c>
      <c r="I1277" s="5">
        <v>3003</v>
      </c>
      <c r="J1277" s="5" t="s">
        <v>22</v>
      </c>
      <c r="K1277" s="5" t="s">
        <v>23</v>
      </c>
      <c r="L1277" s="5" t="s">
        <v>31</v>
      </c>
      <c r="M1277" s="5" t="s">
        <v>284</v>
      </c>
      <c r="N1277" s="5" t="s">
        <v>53</v>
      </c>
      <c r="O1277" s="5">
        <v>128</v>
      </c>
      <c r="P1277" s="5"/>
      <c r="Q1277" s="5"/>
      <c r="R1277" s="8">
        <v>8.1018518518518516E-5</v>
      </c>
      <c r="S1277" s="5" t="s">
        <v>37</v>
      </c>
      <c r="T1277" t="str">
        <f>IF(Tabela1[[#This Row],[STATUS_NEGOCIO]]="Enviar E-mail",1,"")</f>
        <v/>
      </c>
      <c r="U1277" t="str">
        <f>TEXT(Tabela1[[#This Row],[DATA]],"dd/mm/aaaa")</f>
        <v>22/04/2026</v>
      </c>
    </row>
    <row r="1278" spans="1:21" x14ac:dyDescent="0.25">
      <c r="A1278" s="4">
        <v>46134.657002314816</v>
      </c>
      <c r="B1278" s="5" t="s">
        <v>19</v>
      </c>
      <c r="C1278" s="5" t="s">
        <v>37</v>
      </c>
      <c r="D1278" s="5">
        <v>144</v>
      </c>
      <c r="E1278" s="6">
        <v>10312430000100</v>
      </c>
      <c r="F1278" s="5">
        <v>144</v>
      </c>
      <c r="G1278" s="7">
        <v>177688356566321</v>
      </c>
      <c r="H1278" s="5" t="s">
        <v>367</v>
      </c>
      <c r="I1278" s="5">
        <v>3003</v>
      </c>
      <c r="J1278" s="5" t="s">
        <v>22</v>
      </c>
      <c r="K1278" s="5" t="s">
        <v>23</v>
      </c>
      <c r="L1278" s="5" t="s">
        <v>31</v>
      </c>
      <c r="M1278" s="5" t="s">
        <v>284</v>
      </c>
      <c r="N1278" s="5" t="s">
        <v>53</v>
      </c>
      <c r="O1278" s="5">
        <v>128</v>
      </c>
      <c r="P1278" s="5"/>
      <c r="Q1278" s="5"/>
      <c r="R1278" s="8">
        <v>8.1018518518518516E-5</v>
      </c>
      <c r="S1278" s="5" t="s">
        <v>37</v>
      </c>
      <c r="T1278" t="str">
        <f>IF(Tabela1[[#This Row],[STATUS_NEGOCIO]]="Enviar E-mail",1,"")</f>
        <v/>
      </c>
      <c r="U1278" t="str">
        <f>TEXT(Tabela1[[#This Row],[DATA]],"dd/mm/aaaa")</f>
        <v>22/04/2026</v>
      </c>
    </row>
    <row r="1279" spans="1:21" x14ac:dyDescent="0.25">
      <c r="A1279" s="4">
        <v>46134.657002314816</v>
      </c>
      <c r="B1279" s="5" t="s">
        <v>19</v>
      </c>
      <c r="C1279" s="5" t="s">
        <v>37</v>
      </c>
      <c r="D1279" s="5">
        <v>145</v>
      </c>
      <c r="E1279" s="6">
        <v>10320742000158</v>
      </c>
      <c r="F1279" s="5">
        <v>145</v>
      </c>
      <c r="G1279" s="7">
        <v>177688356566331</v>
      </c>
      <c r="H1279" s="5" t="s">
        <v>368</v>
      </c>
      <c r="I1279" s="5">
        <v>3003</v>
      </c>
      <c r="J1279" s="5" t="s">
        <v>22</v>
      </c>
      <c r="K1279" s="5" t="s">
        <v>23</v>
      </c>
      <c r="L1279" s="5" t="s">
        <v>31</v>
      </c>
      <c r="M1279" s="5" t="s">
        <v>284</v>
      </c>
      <c r="N1279" s="5" t="s">
        <v>53</v>
      </c>
      <c r="O1279" s="5">
        <v>128</v>
      </c>
      <c r="P1279" s="5"/>
      <c r="Q1279" s="5"/>
      <c r="R1279" s="8">
        <v>8.1018518518518516E-5</v>
      </c>
      <c r="S1279" s="5" t="s">
        <v>37</v>
      </c>
      <c r="T1279" t="str">
        <f>IF(Tabela1[[#This Row],[STATUS_NEGOCIO]]="Enviar E-mail",1,"")</f>
        <v/>
      </c>
      <c r="U1279" t="str">
        <f>TEXT(Tabela1[[#This Row],[DATA]],"dd/mm/aaaa")</f>
        <v>22/04/2026</v>
      </c>
    </row>
    <row r="1280" spans="1:21" x14ac:dyDescent="0.25">
      <c r="A1280" s="4">
        <v>46134.657071759262</v>
      </c>
      <c r="B1280" s="5" t="s">
        <v>19</v>
      </c>
      <c r="C1280" s="5" t="s">
        <v>37</v>
      </c>
      <c r="D1280" s="5">
        <v>146</v>
      </c>
      <c r="E1280" s="6">
        <v>10335794000106</v>
      </c>
      <c r="F1280" s="5">
        <v>146</v>
      </c>
      <c r="G1280" s="7">
        <v>177688357166391</v>
      </c>
      <c r="H1280" s="5" t="s">
        <v>163</v>
      </c>
      <c r="I1280" s="5">
        <v>3003</v>
      </c>
      <c r="J1280" s="5" t="s">
        <v>22</v>
      </c>
      <c r="K1280" s="5" t="s">
        <v>23</v>
      </c>
      <c r="L1280" s="5" t="s">
        <v>31</v>
      </c>
      <c r="M1280" s="5" t="s">
        <v>284</v>
      </c>
      <c r="N1280" s="5" t="s">
        <v>53</v>
      </c>
      <c r="O1280" s="5">
        <v>128</v>
      </c>
      <c r="P1280" s="5"/>
      <c r="Q1280" s="5"/>
      <c r="R1280" s="8">
        <v>8.1018518518518516E-5</v>
      </c>
      <c r="S1280" s="5" t="s">
        <v>37</v>
      </c>
      <c r="T1280" t="str">
        <f>IF(Tabela1[[#This Row],[STATUS_NEGOCIO]]="Enviar E-mail",1,"")</f>
        <v/>
      </c>
      <c r="U1280" t="str">
        <f>TEXT(Tabela1[[#This Row],[DATA]],"dd/mm/aaaa")</f>
        <v>22/04/2026</v>
      </c>
    </row>
    <row r="1281" spans="1:21" x14ac:dyDescent="0.25">
      <c r="A1281" s="4">
        <v>46134.657083333332</v>
      </c>
      <c r="B1281" s="5" t="s">
        <v>19</v>
      </c>
      <c r="C1281" s="5" t="s">
        <v>37</v>
      </c>
      <c r="D1281" s="5">
        <v>147</v>
      </c>
      <c r="E1281" s="6">
        <v>10364002000113</v>
      </c>
      <c r="F1281" s="5">
        <v>147</v>
      </c>
      <c r="G1281" s="7">
        <v>177688357266411</v>
      </c>
      <c r="H1281" s="5" t="s">
        <v>369</v>
      </c>
      <c r="I1281" s="5">
        <v>3003</v>
      </c>
      <c r="J1281" s="5" t="s">
        <v>22</v>
      </c>
      <c r="K1281" s="5" t="s">
        <v>23</v>
      </c>
      <c r="L1281" s="5" t="s">
        <v>31</v>
      </c>
      <c r="M1281" s="5" t="s">
        <v>284</v>
      </c>
      <c r="N1281" s="5" t="s">
        <v>53</v>
      </c>
      <c r="O1281" s="5">
        <v>128</v>
      </c>
      <c r="P1281" s="5"/>
      <c r="Q1281" s="5"/>
      <c r="R1281" s="8">
        <v>8.1018518518518516E-5</v>
      </c>
      <c r="S1281" s="5" t="s">
        <v>37</v>
      </c>
      <c r="T1281" t="str">
        <f>IF(Tabela1[[#This Row],[STATUS_NEGOCIO]]="Enviar E-mail",1,"")</f>
        <v/>
      </c>
      <c r="U1281" t="str">
        <f>TEXT(Tabela1[[#This Row],[DATA]],"dd/mm/aaaa")</f>
        <v>22/04/2026</v>
      </c>
    </row>
    <row r="1282" spans="1:21" x14ac:dyDescent="0.25">
      <c r="A1282" s="4">
        <v>46134.657199074078</v>
      </c>
      <c r="B1282" s="5" t="s">
        <v>19</v>
      </c>
      <c r="C1282" s="5" t="s">
        <v>37</v>
      </c>
      <c r="D1282" s="5">
        <v>148</v>
      </c>
      <c r="E1282" s="6">
        <v>10379649000119</v>
      </c>
      <c r="F1282" s="5">
        <v>148</v>
      </c>
      <c r="G1282" s="7">
        <v>177688358266491</v>
      </c>
      <c r="H1282" s="5" t="s">
        <v>96</v>
      </c>
      <c r="I1282" s="5">
        <v>3003</v>
      </c>
      <c r="J1282" s="5" t="s">
        <v>22</v>
      </c>
      <c r="K1282" s="5" t="s">
        <v>23</v>
      </c>
      <c r="L1282" s="5" t="s">
        <v>31</v>
      </c>
      <c r="M1282" s="5" t="s">
        <v>284</v>
      </c>
      <c r="N1282" s="5" t="s">
        <v>53</v>
      </c>
      <c r="O1282" s="5">
        <v>128</v>
      </c>
      <c r="P1282" s="5"/>
      <c r="Q1282" s="5"/>
      <c r="R1282" s="8">
        <v>8.1018518518518516E-5</v>
      </c>
      <c r="S1282" s="5" t="s">
        <v>37</v>
      </c>
      <c r="T1282" t="str">
        <f>IF(Tabela1[[#This Row],[STATUS_NEGOCIO]]="Enviar E-mail",1,"")</f>
        <v/>
      </c>
      <c r="U1282" t="str">
        <f>TEXT(Tabela1[[#This Row],[DATA]],"dd/mm/aaaa")</f>
        <v>22/04/2026</v>
      </c>
    </row>
    <row r="1283" spans="1:21" x14ac:dyDescent="0.25">
      <c r="A1283" s="4">
        <v>46134.657233796293</v>
      </c>
      <c r="B1283" s="5" t="s">
        <v>19</v>
      </c>
      <c r="C1283" s="5" t="s">
        <v>37</v>
      </c>
      <c r="D1283" s="5">
        <v>149</v>
      </c>
      <c r="E1283" s="6">
        <v>10433504000159</v>
      </c>
      <c r="F1283" s="5">
        <v>149</v>
      </c>
      <c r="G1283" s="7">
        <v>177688358566521</v>
      </c>
      <c r="H1283" s="5" t="s">
        <v>370</v>
      </c>
      <c r="I1283" s="5">
        <v>3003</v>
      </c>
      <c r="J1283" s="5" t="s">
        <v>22</v>
      </c>
      <c r="K1283" s="5" t="s">
        <v>23</v>
      </c>
      <c r="L1283" s="5" t="s">
        <v>31</v>
      </c>
      <c r="M1283" s="5" t="s">
        <v>284</v>
      </c>
      <c r="N1283" s="5" t="s">
        <v>53</v>
      </c>
      <c r="O1283" s="5">
        <v>147</v>
      </c>
      <c r="P1283" s="5"/>
      <c r="Q1283" s="5"/>
      <c r="R1283" s="8">
        <v>8.1018518518518516E-5</v>
      </c>
      <c r="S1283" s="5" t="s">
        <v>37</v>
      </c>
      <c r="T1283" t="str">
        <f>IF(Tabela1[[#This Row],[STATUS_NEGOCIO]]="Enviar E-mail",1,"")</f>
        <v/>
      </c>
      <c r="U1283" t="str">
        <f>TEXT(Tabela1[[#This Row],[DATA]],"dd/mm/aaaa")</f>
        <v>22/04/2026</v>
      </c>
    </row>
    <row r="1284" spans="1:21" x14ac:dyDescent="0.25">
      <c r="A1284" s="4">
        <v>46134.657233796293</v>
      </c>
      <c r="B1284" s="5" t="s">
        <v>19</v>
      </c>
      <c r="C1284" s="5" t="s">
        <v>37</v>
      </c>
      <c r="D1284" s="5">
        <v>150</v>
      </c>
      <c r="E1284" s="6">
        <v>10443491000107</v>
      </c>
      <c r="F1284" s="5">
        <v>150</v>
      </c>
      <c r="G1284" s="7">
        <v>177688358566531</v>
      </c>
      <c r="H1284" s="5" t="s">
        <v>371</v>
      </c>
      <c r="I1284" s="5" t="s">
        <v>52</v>
      </c>
      <c r="J1284" s="5" t="s">
        <v>22</v>
      </c>
      <c r="K1284" s="5" t="s">
        <v>36</v>
      </c>
      <c r="L1284" s="5" t="s">
        <v>36</v>
      </c>
      <c r="M1284" s="5" t="s">
        <v>284</v>
      </c>
      <c r="N1284" s="5" t="s">
        <v>53</v>
      </c>
      <c r="O1284" s="5">
        <v>19</v>
      </c>
      <c r="P1284" s="5"/>
      <c r="Q1284" s="5"/>
      <c r="R1284" s="8">
        <v>0</v>
      </c>
      <c r="S1284" s="5" t="s">
        <v>37</v>
      </c>
      <c r="T1284" t="str">
        <f>IF(Tabela1[[#This Row],[STATUS_NEGOCIO]]="Enviar E-mail",1,"")</f>
        <v/>
      </c>
      <c r="U1284" t="str">
        <f>TEXT(Tabela1[[#This Row],[DATA]],"dd/mm/aaaa")</f>
        <v>22/04/2026</v>
      </c>
    </row>
    <row r="1285" spans="1:21" x14ac:dyDescent="0.25">
      <c r="A1285" s="4">
        <v>46134.657326388886</v>
      </c>
      <c r="B1285" s="5" t="s">
        <v>19</v>
      </c>
      <c r="C1285" s="5" t="s">
        <v>37</v>
      </c>
      <c r="D1285" s="5">
        <v>151</v>
      </c>
      <c r="E1285" s="6">
        <v>10479198000191</v>
      </c>
      <c r="F1285" s="5">
        <v>151</v>
      </c>
      <c r="G1285" s="7">
        <v>177688359366591</v>
      </c>
      <c r="H1285" s="5" t="s">
        <v>69</v>
      </c>
      <c r="I1285" s="5">
        <v>3003</v>
      </c>
      <c r="J1285" s="5" t="s">
        <v>22</v>
      </c>
      <c r="K1285" s="5" t="s">
        <v>23</v>
      </c>
      <c r="L1285" s="5" t="s">
        <v>31</v>
      </c>
      <c r="M1285" s="5" t="s">
        <v>284</v>
      </c>
      <c r="N1285" s="5" t="s">
        <v>53</v>
      </c>
      <c r="O1285" s="5">
        <v>147</v>
      </c>
      <c r="P1285" s="5"/>
      <c r="Q1285" s="5"/>
      <c r="R1285" s="8">
        <v>8.1018518518518516E-5</v>
      </c>
      <c r="S1285" s="5" t="s">
        <v>37</v>
      </c>
      <c r="T1285" t="str">
        <f>IF(Tabela1[[#This Row],[STATUS_NEGOCIO]]="Enviar E-mail",1,"")</f>
        <v/>
      </c>
      <c r="U1285" t="str">
        <f>TEXT(Tabela1[[#This Row],[DATA]],"dd/mm/aaaa")</f>
        <v>22/04/2026</v>
      </c>
    </row>
    <row r="1286" spans="1:21" x14ac:dyDescent="0.25">
      <c r="A1286" s="4">
        <v>46134.657361111109</v>
      </c>
      <c r="B1286" s="5" t="s">
        <v>19</v>
      </c>
      <c r="C1286" s="5" t="s">
        <v>37</v>
      </c>
      <c r="D1286" s="5">
        <v>153</v>
      </c>
      <c r="E1286" s="6">
        <v>10594727000106</v>
      </c>
      <c r="F1286" s="5">
        <v>153</v>
      </c>
      <c r="G1286" s="7">
        <v>177688359666641</v>
      </c>
      <c r="H1286" s="5" t="s">
        <v>373</v>
      </c>
      <c r="I1286" s="5">
        <v>3003</v>
      </c>
      <c r="J1286" s="5" t="s">
        <v>22</v>
      </c>
      <c r="K1286" s="5" t="s">
        <v>23</v>
      </c>
      <c r="L1286" s="5" t="s">
        <v>31</v>
      </c>
      <c r="M1286" s="5" t="s">
        <v>284</v>
      </c>
      <c r="N1286" s="5" t="s">
        <v>53</v>
      </c>
      <c r="O1286" s="5">
        <v>128</v>
      </c>
      <c r="P1286" s="5"/>
      <c r="Q1286" s="5"/>
      <c r="R1286" s="8">
        <v>8.1018518518518516E-5</v>
      </c>
      <c r="S1286" s="5" t="s">
        <v>37</v>
      </c>
      <c r="T1286" t="str">
        <f>IF(Tabela1[[#This Row],[STATUS_NEGOCIO]]="Enviar E-mail",1,"")</f>
        <v/>
      </c>
      <c r="U1286" t="str">
        <f>TEXT(Tabela1[[#This Row],[DATA]],"dd/mm/aaaa")</f>
        <v>22/04/2026</v>
      </c>
    </row>
    <row r="1287" spans="1:21" x14ac:dyDescent="0.25">
      <c r="A1287" s="4">
        <v>46134.657384259262</v>
      </c>
      <c r="B1287" s="5" t="s">
        <v>19</v>
      </c>
      <c r="C1287" s="5" t="s">
        <v>37</v>
      </c>
      <c r="D1287" s="5">
        <v>154</v>
      </c>
      <c r="E1287" s="6">
        <v>10737265000120</v>
      </c>
      <c r="F1287" s="5">
        <v>154</v>
      </c>
      <c r="G1287" s="7">
        <v>177688359866661</v>
      </c>
      <c r="H1287" s="5" t="s">
        <v>374</v>
      </c>
      <c r="I1287" s="5">
        <v>3003</v>
      </c>
      <c r="J1287" s="5" t="s">
        <v>22</v>
      </c>
      <c r="K1287" s="5" t="s">
        <v>23</v>
      </c>
      <c r="L1287" s="5" t="s">
        <v>31</v>
      </c>
      <c r="M1287" s="5" t="s">
        <v>284</v>
      </c>
      <c r="N1287" s="5" t="s">
        <v>53</v>
      </c>
      <c r="O1287" s="5">
        <v>128</v>
      </c>
      <c r="P1287" s="5"/>
      <c r="Q1287" s="5"/>
      <c r="R1287" s="8">
        <v>8.1018518518518516E-5</v>
      </c>
      <c r="S1287" s="5" t="s">
        <v>37</v>
      </c>
      <c r="T1287" t="str">
        <f>IF(Tabela1[[#This Row],[STATUS_NEGOCIO]]="Enviar E-mail",1,"")</f>
        <v/>
      </c>
      <c r="U1287" t="str">
        <f>TEXT(Tabela1[[#This Row],[DATA]],"dd/mm/aaaa")</f>
        <v>22/04/2026</v>
      </c>
    </row>
    <row r="1288" spans="1:21" x14ac:dyDescent="0.25">
      <c r="A1288" s="4">
        <v>46134.657488425924</v>
      </c>
      <c r="B1288" s="5" t="s">
        <v>19</v>
      </c>
      <c r="C1288" s="5" t="s">
        <v>37</v>
      </c>
      <c r="D1288" s="5">
        <v>155</v>
      </c>
      <c r="E1288" s="6">
        <v>10745721000184</v>
      </c>
      <c r="F1288" s="5">
        <v>155</v>
      </c>
      <c r="G1288" s="7">
        <v>177688360766691</v>
      </c>
      <c r="H1288" s="5" t="s">
        <v>375</v>
      </c>
      <c r="I1288" s="5">
        <v>3003</v>
      </c>
      <c r="J1288" s="5" t="s">
        <v>22</v>
      </c>
      <c r="K1288" s="5" t="s">
        <v>23</v>
      </c>
      <c r="L1288" s="5" t="s">
        <v>31</v>
      </c>
      <c r="M1288" s="5" t="s">
        <v>284</v>
      </c>
      <c r="N1288" s="5" t="s">
        <v>53</v>
      </c>
      <c r="O1288" s="5">
        <v>128</v>
      </c>
      <c r="P1288" s="5"/>
      <c r="Q1288" s="5"/>
      <c r="R1288" s="8">
        <v>8.1018518518518516E-5</v>
      </c>
      <c r="S1288" s="5" t="s">
        <v>37</v>
      </c>
      <c r="T1288" t="str">
        <f>IF(Tabela1[[#This Row],[STATUS_NEGOCIO]]="Enviar E-mail",1,"")</f>
        <v/>
      </c>
      <c r="U1288" t="str">
        <f>TEXT(Tabela1[[#This Row],[DATA]],"dd/mm/aaaa")</f>
        <v>22/04/2026</v>
      </c>
    </row>
    <row r="1289" spans="1:21" x14ac:dyDescent="0.25">
      <c r="A1289" s="4">
        <v>46134.657546296294</v>
      </c>
      <c r="B1289" s="5" t="s">
        <v>19</v>
      </c>
      <c r="C1289" s="5" t="s">
        <v>37</v>
      </c>
      <c r="D1289" s="5">
        <v>156</v>
      </c>
      <c r="E1289" s="6">
        <v>10746169000149</v>
      </c>
      <c r="F1289" s="5">
        <v>156</v>
      </c>
      <c r="G1289" s="7">
        <v>177688361266711</v>
      </c>
      <c r="H1289" s="5" t="s">
        <v>376</v>
      </c>
      <c r="I1289" s="5">
        <v>3003</v>
      </c>
      <c r="J1289" s="5" t="s">
        <v>22</v>
      </c>
      <c r="K1289" s="5" t="s">
        <v>23</v>
      </c>
      <c r="L1289" s="5" t="s">
        <v>31</v>
      </c>
      <c r="M1289" s="5" t="s">
        <v>284</v>
      </c>
      <c r="N1289" s="5" t="s">
        <v>53</v>
      </c>
      <c r="O1289" s="5">
        <v>128</v>
      </c>
      <c r="P1289" s="5"/>
      <c r="Q1289" s="5"/>
      <c r="R1289" s="8">
        <v>8.1018518518518516E-5</v>
      </c>
      <c r="S1289" s="5" t="s">
        <v>37</v>
      </c>
      <c r="T1289" t="str">
        <f>IF(Tabela1[[#This Row],[STATUS_NEGOCIO]]="Enviar E-mail",1,"")</f>
        <v/>
      </c>
      <c r="U1289" t="str">
        <f>TEXT(Tabela1[[#This Row],[DATA]],"dd/mm/aaaa")</f>
        <v>22/04/2026</v>
      </c>
    </row>
    <row r="1290" spans="1:21" x14ac:dyDescent="0.25">
      <c r="A1290" s="4">
        <v>46134.657546296294</v>
      </c>
      <c r="B1290" s="5" t="s">
        <v>19</v>
      </c>
      <c r="C1290" s="5" t="s">
        <v>37</v>
      </c>
      <c r="D1290" s="5">
        <v>157</v>
      </c>
      <c r="E1290" s="6">
        <v>10790942000174</v>
      </c>
      <c r="F1290" s="5">
        <v>157</v>
      </c>
      <c r="G1290" s="7">
        <v>177688361266741</v>
      </c>
      <c r="H1290" s="5" t="s">
        <v>377</v>
      </c>
      <c r="I1290" s="5">
        <v>3003</v>
      </c>
      <c r="J1290" s="5" t="s">
        <v>22</v>
      </c>
      <c r="K1290" s="5" t="s">
        <v>23</v>
      </c>
      <c r="L1290" s="5" t="s">
        <v>31</v>
      </c>
      <c r="M1290" s="5" t="s">
        <v>284</v>
      </c>
      <c r="N1290" s="5" t="s">
        <v>53</v>
      </c>
      <c r="O1290" s="5">
        <v>128</v>
      </c>
      <c r="P1290" s="5"/>
      <c r="Q1290" s="5"/>
      <c r="R1290" s="8">
        <v>8.1018518518518516E-5</v>
      </c>
      <c r="S1290" s="5" t="s">
        <v>37</v>
      </c>
      <c r="T1290" t="str">
        <f>IF(Tabela1[[#This Row],[STATUS_NEGOCIO]]="Enviar E-mail",1,"")</f>
        <v/>
      </c>
      <c r="U1290" t="str">
        <f>TEXT(Tabela1[[#This Row],[DATA]],"dd/mm/aaaa")</f>
        <v>22/04/2026</v>
      </c>
    </row>
    <row r="1291" spans="1:21" x14ac:dyDescent="0.25">
      <c r="A1291" s="4">
        <v>46134.657581018517</v>
      </c>
      <c r="B1291" s="5" t="s">
        <v>19</v>
      </c>
      <c r="C1291" s="5" t="s">
        <v>37</v>
      </c>
      <c r="D1291" s="5">
        <v>158</v>
      </c>
      <c r="E1291" s="6">
        <v>10888515000123</v>
      </c>
      <c r="F1291" s="5">
        <v>158</v>
      </c>
      <c r="G1291" s="7">
        <v>177688361566811</v>
      </c>
      <c r="H1291" s="5" t="s">
        <v>378</v>
      </c>
      <c r="I1291" s="5">
        <v>3003</v>
      </c>
      <c r="J1291" s="5" t="s">
        <v>22</v>
      </c>
      <c r="K1291" s="5" t="s">
        <v>23</v>
      </c>
      <c r="L1291" s="5" t="s">
        <v>31</v>
      </c>
      <c r="M1291" s="5" t="s">
        <v>284</v>
      </c>
      <c r="N1291" s="5" t="s">
        <v>53</v>
      </c>
      <c r="O1291" s="5">
        <v>128</v>
      </c>
      <c r="P1291" s="5"/>
      <c r="Q1291" s="5"/>
      <c r="R1291" s="8">
        <v>8.1018518518518516E-5</v>
      </c>
      <c r="S1291" s="5" t="s">
        <v>37</v>
      </c>
      <c r="T1291" t="str">
        <f>IF(Tabela1[[#This Row],[STATUS_NEGOCIO]]="Enviar E-mail",1,"")</f>
        <v/>
      </c>
      <c r="U1291" t="str">
        <f>TEXT(Tabela1[[#This Row],[DATA]],"dd/mm/aaaa")</f>
        <v>22/04/2026</v>
      </c>
    </row>
    <row r="1292" spans="1:21" x14ac:dyDescent="0.25">
      <c r="A1292" s="4">
        <v>46134.657604166663</v>
      </c>
      <c r="B1292" s="5" t="s">
        <v>19</v>
      </c>
      <c r="C1292" s="5" t="s">
        <v>37</v>
      </c>
      <c r="D1292" s="5">
        <v>159</v>
      </c>
      <c r="E1292" s="6">
        <v>10984785000138</v>
      </c>
      <c r="F1292" s="5">
        <v>159</v>
      </c>
      <c r="G1292" s="7">
        <v>177688361766831</v>
      </c>
      <c r="H1292" s="5" t="s">
        <v>29</v>
      </c>
      <c r="I1292" s="5">
        <v>3003</v>
      </c>
      <c r="J1292" s="5" t="s">
        <v>22</v>
      </c>
      <c r="K1292" s="5" t="s">
        <v>23</v>
      </c>
      <c r="L1292" s="5" t="s">
        <v>31</v>
      </c>
      <c r="M1292" s="5" t="s">
        <v>284</v>
      </c>
      <c r="N1292" s="5" t="s">
        <v>53</v>
      </c>
      <c r="O1292" s="5">
        <v>128</v>
      </c>
      <c r="P1292" s="5"/>
      <c r="Q1292" s="5"/>
      <c r="R1292" s="8">
        <v>5.7870370370370373E-5</v>
      </c>
      <c r="S1292" s="5" t="s">
        <v>37</v>
      </c>
      <c r="T1292" t="str">
        <f>IF(Tabela1[[#This Row],[STATUS_NEGOCIO]]="Enviar E-mail",1,"")</f>
        <v/>
      </c>
      <c r="U1292" t="str">
        <f>TEXT(Tabela1[[#This Row],[DATA]],"dd/mm/aaaa")</f>
        <v>22/04/2026</v>
      </c>
    </row>
    <row r="1293" spans="1:21" x14ac:dyDescent="0.25">
      <c r="A1293" s="4">
        <v>46134.657696759263</v>
      </c>
      <c r="B1293" s="5" t="s">
        <v>19</v>
      </c>
      <c r="C1293" s="5" t="s">
        <v>37</v>
      </c>
      <c r="D1293" s="5">
        <v>160</v>
      </c>
      <c r="E1293" s="6">
        <v>11013156000123</v>
      </c>
      <c r="F1293" s="5">
        <v>160</v>
      </c>
      <c r="G1293" s="7">
        <v>177688362566921</v>
      </c>
      <c r="H1293" s="5" t="s">
        <v>379</v>
      </c>
      <c r="I1293" s="5">
        <v>3003</v>
      </c>
      <c r="J1293" s="5" t="s">
        <v>22</v>
      </c>
      <c r="K1293" s="5" t="s">
        <v>23</v>
      </c>
      <c r="L1293" s="5" t="s">
        <v>31</v>
      </c>
      <c r="M1293" s="5" t="s">
        <v>284</v>
      </c>
      <c r="N1293" s="5" t="s">
        <v>53</v>
      </c>
      <c r="O1293" s="5">
        <v>131</v>
      </c>
      <c r="P1293" s="5"/>
      <c r="Q1293" s="5"/>
      <c r="R1293" s="8">
        <v>3.4722222222222222E-5</v>
      </c>
      <c r="S1293" s="5" t="s">
        <v>37</v>
      </c>
      <c r="T1293" t="str">
        <f>IF(Tabela1[[#This Row],[STATUS_NEGOCIO]]="Enviar E-mail",1,"")</f>
        <v/>
      </c>
      <c r="U1293" t="str">
        <f>TEXT(Tabela1[[#This Row],[DATA]],"dd/mm/aaaa")</f>
        <v>22/04/2026</v>
      </c>
    </row>
    <row r="1294" spans="1:21" x14ac:dyDescent="0.25">
      <c r="A1294" s="4">
        <v>46134.657708333332</v>
      </c>
      <c r="B1294" s="5" t="s">
        <v>19</v>
      </c>
      <c r="C1294" s="5" t="s">
        <v>37</v>
      </c>
      <c r="D1294" s="5">
        <v>161</v>
      </c>
      <c r="E1294" s="6">
        <v>11117005000115</v>
      </c>
      <c r="F1294" s="5">
        <v>161</v>
      </c>
      <c r="G1294" s="7">
        <v>177688362666941</v>
      </c>
      <c r="H1294" s="5" t="s">
        <v>380</v>
      </c>
      <c r="I1294" s="5">
        <v>3003</v>
      </c>
      <c r="J1294" s="5" t="s">
        <v>22</v>
      </c>
      <c r="K1294" s="5" t="s">
        <v>23</v>
      </c>
      <c r="L1294" s="5" t="s">
        <v>31</v>
      </c>
      <c r="M1294" s="5" t="s">
        <v>284</v>
      </c>
      <c r="N1294" s="5" t="s">
        <v>53</v>
      </c>
      <c r="O1294" s="5">
        <v>128</v>
      </c>
      <c r="P1294" s="5"/>
      <c r="Q1294" s="5"/>
      <c r="R1294" s="8">
        <v>8.1018518518518516E-5</v>
      </c>
      <c r="S1294" s="5" t="s">
        <v>37</v>
      </c>
      <c r="T1294" t="str">
        <f>IF(Tabela1[[#This Row],[STATUS_NEGOCIO]]="Enviar E-mail",1,"")</f>
        <v/>
      </c>
      <c r="U1294" t="str">
        <f>TEXT(Tabela1[[#This Row],[DATA]],"dd/mm/aaaa")</f>
        <v>22/04/2026</v>
      </c>
    </row>
    <row r="1295" spans="1:21" x14ac:dyDescent="0.25">
      <c r="A1295" s="4">
        <v>46134.657743055555</v>
      </c>
      <c r="B1295" s="5" t="s">
        <v>19</v>
      </c>
      <c r="C1295" s="5" t="s">
        <v>37</v>
      </c>
      <c r="D1295" s="5">
        <v>163</v>
      </c>
      <c r="E1295" s="6">
        <v>11360283000107</v>
      </c>
      <c r="F1295" s="5">
        <v>163</v>
      </c>
      <c r="G1295" s="7">
        <v>177688362966961</v>
      </c>
      <c r="H1295" s="5" t="s">
        <v>382</v>
      </c>
      <c r="I1295" s="5">
        <v>3003</v>
      </c>
      <c r="J1295" s="5" t="s">
        <v>22</v>
      </c>
      <c r="K1295" s="5" t="s">
        <v>23</v>
      </c>
      <c r="L1295" s="5" t="s">
        <v>31</v>
      </c>
      <c r="M1295" s="5" t="s">
        <v>284</v>
      </c>
      <c r="N1295" s="5" t="s">
        <v>53</v>
      </c>
      <c r="O1295" s="5">
        <v>128</v>
      </c>
      <c r="P1295" s="5"/>
      <c r="Q1295" s="5"/>
      <c r="R1295" s="8">
        <v>8.1018518518518516E-5</v>
      </c>
      <c r="S1295" s="5" t="s">
        <v>37</v>
      </c>
      <c r="T1295" t="str">
        <f>IF(Tabela1[[#This Row],[STATUS_NEGOCIO]]="Enviar E-mail",1,"")</f>
        <v/>
      </c>
      <c r="U1295" t="str">
        <f>TEXT(Tabela1[[#This Row],[DATA]],"dd/mm/aaaa")</f>
        <v>22/04/2026</v>
      </c>
    </row>
    <row r="1296" spans="1:21" x14ac:dyDescent="0.25">
      <c r="A1296" s="4">
        <v>46134.657800925925</v>
      </c>
      <c r="B1296" s="5" t="s">
        <v>19</v>
      </c>
      <c r="C1296" s="5" t="s">
        <v>37</v>
      </c>
      <c r="D1296" s="5">
        <v>164</v>
      </c>
      <c r="E1296" s="6">
        <v>11642542000184</v>
      </c>
      <c r="F1296" s="5">
        <v>164</v>
      </c>
      <c r="G1296" s="7">
        <v>177688363466981</v>
      </c>
      <c r="H1296" s="5" t="s">
        <v>383</v>
      </c>
      <c r="I1296" s="5">
        <v>3003</v>
      </c>
      <c r="J1296" s="5" t="s">
        <v>22</v>
      </c>
      <c r="K1296" s="5" t="s">
        <v>23</v>
      </c>
      <c r="L1296" s="5" t="s">
        <v>31</v>
      </c>
      <c r="M1296" s="5" t="s">
        <v>284</v>
      </c>
      <c r="N1296" s="5" t="s">
        <v>53</v>
      </c>
      <c r="O1296" s="5">
        <v>131</v>
      </c>
      <c r="P1296" s="5"/>
      <c r="Q1296" s="5"/>
      <c r="R1296" s="8">
        <v>4.6296296296296294E-5</v>
      </c>
      <c r="S1296" s="5" t="s">
        <v>37</v>
      </c>
      <c r="T1296" t="str">
        <f>IF(Tabela1[[#This Row],[STATUS_NEGOCIO]]="Enviar E-mail",1,"")</f>
        <v/>
      </c>
      <c r="U1296" t="str">
        <f>TEXT(Tabela1[[#This Row],[DATA]],"dd/mm/aaaa")</f>
        <v>22/04/2026</v>
      </c>
    </row>
    <row r="1297" spans="1:21" x14ac:dyDescent="0.25">
      <c r="A1297" s="4">
        <v>46134.657847222225</v>
      </c>
      <c r="B1297" s="5" t="s">
        <v>19</v>
      </c>
      <c r="C1297" s="5" t="s">
        <v>37</v>
      </c>
      <c r="D1297" s="5">
        <v>165</v>
      </c>
      <c r="E1297" s="6">
        <v>11649203000120</v>
      </c>
      <c r="F1297" s="5">
        <v>165</v>
      </c>
      <c r="G1297" s="7">
        <v>177688363867001</v>
      </c>
      <c r="H1297" s="5" t="s">
        <v>384</v>
      </c>
      <c r="I1297" s="5">
        <v>3003</v>
      </c>
      <c r="J1297" s="5" t="s">
        <v>22</v>
      </c>
      <c r="K1297" s="5" t="s">
        <v>23</v>
      </c>
      <c r="L1297" s="5" t="s">
        <v>31</v>
      </c>
      <c r="M1297" s="5" t="s">
        <v>284</v>
      </c>
      <c r="N1297" s="5" t="s">
        <v>53</v>
      </c>
      <c r="O1297" s="5">
        <v>128</v>
      </c>
      <c r="P1297" s="5"/>
      <c r="Q1297" s="5"/>
      <c r="R1297" s="8">
        <v>8.1018518518518516E-5</v>
      </c>
      <c r="S1297" s="5" t="s">
        <v>37</v>
      </c>
      <c r="T1297" t="str">
        <f>IF(Tabela1[[#This Row],[STATUS_NEGOCIO]]="Enviar E-mail",1,"")</f>
        <v/>
      </c>
      <c r="U1297" t="str">
        <f>TEXT(Tabela1[[#This Row],[DATA]],"dd/mm/aaaa")</f>
        <v>22/04/2026</v>
      </c>
    </row>
    <row r="1298" spans="1:21" x14ac:dyDescent="0.25">
      <c r="A1298" s="4">
        <v>46134.657870370371</v>
      </c>
      <c r="B1298" s="5" t="s">
        <v>19</v>
      </c>
      <c r="C1298" s="5" t="s">
        <v>37</v>
      </c>
      <c r="D1298" s="5">
        <v>166</v>
      </c>
      <c r="E1298" s="6">
        <v>11661920000177</v>
      </c>
      <c r="F1298" s="5">
        <v>166</v>
      </c>
      <c r="G1298" s="7">
        <v>177688364067021</v>
      </c>
      <c r="H1298" s="5" t="s">
        <v>385</v>
      </c>
      <c r="I1298" s="5">
        <v>3003</v>
      </c>
      <c r="J1298" s="5" t="s">
        <v>22</v>
      </c>
      <c r="K1298" s="5" t="s">
        <v>23</v>
      </c>
      <c r="L1298" s="5" t="s">
        <v>31</v>
      </c>
      <c r="M1298" s="5" t="s">
        <v>284</v>
      </c>
      <c r="N1298" s="5" t="s">
        <v>53</v>
      </c>
      <c r="O1298" s="5">
        <v>128</v>
      </c>
      <c r="P1298" s="5"/>
      <c r="Q1298" s="5"/>
      <c r="R1298" s="8">
        <v>8.1018518518518516E-5</v>
      </c>
      <c r="S1298" s="5" t="s">
        <v>37</v>
      </c>
      <c r="T1298" t="str">
        <f>IF(Tabela1[[#This Row],[STATUS_NEGOCIO]]="Enviar E-mail",1,"")</f>
        <v/>
      </c>
      <c r="U1298" t="str">
        <f>TEXT(Tabela1[[#This Row],[DATA]],"dd/mm/aaaa")</f>
        <v>22/04/2026</v>
      </c>
    </row>
    <row r="1299" spans="1:21" x14ac:dyDescent="0.25">
      <c r="A1299" s="4">
        <v>46134.657905092594</v>
      </c>
      <c r="B1299" s="5" t="s">
        <v>19</v>
      </c>
      <c r="C1299" s="5" t="s">
        <v>37</v>
      </c>
      <c r="D1299" s="5">
        <v>167</v>
      </c>
      <c r="E1299" s="6">
        <v>11701732000125</v>
      </c>
      <c r="F1299" s="5">
        <v>167</v>
      </c>
      <c r="G1299" s="7">
        <v>177688364367051</v>
      </c>
      <c r="H1299" s="5" t="s">
        <v>98</v>
      </c>
      <c r="I1299" s="5">
        <v>3003</v>
      </c>
      <c r="J1299" s="5" t="s">
        <v>22</v>
      </c>
      <c r="K1299" s="5" t="s">
        <v>23</v>
      </c>
      <c r="L1299" s="5" t="s">
        <v>31</v>
      </c>
      <c r="M1299" s="5" t="s">
        <v>284</v>
      </c>
      <c r="N1299" s="5" t="s">
        <v>53</v>
      </c>
      <c r="O1299" s="5">
        <v>128</v>
      </c>
      <c r="P1299" s="5"/>
      <c r="Q1299" s="5"/>
      <c r="R1299" s="8">
        <v>8.1018518518518516E-5</v>
      </c>
      <c r="S1299" s="5" t="s">
        <v>37</v>
      </c>
      <c r="T1299" t="str">
        <f>IF(Tabela1[[#This Row],[STATUS_NEGOCIO]]="Enviar E-mail",1,"")</f>
        <v/>
      </c>
      <c r="U1299" t="str">
        <f>TEXT(Tabela1[[#This Row],[DATA]],"dd/mm/aaaa")</f>
        <v>22/04/2026</v>
      </c>
    </row>
    <row r="1300" spans="1:21" x14ac:dyDescent="0.25">
      <c r="A1300" s="4">
        <v>46134.657905092594</v>
      </c>
      <c r="B1300" s="5" t="s">
        <v>19</v>
      </c>
      <c r="C1300" s="5" t="s">
        <v>37</v>
      </c>
      <c r="D1300" s="5">
        <v>169</v>
      </c>
      <c r="E1300" s="6">
        <v>11750615000151</v>
      </c>
      <c r="F1300" s="5">
        <v>169</v>
      </c>
      <c r="G1300" s="7">
        <v>177688364367061</v>
      </c>
      <c r="H1300" s="5" t="s">
        <v>176</v>
      </c>
      <c r="I1300" s="5">
        <v>3003</v>
      </c>
      <c r="J1300" s="5" t="s">
        <v>22</v>
      </c>
      <c r="K1300" s="5" t="s">
        <v>23</v>
      </c>
      <c r="L1300" s="5" t="s">
        <v>31</v>
      </c>
      <c r="M1300" s="5" t="s">
        <v>284</v>
      </c>
      <c r="N1300" s="5" t="s">
        <v>26</v>
      </c>
      <c r="O1300" s="5">
        <v>131</v>
      </c>
      <c r="P1300" s="5"/>
      <c r="Q1300" s="5"/>
      <c r="R1300" s="8">
        <v>6.9444444444444444E-5</v>
      </c>
      <c r="S1300" s="5" t="s">
        <v>37</v>
      </c>
      <c r="T1300" t="str">
        <f>IF(Tabela1[[#This Row],[STATUS_NEGOCIO]]="Enviar E-mail",1,"")</f>
        <v/>
      </c>
      <c r="U1300" t="str">
        <f>TEXT(Tabela1[[#This Row],[DATA]],"dd/mm/aaaa")</f>
        <v>22/04/2026</v>
      </c>
    </row>
    <row r="1301" spans="1:21" x14ac:dyDescent="0.25">
      <c r="A1301" s="4">
        <v>46134.657951388886</v>
      </c>
      <c r="B1301" s="5" t="s">
        <v>19</v>
      </c>
      <c r="C1301" s="5" t="s">
        <v>37</v>
      </c>
      <c r="D1301" s="5">
        <v>170</v>
      </c>
      <c r="E1301" s="6">
        <v>12022419000123</v>
      </c>
      <c r="F1301" s="5">
        <v>170</v>
      </c>
      <c r="G1301" s="7">
        <v>177688364767081</v>
      </c>
      <c r="H1301" s="5" t="s">
        <v>386</v>
      </c>
      <c r="I1301" s="5">
        <v>3003</v>
      </c>
      <c r="J1301" s="5" t="s">
        <v>22</v>
      </c>
      <c r="K1301" s="5" t="s">
        <v>23</v>
      </c>
      <c r="L1301" s="5" t="s">
        <v>31</v>
      </c>
      <c r="M1301" s="5" t="s">
        <v>284</v>
      </c>
      <c r="N1301" s="5" t="s">
        <v>53</v>
      </c>
      <c r="O1301" s="5">
        <v>128</v>
      </c>
      <c r="P1301" s="5"/>
      <c r="Q1301" s="5"/>
      <c r="R1301" s="8">
        <v>6.9444444444444444E-5</v>
      </c>
      <c r="S1301" s="5" t="s">
        <v>37</v>
      </c>
      <c r="T1301" t="str">
        <f>IF(Tabela1[[#This Row],[STATUS_NEGOCIO]]="Enviar E-mail",1,"")</f>
        <v/>
      </c>
      <c r="U1301" t="str">
        <f>TEXT(Tabela1[[#This Row],[DATA]],"dd/mm/aaaa")</f>
        <v>22/04/2026</v>
      </c>
    </row>
    <row r="1302" spans="1:21" x14ac:dyDescent="0.25">
      <c r="A1302" s="4">
        <v>46134.65797453704</v>
      </c>
      <c r="B1302" s="5" t="s">
        <v>19</v>
      </c>
      <c r="C1302" s="5" t="s">
        <v>37</v>
      </c>
      <c r="D1302" s="5">
        <v>171</v>
      </c>
      <c r="E1302" s="6">
        <v>12072761000138</v>
      </c>
      <c r="F1302" s="5">
        <v>171</v>
      </c>
      <c r="G1302" s="7">
        <v>177688364967101</v>
      </c>
      <c r="H1302" s="5" t="s">
        <v>131</v>
      </c>
      <c r="I1302" s="5" t="s">
        <v>52</v>
      </c>
      <c r="J1302" s="5" t="s">
        <v>22</v>
      </c>
      <c r="K1302" s="5" t="s">
        <v>36</v>
      </c>
      <c r="L1302" s="5" t="s">
        <v>36</v>
      </c>
      <c r="M1302" s="5" t="s">
        <v>284</v>
      </c>
      <c r="N1302" s="5" t="s">
        <v>53</v>
      </c>
      <c r="O1302" s="5">
        <v>1</v>
      </c>
      <c r="P1302" s="5"/>
      <c r="Q1302" s="5"/>
      <c r="R1302" s="8">
        <v>0</v>
      </c>
      <c r="S1302" s="5" t="s">
        <v>37</v>
      </c>
      <c r="T1302" t="str">
        <f>IF(Tabela1[[#This Row],[STATUS_NEGOCIO]]="Enviar E-mail",1,"")</f>
        <v/>
      </c>
      <c r="U1302" t="str">
        <f>TEXT(Tabela1[[#This Row],[DATA]],"dd/mm/aaaa")</f>
        <v>22/04/2026</v>
      </c>
    </row>
    <row r="1303" spans="1:21" x14ac:dyDescent="0.25">
      <c r="A1303" s="4">
        <v>46134.657986111109</v>
      </c>
      <c r="B1303" s="5" t="s">
        <v>19</v>
      </c>
      <c r="C1303" s="5" t="s">
        <v>20</v>
      </c>
      <c r="D1303" s="5">
        <v>172</v>
      </c>
      <c r="E1303" s="6">
        <v>12098243000193</v>
      </c>
      <c r="F1303" s="5">
        <v>172</v>
      </c>
      <c r="G1303" s="7">
        <v>177688365067111</v>
      </c>
      <c r="H1303" s="5" t="s">
        <v>387</v>
      </c>
      <c r="I1303" s="5">
        <v>3003</v>
      </c>
      <c r="J1303" s="5" t="s">
        <v>22</v>
      </c>
      <c r="K1303" s="5" t="s">
        <v>23</v>
      </c>
      <c r="L1303" s="5" t="s">
        <v>40</v>
      </c>
      <c r="M1303" s="5" t="s">
        <v>284</v>
      </c>
      <c r="N1303" s="5" t="s">
        <v>32</v>
      </c>
      <c r="O1303" s="5">
        <v>16</v>
      </c>
      <c r="P1303" s="5"/>
      <c r="Q1303" s="5"/>
      <c r="R1303" s="8">
        <v>1.8055555555555555E-3</v>
      </c>
      <c r="S1303" s="8">
        <v>1.7476851851851852E-3</v>
      </c>
      <c r="T1303">
        <f>IF(Tabela1[[#This Row],[STATUS_NEGOCIO]]="Enviar E-mail",1,"")</f>
        <v>1</v>
      </c>
      <c r="U1303" t="str">
        <f>TEXT(Tabela1[[#This Row],[DATA]],"dd/mm/aaaa")</f>
        <v>22/04/2026</v>
      </c>
    </row>
    <row r="1304" spans="1:21" x14ac:dyDescent="0.25">
      <c r="A1304" s="4">
        <v>46134.658009259256</v>
      </c>
      <c r="B1304" s="5" t="s">
        <v>19</v>
      </c>
      <c r="C1304" s="5" t="s">
        <v>37</v>
      </c>
      <c r="D1304" s="5">
        <v>173</v>
      </c>
      <c r="E1304" s="6">
        <v>12266091000190</v>
      </c>
      <c r="F1304" s="5">
        <v>173</v>
      </c>
      <c r="G1304" s="7">
        <v>177688365267131</v>
      </c>
      <c r="H1304" s="5" t="s">
        <v>144</v>
      </c>
      <c r="I1304" s="5">
        <v>3003</v>
      </c>
      <c r="J1304" s="5" t="s">
        <v>22</v>
      </c>
      <c r="K1304" s="5" t="s">
        <v>23</v>
      </c>
      <c r="L1304" s="5" t="s">
        <v>31</v>
      </c>
      <c r="M1304" s="5" t="s">
        <v>284</v>
      </c>
      <c r="N1304" s="5" t="s">
        <v>53</v>
      </c>
      <c r="O1304" s="5">
        <v>128</v>
      </c>
      <c r="P1304" s="5"/>
      <c r="Q1304" s="5"/>
      <c r="R1304" s="8">
        <v>8.1018518518518516E-5</v>
      </c>
      <c r="S1304" s="5" t="s">
        <v>37</v>
      </c>
      <c r="T1304" t="str">
        <f>IF(Tabela1[[#This Row],[STATUS_NEGOCIO]]="Enviar E-mail",1,"")</f>
        <v/>
      </c>
      <c r="U1304" t="str">
        <f>TEXT(Tabela1[[#This Row],[DATA]],"dd/mm/aaaa")</f>
        <v>22/04/2026</v>
      </c>
    </row>
    <row r="1305" spans="1:21" x14ac:dyDescent="0.25">
      <c r="A1305" s="4">
        <v>46134.658009259256</v>
      </c>
      <c r="B1305" s="5" t="s">
        <v>19</v>
      </c>
      <c r="C1305" s="5" t="s">
        <v>37</v>
      </c>
      <c r="D1305" s="5">
        <v>174</v>
      </c>
      <c r="E1305" s="6">
        <v>12284895000112</v>
      </c>
      <c r="F1305" s="5">
        <v>174</v>
      </c>
      <c r="G1305" s="7">
        <v>177688365267151</v>
      </c>
      <c r="H1305" s="5" t="s">
        <v>388</v>
      </c>
      <c r="I1305" s="5">
        <v>3003</v>
      </c>
      <c r="J1305" s="5" t="s">
        <v>22</v>
      </c>
      <c r="K1305" s="5" t="s">
        <v>23</v>
      </c>
      <c r="L1305" s="5" t="s">
        <v>31</v>
      </c>
      <c r="M1305" s="5" t="s">
        <v>284</v>
      </c>
      <c r="N1305" s="5" t="s">
        <v>53</v>
      </c>
      <c r="O1305" s="5">
        <v>128</v>
      </c>
      <c r="P1305" s="5"/>
      <c r="Q1305" s="5"/>
      <c r="R1305" s="8">
        <v>8.1018518518518516E-5</v>
      </c>
      <c r="S1305" s="5" t="s">
        <v>37</v>
      </c>
      <c r="T1305" t="str">
        <f>IF(Tabela1[[#This Row],[STATUS_NEGOCIO]]="Enviar E-mail",1,"")</f>
        <v/>
      </c>
      <c r="U1305" t="str">
        <f>TEXT(Tabela1[[#This Row],[DATA]],"dd/mm/aaaa")</f>
        <v>22/04/2026</v>
      </c>
    </row>
    <row r="1306" spans="1:21" x14ac:dyDescent="0.25">
      <c r="A1306" s="4">
        <v>46134.658171296294</v>
      </c>
      <c r="B1306" s="5" t="s">
        <v>19</v>
      </c>
      <c r="C1306" s="5" t="s">
        <v>37</v>
      </c>
      <c r="D1306" s="5">
        <v>176</v>
      </c>
      <c r="E1306" s="6">
        <v>12584713000129</v>
      </c>
      <c r="F1306" s="5">
        <v>176</v>
      </c>
      <c r="G1306" s="7">
        <v>177688366667181</v>
      </c>
      <c r="H1306" s="5" t="s">
        <v>390</v>
      </c>
      <c r="I1306" s="5">
        <v>3003</v>
      </c>
      <c r="J1306" s="5" t="s">
        <v>22</v>
      </c>
      <c r="K1306" s="5" t="s">
        <v>23</v>
      </c>
      <c r="L1306" s="5" t="s">
        <v>31</v>
      </c>
      <c r="M1306" s="5" t="s">
        <v>284</v>
      </c>
      <c r="N1306" s="5" t="s">
        <v>53</v>
      </c>
      <c r="O1306" s="5">
        <v>128</v>
      </c>
      <c r="P1306" s="5"/>
      <c r="Q1306" s="5"/>
      <c r="R1306" s="8">
        <v>8.1018518518518516E-5</v>
      </c>
      <c r="S1306" s="5" t="s">
        <v>37</v>
      </c>
      <c r="T1306" t="str">
        <f>IF(Tabela1[[#This Row],[STATUS_NEGOCIO]]="Enviar E-mail",1,"")</f>
        <v/>
      </c>
      <c r="U1306" t="str">
        <f>TEXT(Tabela1[[#This Row],[DATA]],"dd/mm/aaaa")</f>
        <v>22/04/2026</v>
      </c>
    </row>
    <row r="1307" spans="1:21" x14ac:dyDescent="0.25">
      <c r="A1307" s="4">
        <v>46134.658194444448</v>
      </c>
      <c r="B1307" s="5" t="s">
        <v>19</v>
      </c>
      <c r="C1307" s="5" t="s">
        <v>37</v>
      </c>
      <c r="D1307" s="5">
        <v>177</v>
      </c>
      <c r="E1307" s="6">
        <v>12710766000149</v>
      </c>
      <c r="F1307" s="5">
        <v>177</v>
      </c>
      <c r="G1307" s="7">
        <v>177688366867251</v>
      </c>
      <c r="H1307" s="5" t="s">
        <v>181</v>
      </c>
      <c r="I1307" s="5">
        <v>3003</v>
      </c>
      <c r="J1307" s="5" t="s">
        <v>22</v>
      </c>
      <c r="K1307" s="5" t="s">
        <v>23</v>
      </c>
      <c r="L1307" s="5" t="s">
        <v>31</v>
      </c>
      <c r="M1307" s="5" t="s">
        <v>284</v>
      </c>
      <c r="N1307" s="5" t="s">
        <v>53</v>
      </c>
      <c r="O1307" s="5">
        <v>128</v>
      </c>
      <c r="P1307" s="5"/>
      <c r="Q1307" s="5"/>
      <c r="R1307" s="8">
        <v>8.1018518518518516E-5</v>
      </c>
      <c r="S1307" s="5" t="s">
        <v>37</v>
      </c>
      <c r="T1307" t="str">
        <f>IF(Tabela1[[#This Row],[STATUS_NEGOCIO]]="Enviar E-mail",1,"")</f>
        <v/>
      </c>
      <c r="U1307" t="str">
        <f>TEXT(Tabela1[[#This Row],[DATA]],"dd/mm/aaaa")</f>
        <v>22/04/2026</v>
      </c>
    </row>
    <row r="1308" spans="1:21" x14ac:dyDescent="0.25">
      <c r="A1308" s="4">
        <v>46134.658206018517</v>
      </c>
      <c r="B1308" s="5" t="s">
        <v>19</v>
      </c>
      <c r="C1308" s="5" t="s">
        <v>37</v>
      </c>
      <c r="D1308" s="5">
        <v>178</v>
      </c>
      <c r="E1308" s="6">
        <v>12959066000192</v>
      </c>
      <c r="F1308" s="5">
        <v>178</v>
      </c>
      <c r="G1308" s="7">
        <v>177688366967281</v>
      </c>
      <c r="H1308" s="5" t="s">
        <v>391</v>
      </c>
      <c r="I1308" s="5">
        <v>3003</v>
      </c>
      <c r="J1308" s="5" t="s">
        <v>22</v>
      </c>
      <c r="K1308" s="5" t="s">
        <v>23</v>
      </c>
      <c r="L1308" s="5" t="s">
        <v>31</v>
      </c>
      <c r="M1308" s="5" t="s">
        <v>284</v>
      </c>
      <c r="N1308" s="5" t="s">
        <v>53</v>
      </c>
      <c r="O1308" s="5">
        <v>128</v>
      </c>
      <c r="P1308" s="5"/>
      <c r="Q1308" s="5"/>
      <c r="R1308" s="8">
        <v>8.1018518518518516E-5</v>
      </c>
      <c r="S1308" s="5" t="s">
        <v>37</v>
      </c>
      <c r="T1308" t="str">
        <f>IF(Tabela1[[#This Row],[STATUS_NEGOCIO]]="Enviar E-mail",1,"")</f>
        <v/>
      </c>
      <c r="U1308" t="str">
        <f>TEXT(Tabela1[[#This Row],[DATA]],"dd/mm/aaaa")</f>
        <v>22/04/2026</v>
      </c>
    </row>
    <row r="1309" spans="1:21" x14ac:dyDescent="0.25">
      <c r="A1309" s="4">
        <v>46134.658229166664</v>
      </c>
      <c r="B1309" s="5" t="s">
        <v>19</v>
      </c>
      <c r="C1309" s="5" t="s">
        <v>37</v>
      </c>
      <c r="D1309" s="5">
        <v>179</v>
      </c>
      <c r="E1309" s="6">
        <v>12995318000139</v>
      </c>
      <c r="F1309" s="5">
        <v>179</v>
      </c>
      <c r="G1309" s="7">
        <v>177688367167301</v>
      </c>
      <c r="H1309" s="5" t="s">
        <v>392</v>
      </c>
      <c r="I1309" s="5">
        <v>3003</v>
      </c>
      <c r="J1309" s="5" t="s">
        <v>22</v>
      </c>
      <c r="K1309" s="5" t="s">
        <v>23</v>
      </c>
      <c r="L1309" s="5" t="s">
        <v>31</v>
      </c>
      <c r="M1309" s="5" t="s">
        <v>284</v>
      </c>
      <c r="N1309" s="5" t="s">
        <v>53</v>
      </c>
      <c r="O1309" s="5">
        <v>128</v>
      </c>
      <c r="P1309" s="5"/>
      <c r="Q1309" s="5"/>
      <c r="R1309" s="8">
        <v>8.1018518518518516E-5</v>
      </c>
      <c r="S1309" s="5" t="s">
        <v>37</v>
      </c>
      <c r="T1309" t="str">
        <f>IF(Tabela1[[#This Row],[STATUS_NEGOCIO]]="Enviar E-mail",1,"")</f>
        <v/>
      </c>
      <c r="U1309" t="str">
        <f>TEXT(Tabela1[[#This Row],[DATA]],"dd/mm/aaaa")</f>
        <v>22/04/2026</v>
      </c>
    </row>
    <row r="1310" spans="1:21" x14ac:dyDescent="0.25">
      <c r="A1310" s="4">
        <v>46134.65829861111</v>
      </c>
      <c r="B1310" s="5" t="s">
        <v>19</v>
      </c>
      <c r="C1310" s="5" t="s">
        <v>37</v>
      </c>
      <c r="D1310" s="5">
        <v>180</v>
      </c>
      <c r="E1310" s="6">
        <v>13065020000192</v>
      </c>
      <c r="F1310" s="5">
        <v>180</v>
      </c>
      <c r="G1310" s="7">
        <v>177688367767331</v>
      </c>
      <c r="H1310" s="5" t="s">
        <v>393</v>
      </c>
      <c r="I1310" s="5">
        <v>3003</v>
      </c>
      <c r="J1310" s="5" t="s">
        <v>22</v>
      </c>
      <c r="K1310" s="5" t="s">
        <v>23</v>
      </c>
      <c r="L1310" s="5" t="s">
        <v>31</v>
      </c>
      <c r="M1310" s="5" t="s">
        <v>284</v>
      </c>
      <c r="N1310" s="5" t="s">
        <v>53</v>
      </c>
      <c r="O1310" s="5">
        <v>128</v>
      </c>
      <c r="P1310" s="5"/>
      <c r="Q1310" s="5"/>
      <c r="R1310" s="8">
        <v>8.1018518518518516E-5</v>
      </c>
      <c r="S1310" s="5" t="s">
        <v>37</v>
      </c>
      <c r="T1310" t="str">
        <f>IF(Tabela1[[#This Row],[STATUS_NEGOCIO]]="Enviar E-mail",1,"")</f>
        <v/>
      </c>
      <c r="U1310" t="str">
        <f>TEXT(Tabela1[[#This Row],[DATA]],"dd/mm/aaaa")</f>
        <v>22/04/2026</v>
      </c>
    </row>
    <row r="1311" spans="1:21" x14ac:dyDescent="0.25">
      <c r="A1311" s="4">
        <v>46134.658310185187</v>
      </c>
      <c r="B1311" s="5" t="s">
        <v>19</v>
      </c>
      <c r="C1311" s="5" t="s">
        <v>37</v>
      </c>
      <c r="D1311" s="5">
        <v>181</v>
      </c>
      <c r="E1311" s="6">
        <v>13262186000107</v>
      </c>
      <c r="F1311" s="5">
        <v>181</v>
      </c>
      <c r="G1311" s="7">
        <v>177688367867351</v>
      </c>
      <c r="H1311" s="5" t="s">
        <v>394</v>
      </c>
      <c r="I1311" s="5">
        <v>3003</v>
      </c>
      <c r="J1311" s="5" t="s">
        <v>22</v>
      </c>
      <c r="K1311" s="5" t="s">
        <v>23</v>
      </c>
      <c r="L1311" s="5" t="s">
        <v>31</v>
      </c>
      <c r="M1311" s="5" t="s">
        <v>284</v>
      </c>
      <c r="N1311" s="5" t="s">
        <v>53</v>
      </c>
      <c r="O1311" s="5">
        <v>128</v>
      </c>
      <c r="P1311" s="5"/>
      <c r="Q1311" s="5"/>
      <c r="R1311" s="8">
        <v>6.9444444444444444E-5</v>
      </c>
      <c r="S1311" s="5" t="s">
        <v>37</v>
      </c>
      <c r="T1311" t="str">
        <f>IF(Tabela1[[#This Row],[STATUS_NEGOCIO]]="Enviar E-mail",1,"")</f>
        <v/>
      </c>
      <c r="U1311" t="str">
        <f>TEXT(Tabela1[[#This Row],[DATA]],"dd/mm/aaaa")</f>
        <v>22/04/2026</v>
      </c>
    </row>
    <row r="1312" spans="1:21" x14ac:dyDescent="0.25">
      <c r="A1312" s="4">
        <v>46134.658356481479</v>
      </c>
      <c r="B1312" s="5" t="s">
        <v>19</v>
      </c>
      <c r="C1312" s="5" t="s">
        <v>27</v>
      </c>
      <c r="D1312" s="5">
        <v>182</v>
      </c>
      <c r="E1312" s="6">
        <v>13265421000196</v>
      </c>
      <c r="F1312" s="5">
        <v>182</v>
      </c>
      <c r="G1312" s="7">
        <v>177688368267371</v>
      </c>
      <c r="H1312" s="5" t="s">
        <v>395</v>
      </c>
      <c r="I1312" s="5">
        <v>3003</v>
      </c>
      <c r="J1312" s="5" t="s">
        <v>22</v>
      </c>
      <c r="K1312" s="5" t="s">
        <v>23</v>
      </c>
      <c r="L1312" s="5" t="s">
        <v>40</v>
      </c>
      <c r="M1312" s="5" t="s">
        <v>284</v>
      </c>
      <c r="N1312" s="5" t="s">
        <v>26</v>
      </c>
      <c r="O1312" s="5">
        <v>16</v>
      </c>
      <c r="P1312" s="5"/>
      <c r="Q1312" s="5"/>
      <c r="R1312" s="8">
        <v>1.6550925925925926E-3</v>
      </c>
      <c r="S1312" s="8">
        <v>1.5856481481481481E-3</v>
      </c>
      <c r="T1312">
        <f>IF(Tabela1[[#This Row],[STATUS_NEGOCIO]]="Enviar E-mail",1,"")</f>
        <v>1</v>
      </c>
      <c r="U1312" t="str">
        <f>TEXT(Tabela1[[#This Row],[DATA]],"dd/mm/aaaa")</f>
        <v>22/04/2026</v>
      </c>
    </row>
    <row r="1313" spans="1:21" x14ac:dyDescent="0.25">
      <c r="A1313" s="4">
        <v>46134.658368055556</v>
      </c>
      <c r="B1313" s="5" t="s">
        <v>19</v>
      </c>
      <c r="C1313" s="5" t="s">
        <v>37</v>
      </c>
      <c r="D1313" s="5">
        <v>183</v>
      </c>
      <c r="E1313" s="6">
        <v>13385694000174</v>
      </c>
      <c r="F1313" s="5">
        <v>183</v>
      </c>
      <c r="G1313" s="7">
        <v>177688368367391</v>
      </c>
      <c r="H1313" s="5" t="s">
        <v>396</v>
      </c>
      <c r="I1313" s="5">
        <v>3003</v>
      </c>
      <c r="J1313" s="5" t="s">
        <v>22</v>
      </c>
      <c r="K1313" s="5" t="s">
        <v>23</v>
      </c>
      <c r="L1313" s="5" t="s">
        <v>31</v>
      </c>
      <c r="M1313" s="5" t="s">
        <v>284</v>
      </c>
      <c r="N1313" s="5" t="s">
        <v>53</v>
      </c>
      <c r="O1313" s="5">
        <v>128</v>
      </c>
      <c r="P1313" s="5"/>
      <c r="Q1313" s="5"/>
      <c r="R1313" s="8">
        <v>8.1018518518518516E-5</v>
      </c>
      <c r="S1313" s="5" t="s">
        <v>37</v>
      </c>
      <c r="T1313" t="str">
        <f>IF(Tabela1[[#This Row],[STATUS_NEGOCIO]]="Enviar E-mail",1,"")</f>
        <v/>
      </c>
      <c r="U1313" t="str">
        <f>TEXT(Tabela1[[#This Row],[DATA]],"dd/mm/aaaa")</f>
        <v>22/04/2026</v>
      </c>
    </row>
    <row r="1314" spans="1:21" x14ac:dyDescent="0.25">
      <c r="A1314" s="4">
        <v>46134.658437500002</v>
      </c>
      <c r="B1314" s="5" t="s">
        <v>19</v>
      </c>
      <c r="C1314" s="5" t="s">
        <v>37</v>
      </c>
      <c r="D1314" s="5">
        <v>184</v>
      </c>
      <c r="E1314" s="6">
        <v>13410313000160</v>
      </c>
      <c r="F1314" s="5">
        <v>184</v>
      </c>
      <c r="G1314" s="7">
        <v>177688368967411</v>
      </c>
      <c r="H1314" s="5" t="s">
        <v>397</v>
      </c>
      <c r="I1314" s="5" t="s">
        <v>52</v>
      </c>
      <c r="J1314" s="5" t="s">
        <v>22</v>
      </c>
      <c r="K1314" s="5" t="s">
        <v>36</v>
      </c>
      <c r="L1314" s="5" t="s">
        <v>36</v>
      </c>
      <c r="M1314" s="5" t="s">
        <v>284</v>
      </c>
      <c r="N1314" s="5" t="s">
        <v>53</v>
      </c>
      <c r="O1314" s="5">
        <v>19</v>
      </c>
      <c r="P1314" s="5"/>
      <c r="Q1314" s="5"/>
      <c r="R1314" s="8">
        <v>0</v>
      </c>
      <c r="S1314" s="5" t="s">
        <v>37</v>
      </c>
      <c r="T1314" t="str">
        <f>IF(Tabela1[[#This Row],[STATUS_NEGOCIO]]="Enviar E-mail",1,"")</f>
        <v/>
      </c>
      <c r="U1314" t="str">
        <f>TEXT(Tabela1[[#This Row],[DATA]],"dd/mm/aaaa")</f>
        <v>22/04/2026</v>
      </c>
    </row>
    <row r="1315" spans="1:21" x14ac:dyDescent="0.25">
      <c r="A1315" s="4">
        <v>46134.658460648148</v>
      </c>
      <c r="B1315" s="5" t="s">
        <v>19</v>
      </c>
      <c r="C1315" s="5" t="s">
        <v>37</v>
      </c>
      <c r="D1315" s="5">
        <v>187</v>
      </c>
      <c r="E1315" s="6">
        <v>13464960000154</v>
      </c>
      <c r="F1315" s="5">
        <v>187</v>
      </c>
      <c r="G1315" s="7">
        <v>177688369167431</v>
      </c>
      <c r="H1315" s="5" t="s">
        <v>399</v>
      </c>
      <c r="I1315" s="5">
        <v>3003</v>
      </c>
      <c r="J1315" s="5" t="s">
        <v>22</v>
      </c>
      <c r="K1315" s="5" t="s">
        <v>23</v>
      </c>
      <c r="L1315" s="5" t="s">
        <v>31</v>
      </c>
      <c r="M1315" s="5" t="s">
        <v>284</v>
      </c>
      <c r="N1315" s="5" t="s">
        <v>53</v>
      </c>
      <c r="O1315" s="5">
        <v>147</v>
      </c>
      <c r="P1315" s="5"/>
      <c r="Q1315" s="5"/>
      <c r="R1315" s="8">
        <v>8.1018518518518516E-5</v>
      </c>
      <c r="S1315" s="5" t="s">
        <v>37</v>
      </c>
      <c r="T1315" t="str">
        <f>IF(Tabela1[[#This Row],[STATUS_NEGOCIO]]="Enviar E-mail",1,"")</f>
        <v/>
      </c>
      <c r="U1315" t="str">
        <f>TEXT(Tabela1[[#This Row],[DATA]],"dd/mm/aaaa")</f>
        <v>22/04/2026</v>
      </c>
    </row>
    <row r="1316" spans="1:21" x14ac:dyDescent="0.25">
      <c r="A1316" s="4">
        <v>46134.658483796295</v>
      </c>
      <c r="B1316" s="5" t="s">
        <v>19</v>
      </c>
      <c r="C1316" s="5" t="s">
        <v>37</v>
      </c>
      <c r="D1316" s="5">
        <v>190</v>
      </c>
      <c r="E1316" s="6">
        <v>13744177000144</v>
      </c>
      <c r="F1316" s="5">
        <v>190</v>
      </c>
      <c r="G1316" s="7">
        <v>177688369367451</v>
      </c>
      <c r="H1316" s="5" t="s">
        <v>401</v>
      </c>
      <c r="I1316" s="5" t="s">
        <v>52</v>
      </c>
      <c r="J1316" s="5" t="s">
        <v>22</v>
      </c>
      <c r="K1316" s="5" t="s">
        <v>36</v>
      </c>
      <c r="L1316" s="5" t="s">
        <v>36</v>
      </c>
      <c r="M1316" s="5" t="s">
        <v>284</v>
      </c>
      <c r="N1316" s="5" t="s">
        <v>53</v>
      </c>
      <c r="O1316" s="5">
        <v>19</v>
      </c>
      <c r="P1316" s="5"/>
      <c r="Q1316" s="5"/>
      <c r="R1316" s="8">
        <v>0</v>
      </c>
      <c r="S1316" s="5" t="s">
        <v>37</v>
      </c>
      <c r="T1316" t="str">
        <f>IF(Tabela1[[#This Row],[STATUS_NEGOCIO]]="Enviar E-mail",1,"")</f>
        <v/>
      </c>
      <c r="U1316" t="str">
        <f>TEXT(Tabela1[[#This Row],[DATA]],"dd/mm/aaaa")</f>
        <v>22/04/2026</v>
      </c>
    </row>
    <row r="1317" spans="1:21" x14ac:dyDescent="0.25">
      <c r="A1317" s="4">
        <v>46134.658587962964</v>
      </c>
      <c r="B1317" s="5" t="s">
        <v>19</v>
      </c>
      <c r="C1317" s="5" t="s">
        <v>37</v>
      </c>
      <c r="D1317" s="5">
        <v>192</v>
      </c>
      <c r="E1317" s="6">
        <v>14059527000104</v>
      </c>
      <c r="F1317" s="5">
        <v>192</v>
      </c>
      <c r="G1317" s="7">
        <v>177688370267541</v>
      </c>
      <c r="H1317" s="5" t="s">
        <v>402</v>
      </c>
      <c r="I1317" s="5">
        <v>3003</v>
      </c>
      <c r="J1317" s="5" t="s">
        <v>22</v>
      </c>
      <c r="K1317" s="5" t="s">
        <v>23</v>
      </c>
      <c r="L1317" s="5" t="s">
        <v>31</v>
      </c>
      <c r="M1317" s="5" t="s">
        <v>284</v>
      </c>
      <c r="N1317" s="5" t="s">
        <v>53</v>
      </c>
      <c r="O1317" s="5">
        <v>128</v>
      </c>
      <c r="P1317" s="5"/>
      <c r="Q1317" s="5"/>
      <c r="R1317" s="8">
        <v>8.1018518518518516E-5</v>
      </c>
      <c r="S1317" s="5" t="s">
        <v>37</v>
      </c>
      <c r="T1317" t="str">
        <f>IF(Tabela1[[#This Row],[STATUS_NEGOCIO]]="Enviar E-mail",1,"")</f>
        <v/>
      </c>
      <c r="U1317" t="str">
        <f>TEXT(Tabela1[[#This Row],[DATA]],"dd/mm/aaaa")</f>
        <v>22/04/2026</v>
      </c>
    </row>
    <row r="1318" spans="1:21" x14ac:dyDescent="0.25">
      <c r="A1318" s="4">
        <v>46134.658680555556</v>
      </c>
      <c r="B1318" s="5" t="s">
        <v>19</v>
      </c>
      <c r="C1318" s="5" t="s">
        <v>37</v>
      </c>
      <c r="D1318" s="5">
        <v>193</v>
      </c>
      <c r="E1318" s="6">
        <v>14370573000111</v>
      </c>
      <c r="F1318" s="5">
        <v>193</v>
      </c>
      <c r="G1318" s="7">
        <v>177688371067561</v>
      </c>
      <c r="H1318" s="5" t="s">
        <v>86</v>
      </c>
      <c r="I1318" s="5" t="s">
        <v>52</v>
      </c>
      <c r="J1318" s="5" t="s">
        <v>22</v>
      </c>
      <c r="K1318" s="5" t="s">
        <v>36</v>
      </c>
      <c r="L1318" s="5" t="s">
        <v>36</v>
      </c>
      <c r="M1318" s="5" t="s">
        <v>284</v>
      </c>
      <c r="N1318" s="5" t="s">
        <v>53</v>
      </c>
      <c r="O1318" s="5">
        <v>1</v>
      </c>
      <c r="P1318" s="5"/>
      <c r="Q1318" s="5"/>
      <c r="R1318" s="8">
        <v>0</v>
      </c>
      <c r="S1318" s="5" t="s">
        <v>37</v>
      </c>
      <c r="T1318" t="str">
        <f>IF(Tabela1[[#This Row],[STATUS_NEGOCIO]]="Enviar E-mail",1,"")</f>
        <v/>
      </c>
      <c r="U1318" t="str">
        <f>TEXT(Tabela1[[#This Row],[DATA]],"dd/mm/aaaa")</f>
        <v>22/04/2026</v>
      </c>
    </row>
    <row r="1319" spans="1:21" x14ac:dyDescent="0.25">
      <c r="A1319" s="4">
        <v>46134.658692129633</v>
      </c>
      <c r="B1319" s="5" t="s">
        <v>19</v>
      </c>
      <c r="C1319" s="5" t="s">
        <v>37</v>
      </c>
      <c r="D1319" s="5">
        <v>194</v>
      </c>
      <c r="E1319" s="6">
        <v>14440968000143</v>
      </c>
      <c r="F1319" s="5">
        <v>194</v>
      </c>
      <c r="G1319" s="7">
        <v>177688371167571</v>
      </c>
      <c r="H1319" s="5" t="s">
        <v>403</v>
      </c>
      <c r="I1319" s="5">
        <v>3003</v>
      </c>
      <c r="J1319" s="5" t="s">
        <v>22</v>
      </c>
      <c r="K1319" s="5" t="s">
        <v>23</v>
      </c>
      <c r="L1319" s="5" t="s">
        <v>31</v>
      </c>
      <c r="M1319" s="5" t="s">
        <v>284</v>
      </c>
      <c r="N1319" s="5" t="s">
        <v>53</v>
      </c>
      <c r="O1319" s="5">
        <v>128</v>
      </c>
      <c r="P1319" s="5"/>
      <c r="Q1319" s="5"/>
      <c r="R1319" s="8">
        <v>8.1018518518518516E-5</v>
      </c>
      <c r="S1319" s="5" t="s">
        <v>37</v>
      </c>
      <c r="T1319" t="str">
        <f>IF(Tabela1[[#This Row],[STATUS_NEGOCIO]]="Enviar E-mail",1,"")</f>
        <v/>
      </c>
      <c r="U1319" t="str">
        <f>TEXT(Tabela1[[#This Row],[DATA]],"dd/mm/aaaa")</f>
        <v>22/04/2026</v>
      </c>
    </row>
    <row r="1320" spans="1:21" x14ac:dyDescent="0.25">
      <c r="A1320" s="4">
        <v>46134.658715277779</v>
      </c>
      <c r="B1320" s="5" t="s">
        <v>19</v>
      </c>
      <c r="C1320" s="5" t="s">
        <v>37</v>
      </c>
      <c r="D1320" s="5">
        <v>195</v>
      </c>
      <c r="E1320" s="6">
        <v>14450781000120</v>
      </c>
      <c r="F1320" s="5">
        <v>195</v>
      </c>
      <c r="G1320" s="7">
        <v>177688371367591</v>
      </c>
      <c r="H1320" s="5" t="s">
        <v>145</v>
      </c>
      <c r="I1320" s="5">
        <v>3003</v>
      </c>
      <c r="J1320" s="5" t="s">
        <v>22</v>
      </c>
      <c r="K1320" s="5" t="s">
        <v>23</v>
      </c>
      <c r="L1320" s="5" t="s">
        <v>31</v>
      </c>
      <c r="M1320" s="5" t="s">
        <v>284</v>
      </c>
      <c r="N1320" s="5" t="s">
        <v>53</v>
      </c>
      <c r="O1320" s="5">
        <v>128</v>
      </c>
      <c r="P1320" s="5"/>
      <c r="Q1320" s="5"/>
      <c r="R1320" s="8">
        <v>8.1018518518518516E-5</v>
      </c>
      <c r="S1320" s="5" t="s">
        <v>37</v>
      </c>
      <c r="T1320" t="str">
        <f>IF(Tabela1[[#This Row],[STATUS_NEGOCIO]]="Enviar E-mail",1,"")</f>
        <v/>
      </c>
      <c r="U1320" t="str">
        <f>TEXT(Tabela1[[#This Row],[DATA]],"dd/mm/aaaa")</f>
        <v>22/04/2026</v>
      </c>
    </row>
    <row r="1321" spans="1:21" x14ac:dyDescent="0.25">
      <c r="A1321" s="4">
        <v>46134.658842592595</v>
      </c>
      <c r="B1321" s="5" t="s">
        <v>19</v>
      </c>
      <c r="C1321" s="5" t="s">
        <v>37</v>
      </c>
      <c r="D1321" s="5">
        <v>196</v>
      </c>
      <c r="E1321" s="6">
        <v>14565807000186</v>
      </c>
      <c r="F1321" s="5">
        <v>196</v>
      </c>
      <c r="G1321" s="7">
        <v>177688372467611</v>
      </c>
      <c r="H1321" s="5" t="s">
        <v>226</v>
      </c>
      <c r="I1321" s="5">
        <v>3003</v>
      </c>
      <c r="J1321" s="5" t="s">
        <v>22</v>
      </c>
      <c r="K1321" s="5" t="s">
        <v>23</v>
      </c>
      <c r="L1321" s="5" t="s">
        <v>31</v>
      </c>
      <c r="M1321" s="5" t="s">
        <v>284</v>
      </c>
      <c r="N1321" s="5" t="s">
        <v>53</v>
      </c>
      <c r="O1321" s="5">
        <v>128</v>
      </c>
      <c r="P1321" s="5"/>
      <c r="Q1321" s="5"/>
      <c r="R1321" s="8">
        <v>8.1018518518518516E-5</v>
      </c>
      <c r="S1321" s="5" t="s">
        <v>37</v>
      </c>
      <c r="T1321" t="str">
        <f>IF(Tabela1[[#This Row],[STATUS_NEGOCIO]]="Enviar E-mail",1,"")</f>
        <v/>
      </c>
      <c r="U1321" t="str">
        <f>TEXT(Tabela1[[#This Row],[DATA]],"dd/mm/aaaa")</f>
        <v>22/04/2026</v>
      </c>
    </row>
    <row r="1322" spans="1:21" x14ac:dyDescent="0.25">
      <c r="A1322" s="4">
        <v>46134.658865740741</v>
      </c>
      <c r="B1322" s="5" t="s">
        <v>19</v>
      </c>
      <c r="C1322" s="5" t="s">
        <v>37</v>
      </c>
      <c r="D1322" s="5">
        <v>197</v>
      </c>
      <c r="E1322" s="6">
        <v>14766966000149</v>
      </c>
      <c r="F1322" s="5">
        <v>197</v>
      </c>
      <c r="G1322" s="7">
        <v>177688372667631</v>
      </c>
      <c r="H1322" s="5" t="s">
        <v>142</v>
      </c>
      <c r="I1322" s="5">
        <v>3003</v>
      </c>
      <c r="J1322" s="5" t="s">
        <v>22</v>
      </c>
      <c r="K1322" s="5" t="s">
        <v>23</v>
      </c>
      <c r="L1322" s="5" t="s">
        <v>31</v>
      </c>
      <c r="M1322" s="5" t="s">
        <v>284</v>
      </c>
      <c r="N1322" s="5" t="s">
        <v>53</v>
      </c>
      <c r="O1322" s="5">
        <v>128</v>
      </c>
      <c r="P1322" s="5"/>
      <c r="Q1322" s="5"/>
      <c r="R1322" s="8">
        <v>6.9444444444444444E-5</v>
      </c>
      <c r="S1322" s="5" t="s">
        <v>37</v>
      </c>
      <c r="T1322" t="str">
        <f>IF(Tabela1[[#This Row],[STATUS_NEGOCIO]]="Enviar E-mail",1,"")</f>
        <v/>
      </c>
      <c r="U1322" t="str">
        <f>TEXT(Tabela1[[#This Row],[DATA]],"dd/mm/aaaa")</f>
        <v>22/04/2026</v>
      </c>
    </row>
    <row r="1323" spans="1:21" x14ac:dyDescent="0.25">
      <c r="A1323" s="4">
        <v>46134.658946759257</v>
      </c>
      <c r="B1323" s="5" t="s">
        <v>19</v>
      </c>
      <c r="C1323" s="5" t="s">
        <v>37</v>
      </c>
      <c r="D1323" s="5">
        <v>198</v>
      </c>
      <c r="E1323" s="6">
        <v>14811950000100</v>
      </c>
      <c r="F1323" s="5">
        <v>198</v>
      </c>
      <c r="G1323" s="7">
        <v>177688373367651</v>
      </c>
      <c r="H1323" s="5" t="s">
        <v>404</v>
      </c>
      <c r="I1323" s="5">
        <v>3003</v>
      </c>
      <c r="J1323" s="5" t="s">
        <v>22</v>
      </c>
      <c r="K1323" s="5" t="s">
        <v>23</v>
      </c>
      <c r="L1323" s="5" t="s">
        <v>31</v>
      </c>
      <c r="M1323" s="5" t="s">
        <v>284</v>
      </c>
      <c r="N1323" s="5" t="s">
        <v>53</v>
      </c>
      <c r="O1323" s="5">
        <v>131</v>
      </c>
      <c r="P1323" s="5"/>
      <c r="Q1323" s="5"/>
      <c r="R1323" s="8">
        <v>4.6296296296296294E-5</v>
      </c>
      <c r="S1323" s="5" t="s">
        <v>37</v>
      </c>
      <c r="T1323" t="str">
        <f>IF(Tabela1[[#This Row],[STATUS_NEGOCIO]]="Enviar E-mail",1,"")</f>
        <v/>
      </c>
      <c r="U1323" t="str">
        <f>TEXT(Tabela1[[#This Row],[DATA]],"dd/mm/aaaa")</f>
        <v>22/04/2026</v>
      </c>
    </row>
    <row r="1324" spans="1:21" x14ac:dyDescent="0.25">
      <c r="A1324" s="4">
        <v>46134.658958333333</v>
      </c>
      <c r="B1324" s="5" t="s">
        <v>19</v>
      </c>
      <c r="C1324" s="5" t="s">
        <v>37</v>
      </c>
      <c r="D1324" s="5">
        <v>199</v>
      </c>
      <c r="E1324" s="6">
        <v>14965593000135</v>
      </c>
      <c r="F1324" s="5">
        <v>199</v>
      </c>
      <c r="G1324" s="7">
        <v>177688373467671</v>
      </c>
      <c r="H1324" s="5" t="s">
        <v>405</v>
      </c>
      <c r="I1324" s="5">
        <v>3003</v>
      </c>
      <c r="J1324" s="5" t="s">
        <v>22</v>
      </c>
      <c r="K1324" s="5" t="s">
        <v>23</v>
      </c>
      <c r="L1324" s="5" t="s">
        <v>31</v>
      </c>
      <c r="M1324" s="5" t="s">
        <v>284</v>
      </c>
      <c r="N1324" s="5" t="s">
        <v>53</v>
      </c>
      <c r="O1324" s="5">
        <v>147</v>
      </c>
      <c r="P1324" s="5"/>
      <c r="Q1324" s="5"/>
      <c r="R1324" s="8">
        <v>8.1018518518518516E-5</v>
      </c>
      <c r="S1324" s="5" t="s">
        <v>37</v>
      </c>
      <c r="T1324" t="str">
        <f>IF(Tabela1[[#This Row],[STATUS_NEGOCIO]]="Enviar E-mail",1,"")</f>
        <v/>
      </c>
      <c r="U1324" t="str">
        <f>TEXT(Tabela1[[#This Row],[DATA]],"dd/mm/aaaa")</f>
        <v>22/04/2026</v>
      </c>
    </row>
    <row r="1325" spans="1:21" x14ac:dyDescent="0.25">
      <c r="A1325" s="4">
        <v>46134.659016203703</v>
      </c>
      <c r="B1325" s="5" t="s">
        <v>19</v>
      </c>
      <c r="C1325" s="5" t="s">
        <v>37</v>
      </c>
      <c r="D1325" s="5">
        <v>200</v>
      </c>
      <c r="E1325" s="6">
        <v>15255973000149</v>
      </c>
      <c r="F1325" s="5">
        <v>200</v>
      </c>
      <c r="G1325" s="7">
        <v>177688373967741</v>
      </c>
      <c r="H1325" s="5" t="s">
        <v>406</v>
      </c>
      <c r="I1325" s="5">
        <v>3003</v>
      </c>
      <c r="J1325" s="5" t="s">
        <v>22</v>
      </c>
      <c r="K1325" s="5" t="s">
        <v>23</v>
      </c>
      <c r="L1325" s="5" t="s">
        <v>31</v>
      </c>
      <c r="M1325" s="5" t="s">
        <v>284</v>
      </c>
      <c r="N1325" s="5" t="s">
        <v>53</v>
      </c>
      <c r="O1325" s="5">
        <v>128</v>
      </c>
      <c r="P1325" s="5"/>
      <c r="Q1325" s="5"/>
      <c r="R1325" s="8">
        <v>8.1018518518518516E-5</v>
      </c>
      <c r="S1325" s="5" t="s">
        <v>37</v>
      </c>
      <c r="T1325" t="str">
        <f>IF(Tabela1[[#This Row],[STATUS_NEGOCIO]]="Enviar E-mail",1,"")</f>
        <v/>
      </c>
      <c r="U1325" t="str">
        <f>TEXT(Tabela1[[#This Row],[DATA]],"dd/mm/aaaa")</f>
        <v>22/04/2026</v>
      </c>
    </row>
    <row r="1326" spans="1:21" x14ac:dyDescent="0.25">
      <c r="A1326" s="4">
        <v>46134.659050925926</v>
      </c>
      <c r="B1326" s="5" t="s">
        <v>19</v>
      </c>
      <c r="C1326" s="5" t="s">
        <v>37</v>
      </c>
      <c r="D1326" s="5">
        <v>202</v>
      </c>
      <c r="E1326" s="6">
        <v>16385008000153</v>
      </c>
      <c r="F1326" s="5">
        <v>202</v>
      </c>
      <c r="G1326" s="7">
        <v>177688374267751</v>
      </c>
      <c r="H1326" s="5" t="s">
        <v>408</v>
      </c>
      <c r="I1326" s="5">
        <v>3003</v>
      </c>
      <c r="J1326" s="5" t="s">
        <v>22</v>
      </c>
      <c r="K1326" s="5" t="s">
        <v>23</v>
      </c>
      <c r="L1326" s="5" t="s">
        <v>31</v>
      </c>
      <c r="M1326" s="5" t="s">
        <v>284</v>
      </c>
      <c r="N1326" s="5" t="s">
        <v>53</v>
      </c>
      <c r="O1326" s="5">
        <v>147</v>
      </c>
      <c r="P1326" s="5"/>
      <c r="Q1326" s="5"/>
      <c r="R1326" s="8">
        <v>8.1018518518518516E-5</v>
      </c>
      <c r="S1326" s="5" t="s">
        <v>37</v>
      </c>
      <c r="T1326" t="str">
        <f>IF(Tabela1[[#This Row],[STATUS_NEGOCIO]]="Enviar E-mail",1,"")</f>
        <v/>
      </c>
      <c r="U1326" t="str">
        <f>TEXT(Tabela1[[#This Row],[DATA]],"dd/mm/aaaa")</f>
        <v>22/04/2026</v>
      </c>
    </row>
    <row r="1327" spans="1:21" x14ac:dyDescent="0.25">
      <c r="A1327" s="4">
        <v>46134.659050925926</v>
      </c>
      <c r="B1327" s="5" t="s">
        <v>19</v>
      </c>
      <c r="C1327" s="5" t="s">
        <v>37</v>
      </c>
      <c r="D1327" s="5">
        <v>203</v>
      </c>
      <c r="E1327" s="6">
        <v>16720728000128</v>
      </c>
      <c r="F1327" s="5">
        <v>203</v>
      </c>
      <c r="G1327" s="7">
        <v>177688374267771</v>
      </c>
      <c r="H1327" s="5" t="s">
        <v>409</v>
      </c>
      <c r="I1327" s="5">
        <v>3003</v>
      </c>
      <c r="J1327" s="5" t="s">
        <v>22</v>
      </c>
      <c r="K1327" s="5" t="s">
        <v>23</v>
      </c>
      <c r="L1327" s="5" t="s">
        <v>31</v>
      </c>
      <c r="M1327" s="5" t="s">
        <v>284</v>
      </c>
      <c r="N1327" s="5" t="s">
        <v>53</v>
      </c>
      <c r="O1327" s="5">
        <v>128</v>
      </c>
      <c r="P1327" s="5"/>
      <c r="Q1327" s="5"/>
      <c r="R1327" s="8">
        <v>8.1018518518518516E-5</v>
      </c>
      <c r="S1327" s="5" t="s">
        <v>37</v>
      </c>
      <c r="T1327" t="str">
        <f>IF(Tabela1[[#This Row],[STATUS_NEGOCIO]]="Enviar E-mail",1,"")</f>
        <v/>
      </c>
      <c r="U1327" t="str">
        <f>TEXT(Tabela1[[#This Row],[DATA]],"dd/mm/aaaa")</f>
        <v>22/04/2026</v>
      </c>
    </row>
    <row r="1328" spans="1:21" x14ac:dyDescent="0.25">
      <c r="A1328" s="4">
        <v>46134.659108796295</v>
      </c>
      <c r="B1328" s="5" t="s">
        <v>19</v>
      </c>
      <c r="C1328" s="5" t="s">
        <v>37</v>
      </c>
      <c r="D1328" s="5">
        <v>204</v>
      </c>
      <c r="E1328" s="6">
        <v>16918406000198</v>
      </c>
      <c r="F1328" s="5">
        <v>204</v>
      </c>
      <c r="G1328" s="7">
        <v>177688374767791</v>
      </c>
      <c r="H1328" s="5" t="s">
        <v>410</v>
      </c>
      <c r="I1328" s="5">
        <v>3003</v>
      </c>
      <c r="J1328" s="5" t="s">
        <v>22</v>
      </c>
      <c r="K1328" s="5" t="s">
        <v>23</v>
      </c>
      <c r="L1328" s="5" t="s">
        <v>31</v>
      </c>
      <c r="M1328" s="5" t="s">
        <v>284</v>
      </c>
      <c r="N1328" s="5" t="s">
        <v>53</v>
      </c>
      <c r="O1328" s="5">
        <v>128</v>
      </c>
      <c r="P1328" s="5"/>
      <c r="Q1328" s="5"/>
      <c r="R1328" s="8">
        <v>8.1018518518518516E-5</v>
      </c>
      <c r="S1328" s="5" t="s">
        <v>37</v>
      </c>
      <c r="T1328" t="str">
        <f>IF(Tabela1[[#This Row],[STATUS_NEGOCIO]]="Enviar E-mail",1,"")</f>
        <v/>
      </c>
      <c r="U1328" t="str">
        <f>TEXT(Tabela1[[#This Row],[DATA]],"dd/mm/aaaa")</f>
        <v>22/04/2026</v>
      </c>
    </row>
    <row r="1329" spans="1:21" x14ac:dyDescent="0.25">
      <c r="A1329" s="4">
        <v>46134.659155092595</v>
      </c>
      <c r="B1329" s="5" t="s">
        <v>19</v>
      </c>
      <c r="C1329" s="5" t="s">
        <v>37</v>
      </c>
      <c r="D1329" s="5">
        <v>205</v>
      </c>
      <c r="E1329" s="6">
        <v>16918406000198</v>
      </c>
      <c r="F1329" s="5">
        <v>205</v>
      </c>
      <c r="G1329" s="7">
        <v>177688375167851</v>
      </c>
      <c r="H1329" s="5" t="s">
        <v>410</v>
      </c>
      <c r="I1329" s="5">
        <v>3003</v>
      </c>
      <c r="J1329" s="5" t="s">
        <v>22</v>
      </c>
      <c r="K1329" s="5" t="s">
        <v>23</v>
      </c>
      <c r="L1329" s="5" t="s">
        <v>31</v>
      </c>
      <c r="M1329" s="5" t="s">
        <v>284</v>
      </c>
      <c r="N1329" s="5" t="s">
        <v>53</v>
      </c>
      <c r="O1329" s="5">
        <v>128</v>
      </c>
      <c r="P1329" s="5"/>
      <c r="Q1329" s="5"/>
      <c r="R1329" s="8">
        <v>8.1018518518518516E-5</v>
      </c>
      <c r="S1329" s="5" t="s">
        <v>37</v>
      </c>
      <c r="T1329" t="str">
        <f>IF(Tabela1[[#This Row],[STATUS_NEGOCIO]]="Enviar E-mail",1,"")</f>
        <v/>
      </c>
      <c r="U1329" t="str">
        <f>TEXT(Tabela1[[#This Row],[DATA]],"dd/mm/aaaa")</f>
        <v>22/04/2026</v>
      </c>
    </row>
    <row r="1330" spans="1:21" x14ac:dyDescent="0.25">
      <c r="A1330" s="4">
        <v>46134.659212962964</v>
      </c>
      <c r="B1330" s="5" t="s">
        <v>19</v>
      </c>
      <c r="C1330" s="5" t="s">
        <v>37</v>
      </c>
      <c r="D1330" s="5">
        <v>206</v>
      </c>
      <c r="E1330" s="6">
        <v>16927109000109</v>
      </c>
      <c r="F1330" s="5">
        <v>206</v>
      </c>
      <c r="G1330" s="7">
        <v>177688375667871</v>
      </c>
      <c r="H1330" s="5" t="s">
        <v>411</v>
      </c>
      <c r="I1330" s="5">
        <v>3003</v>
      </c>
      <c r="J1330" s="5" t="s">
        <v>22</v>
      </c>
      <c r="K1330" s="5" t="s">
        <v>23</v>
      </c>
      <c r="L1330" s="5" t="s">
        <v>31</v>
      </c>
      <c r="M1330" s="5" t="s">
        <v>284</v>
      </c>
      <c r="N1330" s="5" t="s">
        <v>53</v>
      </c>
      <c r="O1330" s="5">
        <v>128</v>
      </c>
      <c r="P1330" s="5"/>
      <c r="Q1330" s="5"/>
      <c r="R1330" s="8">
        <v>6.9444444444444444E-5</v>
      </c>
      <c r="S1330" s="5" t="s">
        <v>37</v>
      </c>
      <c r="T1330" t="str">
        <f>IF(Tabela1[[#This Row],[STATUS_NEGOCIO]]="Enviar E-mail",1,"")</f>
        <v/>
      </c>
      <c r="U1330" t="str">
        <f>TEXT(Tabela1[[#This Row],[DATA]],"dd/mm/aaaa")</f>
        <v>22/04/2026</v>
      </c>
    </row>
    <row r="1331" spans="1:21" x14ac:dyDescent="0.25">
      <c r="A1331" s="4">
        <v>46134.659224537034</v>
      </c>
      <c r="B1331" s="5" t="s">
        <v>19</v>
      </c>
      <c r="C1331" s="5" t="s">
        <v>37</v>
      </c>
      <c r="D1331" s="5">
        <v>207</v>
      </c>
      <c r="E1331" s="6">
        <v>16959774000184</v>
      </c>
      <c r="F1331" s="5">
        <v>207</v>
      </c>
      <c r="G1331" s="7">
        <v>177688375767891</v>
      </c>
      <c r="H1331" s="5" t="s">
        <v>412</v>
      </c>
      <c r="I1331" s="5">
        <v>3003</v>
      </c>
      <c r="J1331" s="5" t="s">
        <v>22</v>
      </c>
      <c r="K1331" s="5" t="s">
        <v>23</v>
      </c>
      <c r="L1331" s="5" t="s">
        <v>31</v>
      </c>
      <c r="M1331" s="5" t="s">
        <v>284</v>
      </c>
      <c r="N1331" s="5" t="s">
        <v>53</v>
      </c>
      <c r="O1331" s="5">
        <v>128</v>
      </c>
      <c r="P1331" s="5"/>
      <c r="Q1331" s="5"/>
      <c r="R1331" s="8">
        <v>8.1018518518518516E-5</v>
      </c>
      <c r="S1331" s="5" t="s">
        <v>37</v>
      </c>
      <c r="T1331" t="str">
        <f>IF(Tabela1[[#This Row],[STATUS_NEGOCIO]]="Enviar E-mail",1,"")</f>
        <v/>
      </c>
      <c r="U1331" t="str">
        <f>TEXT(Tabela1[[#This Row],[DATA]],"dd/mm/aaaa")</f>
        <v>22/04/2026</v>
      </c>
    </row>
    <row r="1332" spans="1:21" x14ac:dyDescent="0.25">
      <c r="A1332" s="4">
        <v>46134.659328703703</v>
      </c>
      <c r="B1332" s="5" t="s">
        <v>19</v>
      </c>
      <c r="C1332" s="5" t="s">
        <v>37</v>
      </c>
      <c r="D1332" s="5">
        <v>208</v>
      </c>
      <c r="E1332" s="6">
        <v>17043182000180</v>
      </c>
      <c r="F1332" s="5">
        <v>208</v>
      </c>
      <c r="G1332" s="7">
        <v>177688376667951</v>
      </c>
      <c r="H1332" s="5" t="s">
        <v>235</v>
      </c>
      <c r="I1332" s="5">
        <v>3003</v>
      </c>
      <c r="J1332" s="5" t="s">
        <v>22</v>
      </c>
      <c r="K1332" s="5" t="s">
        <v>23</v>
      </c>
      <c r="L1332" s="5" t="s">
        <v>31</v>
      </c>
      <c r="M1332" s="5" t="s">
        <v>284</v>
      </c>
      <c r="N1332" s="5" t="s">
        <v>53</v>
      </c>
      <c r="O1332" s="5">
        <v>128</v>
      </c>
      <c r="P1332" s="5"/>
      <c r="Q1332" s="5"/>
      <c r="R1332" s="8">
        <v>8.1018518518518516E-5</v>
      </c>
      <c r="S1332" s="5" t="s">
        <v>37</v>
      </c>
      <c r="T1332" t="str">
        <f>IF(Tabela1[[#This Row],[STATUS_NEGOCIO]]="Enviar E-mail",1,"")</f>
        <v/>
      </c>
      <c r="U1332" t="str">
        <f>TEXT(Tabela1[[#This Row],[DATA]],"dd/mm/aaaa")</f>
        <v>22/04/2026</v>
      </c>
    </row>
    <row r="1333" spans="1:21" x14ac:dyDescent="0.25">
      <c r="A1333" s="4">
        <v>46134.659351851849</v>
      </c>
      <c r="B1333" s="5" t="s">
        <v>19</v>
      </c>
      <c r="C1333" s="5" t="s">
        <v>37</v>
      </c>
      <c r="D1333" s="5">
        <v>209</v>
      </c>
      <c r="E1333" s="6">
        <v>17230906000103</v>
      </c>
      <c r="F1333" s="5">
        <v>209</v>
      </c>
      <c r="G1333" s="7">
        <v>177688376867971</v>
      </c>
      <c r="H1333" s="5" t="s">
        <v>246</v>
      </c>
      <c r="I1333" s="5">
        <v>3003</v>
      </c>
      <c r="J1333" s="5" t="s">
        <v>22</v>
      </c>
      <c r="K1333" s="5" t="s">
        <v>23</v>
      </c>
      <c r="L1333" s="5" t="s">
        <v>31</v>
      </c>
      <c r="M1333" s="5" t="s">
        <v>284</v>
      </c>
      <c r="N1333" s="5" t="s">
        <v>53</v>
      </c>
      <c r="O1333" s="5">
        <v>128</v>
      </c>
      <c r="P1333" s="5"/>
      <c r="Q1333" s="5"/>
      <c r="R1333" s="8">
        <v>8.1018518518518516E-5</v>
      </c>
      <c r="S1333" s="5" t="s">
        <v>37</v>
      </c>
      <c r="T1333" t="str">
        <f>IF(Tabela1[[#This Row],[STATUS_NEGOCIO]]="Enviar E-mail",1,"")</f>
        <v/>
      </c>
      <c r="U1333" t="str">
        <f>TEXT(Tabela1[[#This Row],[DATA]],"dd/mm/aaaa")</f>
        <v>22/04/2026</v>
      </c>
    </row>
    <row r="1334" spans="1:21" x14ac:dyDescent="0.25">
      <c r="A1334" s="4">
        <v>46134.659363425926</v>
      </c>
      <c r="B1334" s="5" t="s">
        <v>19</v>
      </c>
      <c r="C1334" s="5" t="s">
        <v>37</v>
      </c>
      <c r="D1334" s="5">
        <v>210</v>
      </c>
      <c r="E1334" s="6">
        <v>17232038000192</v>
      </c>
      <c r="F1334" s="5">
        <v>210</v>
      </c>
      <c r="G1334" s="7">
        <v>177688376967991</v>
      </c>
      <c r="H1334" s="5" t="s">
        <v>413</v>
      </c>
      <c r="I1334" s="5">
        <v>3003</v>
      </c>
      <c r="J1334" s="5" t="s">
        <v>22</v>
      </c>
      <c r="K1334" s="5" t="s">
        <v>23</v>
      </c>
      <c r="L1334" s="5" t="s">
        <v>31</v>
      </c>
      <c r="M1334" s="5" t="s">
        <v>284</v>
      </c>
      <c r="N1334" s="5" t="s">
        <v>53</v>
      </c>
      <c r="O1334" s="5">
        <v>128</v>
      </c>
      <c r="P1334" s="5"/>
      <c r="Q1334" s="5"/>
      <c r="R1334" s="8">
        <v>8.1018518518518516E-5</v>
      </c>
      <c r="S1334" s="5" t="s">
        <v>37</v>
      </c>
      <c r="T1334" t="str">
        <f>IF(Tabela1[[#This Row],[STATUS_NEGOCIO]]="Enviar E-mail",1,"")</f>
        <v/>
      </c>
      <c r="U1334" t="str">
        <f>TEXT(Tabela1[[#This Row],[DATA]],"dd/mm/aaaa")</f>
        <v>22/04/2026</v>
      </c>
    </row>
    <row r="1335" spans="1:21" x14ac:dyDescent="0.25">
      <c r="A1335" s="4">
        <v>46134.659386574072</v>
      </c>
      <c r="B1335" s="5" t="s">
        <v>19</v>
      </c>
      <c r="C1335" s="5" t="s">
        <v>37</v>
      </c>
      <c r="D1335" s="5">
        <v>211</v>
      </c>
      <c r="E1335" s="6">
        <v>17404008000116</v>
      </c>
      <c r="F1335" s="5">
        <v>211</v>
      </c>
      <c r="G1335" s="7">
        <v>177688377168011</v>
      </c>
      <c r="H1335" s="5" t="s">
        <v>414</v>
      </c>
      <c r="I1335" s="5">
        <v>3003</v>
      </c>
      <c r="J1335" s="5" t="s">
        <v>22</v>
      </c>
      <c r="K1335" s="5" t="s">
        <v>23</v>
      </c>
      <c r="L1335" s="5" t="s">
        <v>31</v>
      </c>
      <c r="M1335" s="5" t="s">
        <v>284</v>
      </c>
      <c r="N1335" s="5" t="s">
        <v>53</v>
      </c>
      <c r="O1335" s="5">
        <v>128</v>
      </c>
      <c r="P1335" s="5"/>
      <c r="Q1335" s="5"/>
      <c r="R1335" s="8">
        <v>8.1018518518518516E-5</v>
      </c>
      <c r="S1335" s="5" t="s">
        <v>37</v>
      </c>
      <c r="T1335" t="str">
        <f>IF(Tabela1[[#This Row],[STATUS_NEGOCIO]]="Enviar E-mail",1,"")</f>
        <v/>
      </c>
      <c r="U1335" t="str">
        <f>TEXT(Tabela1[[#This Row],[DATA]],"dd/mm/aaaa")</f>
        <v>22/04/2026</v>
      </c>
    </row>
    <row r="1336" spans="1:21" x14ac:dyDescent="0.25">
      <c r="A1336" s="4">
        <v>46134.659479166665</v>
      </c>
      <c r="B1336" s="5" t="s">
        <v>19</v>
      </c>
      <c r="C1336" s="5" t="s">
        <v>37</v>
      </c>
      <c r="D1336" s="5">
        <v>212</v>
      </c>
      <c r="E1336" s="6">
        <v>17446625000184</v>
      </c>
      <c r="F1336" s="5">
        <v>212</v>
      </c>
      <c r="G1336" s="7">
        <v>177688377968031</v>
      </c>
      <c r="H1336" s="5" t="s">
        <v>415</v>
      </c>
      <c r="I1336" s="5">
        <v>3003</v>
      </c>
      <c r="J1336" s="5" t="s">
        <v>22</v>
      </c>
      <c r="K1336" s="5" t="s">
        <v>23</v>
      </c>
      <c r="L1336" s="5" t="s">
        <v>31</v>
      </c>
      <c r="M1336" s="5" t="s">
        <v>284</v>
      </c>
      <c r="N1336" s="5" t="s">
        <v>53</v>
      </c>
      <c r="O1336" s="5">
        <v>128</v>
      </c>
      <c r="P1336" s="5"/>
      <c r="Q1336" s="5"/>
      <c r="R1336" s="8">
        <v>8.1018518518518516E-5</v>
      </c>
      <c r="S1336" s="5" t="s">
        <v>37</v>
      </c>
      <c r="T1336" t="str">
        <f>IF(Tabela1[[#This Row],[STATUS_NEGOCIO]]="Enviar E-mail",1,"")</f>
        <v/>
      </c>
      <c r="U1336" t="str">
        <f>TEXT(Tabela1[[#This Row],[DATA]],"dd/mm/aaaa")</f>
        <v>22/04/2026</v>
      </c>
    </row>
    <row r="1337" spans="1:21" x14ac:dyDescent="0.25">
      <c r="A1337" s="4">
        <v>46134.659490740742</v>
      </c>
      <c r="B1337" s="5" t="s">
        <v>19</v>
      </c>
      <c r="C1337" s="5" t="s">
        <v>37</v>
      </c>
      <c r="D1337" s="5">
        <v>213</v>
      </c>
      <c r="E1337" s="6">
        <v>17845803000140</v>
      </c>
      <c r="F1337" s="5">
        <v>213</v>
      </c>
      <c r="G1337" s="7">
        <v>177688378068061</v>
      </c>
      <c r="H1337" s="5" t="s">
        <v>75</v>
      </c>
      <c r="I1337" s="5">
        <v>3003</v>
      </c>
      <c r="J1337" s="5" t="s">
        <v>22</v>
      </c>
      <c r="K1337" s="5" t="s">
        <v>23</v>
      </c>
      <c r="L1337" s="5" t="s">
        <v>31</v>
      </c>
      <c r="M1337" s="5" t="s">
        <v>284</v>
      </c>
      <c r="N1337" s="5" t="s">
        <v>53</v>
      </c>
      <c r="O1337" s="5">
        <v>128</v>
      </c>
      <c r="P1337" s="5"/>
      <c r="Q1337" s="5"/>
      <c r="R1337" s="8">
        <v>8.1018518518518516E-5</v>
      </c>
      <c r="S1337" s="5" t="s">
        <v>37</v>
      </c>
      <c r="T1337" t="str">
        <f>IF(Tabela1[[#This Row],[STATUS_NEGOCIO]]="Enviar E-mail",1,"")</f>
        <v/>
      </c>
      <c r="U1337" t="str">
        <f>TEXT(Tabela1[[#This Row],[DATA]],"dd/mm/aaaa")</f>
        <v>22/04/2026</v>
      </c>
    </row>
    <row r="1338" spans="1:21" x14ac:dyDescent="0.25">
      <c r="A1338" s="4">
        <v>46134.659490740742</v>
      </c>
      <c r="B1338" s="5" t="s">
        <v>19</v>
      </c>
      <c r="C1338" s="5" t="s">
        <v>37</v>
      </c>
      <c r="D1338" s="5">
        <v>214</v>
      </c>
      <c r="E1338" s="6">
        <v>18341732000100</v>
      </c>
      <c r="F1338" s="5">
        <v>214</v>
      </c>
      <c r="G1338" s="7">
        <v>177688378068081</v>
      </c>
      <c r="H1338" s="5" t="s">
        <v>416</v>
      </c>
      <c r="I1338" s="5">
        <v>3003</v>
      </c>
      <c r="J1338" s="5" t="s">
        <v>22</v>
      </c>
      <c r="K1338" s="5" t="s">
        <v>23</v>
      </c>
      <c r="L1338" s="5" t="s">
        <v>31</v>
      </c>
      <c r="M1338" s="5" t="s">
        <v>284</v>
      </c>
      <c r="N1338" s="5" t="s">
        <v>26</v>
      </c>
      <c r="O1338" s="5">
        <v>131</v>
      </c>
      <c r="P1338" s="5"/>
      <c r="Q1338" s="5"/>
      <c r="R1338" s="8">
        <v>5.7870370370370373E-5</v>
      </c>
      <c r="S1338" s="5" t="s">
        <v>37</v>
      </c>
      <c r="T1338" t="str">
        <f>IF(Tabela1[[#This Row],[STATUS_NEGOCIO]]="Enviar E-mail",1,"")</f>
        <v/>
      </c>
      <c r="U1338" t="str">
        <f>TEXT(Tabela1[[#This Row],[DATA]],"dd/mm/aaaa")</f>
        <v>22/04/2026</v>
      </c>
    </row>
    <row r="1339" spans="1:21" x14ac:dyDescent="0.25">
      <c r="A1339" s="4">
        <v>46134.659490740742</v>
      </c>
      <c r="B1339" s="5" t="s">
        <v>19</v>
      </c>
      <c r="C1339" s="5" t="s">
        <v>37</v>
      </c>
      <c r="D1339" s="5">
        <v>215</v>
      </c>
      <c r="E1339" s="6">
        <v>18414594000142</v>
      </c>
      <c r="F1339" s="5">
        <v>215</v>
      </c>
      <c r="G1339" s="7">
        <v>177688378068091</v>
      </c>
      <c r="H1339" s="5" t="s">
        <v>417</v>
      </c>
      <c r="I1339" s="5">
        <v>3003</v>
      </c>
      <c r="J1339" s="5" t="s">
        <v>22</v>
      </c>
      <c r="K1339" s="5" t="s">
        <v>23</v>
      </c>
      <c r="L1339" s="5" t="s">
        <v>31</v>
      </c>
      <c r="M1339" s="5" t="s">
        <v>284</v>
      </c>
      <c r="N1339" s="5" t="s">
        <v>53</v>
      </c>
      <c r="O1339" s="5">
        <v>147</v>
      </c>
      <c r="P1339" s="5"/>
      <c r="Q1339" s="5"/>
      <c r="R1339" s="8">
        <v>8.1018518518518516E-5</v>
      </c>
      <c r="S1339" s="5" t="s">
        <v>37</v>
      </c>
      <c r="T1339" t="str">
        <f>IF(Tabela1[[#This Row],[STATUS_NEGOCIO]]="Enviar E-mail",1,"")</f>
        <v/>
      </c>
      <c r="U1339" t="str">
        <f>TEXT(Tabela1[[#This Row],[DATA]],"dd/mm/aaaa")</f>
        <v>22/04/2026</v>
      </c>
    </row>
    <row r="1340" spans="1:21" x14ac:dyDescent="0.25">
      <c r="A1340" s="4">
        <v>46134.659537037034</v>
      </c>
      <c r="B1340" s="5" t="s">
        <v>19</v>
      </c>
      <c r="C1340" s="5" t="s">
        <v>37</v>
      </c>
      <c r="D1340" s="5">
        <v>216</v>
      </c>
      <c r="E1340" s="6">
        <v>18705825000177</v>
      </c>
      <c r="F1340" s="5">
        <v>216</v>
      </c>
      <c r="G1340" s="7">
        <v>177688378468111</v>
      </c>
      <c r="H1340" s="5" t="s">
        <v>418</v>
      </c>
      <c r="I1340" s="5">
        <v>3003</v>
      </c>
      <c r="J1340" s="5" t="s">
        <v>22</v>
      </c>
      <c r="K1340" s="5" t="s">
        <v>23</v>
      </c>
      <c r="L1340" s="5" t="s">
        <v>31</v>
      </c>
      <c r="M1340" s="5" t="s">
        <v>284</v>
      </c>
      <c r="N1340" s="5" t="s">
        <v>53</v>
      </c>
      <c r="O1340" s="5">
        <v>128</v>
      </c>
      <c r="P1340" s="5"/>
      <c r="Q1340" s="5"/>
      <c r="R1340" s="8">
        <v>8.1018518518518516E-5</v>
      </c>
      <c r="S1340" s="5" t="s">
        <v>37</v>
      </c>
      <c r="T1340" t="str">
        <f>IF(Tabela1[[#This Row],[STATUS_NEGOCIO]]="Enviar E-mail",1,"")</f>
        <v/>
      </c>
      <c r="U1340" t="str">
        <f>TEXT(Tabela1[[#This Row],[DATA]],"dd/mm/aaaa")</f>
        <v>22/04/2026</v>
      </c>
    </row>
    <row r="1341" spans="1:21" x14ac:dyDescent="0.25">
      <c r="A1341" s="4">
        <v>46134.659594907411</v>
      </c>
      <c r="B1341" s="5" t="s">
        <v>19</v>
      </c>
      <c r="C1341" s="5" t="s">
        <v>37</v>
      </c>
      <c r="D1341" s="5">
        <v>217</v>
      </c>
      <c r="E1341" s="6">
        <v>18863657000148</v>
      </c>
      <c r="F1341" s="5">
        <v>217</v>
      </c>
      <c r="G1341" s="7">
        <v>177688378968131</v>
      </c>
      <c r="H1341" s="5" t="s">
        <v>158</v>
      </c>
      <c r="I1341" s="5">
        <v>3003</v>
      </c>
      <c r="J1341" s="5" t="s">
        <v>22</v>
      </c>
      <c r="K1341" s="5" t="s">
        <v>23</v>
      </c>
      <c r="L1341" s="5" t="s">
        <v>31</v>
      </c>
      <c r="M1341" s="5" t="s">
        <v>284</v>
      </c>
      <c r="N1341" s="5" t="s">
        <v>26</v>
      </c>
      <c r="O1341" s="5">
        <v>131</v>
      </c>
      <c r="P1341" s="5"/>
      <c r="Q1341" s="5"/>
      <c r="R1341" s="8">
        <v>3.4722222222222224E-4</v>
      </c>
      <c r="S1341" s="5" t="s">
        <v>37</v>
      </c>
      <c r="T1341" t="str">
        <f>IF(Tabela1[[#This Row],[STATUS_NEGOCIO]]="Enviar E-mail",1,"")</f>
        <v/>
      </c>
      <c r="U1341" t="str">
        <f>TEXT(Tabela1[[#This Row],[DATA]],"dd/mm/aaaa")</f>
        <v>22/04/2026</v>
      </c>
    </row>
    <row r="1342" spans="1:21" x14ac:dyDescent="0.25">
      <c r="A1342" s="4">
        <v>46134.659629629627</v>
      </c>
      <c r="B1342" s="5" t="s">
        <v>19</v>
      </c>
      <c r="C1342" s="5" t="s">
        <v>37</v>
      </c>
      <c r="D1342" s="5">
        <v>218</v>
      </c>
      <c r="E1342" s="6">
        <v>18889258000156</v>
      </c>
      <c r="F1342" s="5">
        <v>218</v>
      </c>
      <c r="G1342" s="7">
        <v>177688379268151</v>
      </c>
      <c r="H1342" s="5" t="s">
        <v>419</v>
      </c>
      <c r="I1342" s="5">
        <v>3003</v>
      </c>
      <c r="J1342" s="5" t="s">
        <v>22</v>
      </c>
      <c r="K1342" s="5" t="s">
        <v>23</v>
      </c>
      <c r="L1342" s="5" t="s">
        <v>31</v>
      </c>
      <c r="M1342" s="5" t="s">
        <v>284</v>
      </c>
      <c r="N1342" s="5" t="s">
        <v>53</v>
      </c>
      <c r="O1342" s="5">
        <v>128</v>
      </c>
      <c r="P1342" s="5"/>
      <c r="Q1342" s="5"/>
      <c r="R1342" s="8">
        <v>4.6296296296296294E-5</v>
      </c>
      <c r="S1342" s="5" t="s">
        <v>37</v>
      </c>
      <c r="T1342" t="str">
        <f>IF(Tabela1[[#This Row],[STATUS_NEGOCIO]]="Enviar E-mail",1,"")</f>
        <v/>
      </c>
      <c r="U1342" t="str">
        <f>TEXT(Tabela1[[#This Row],[DATA]],"dd/mm/aaaa")</f>
        <v>22/04/2026</v>
      </c>
    </row>
    <row r="1343" spans="1:21" x14ac:dyDescent="0.25">
      <c r="A1343" s="4">
        <v>46134.65965277778</v>
      </c>
      <c r="B1343" s="5" t="s">
        <v>19</v>
      </c>
      <c r="C1343" s="5" t="s">
        <v>37</v>
      </c>
      <c r="D1343" s="5">
        <v>219</v>
      </c>
      <c r="E1343" s="6">
        <v>18977285000180</v>
      </c>
      <c r="F1343" s="5">
        <v>219</v>
      </c>
      <c r="G1343" s="7">
        <v>177688379468171</v>
      </c>
      <c r="H1343" s="5" t="s">
        <v>420</v>
      </c>
      <c r="I1343" s="5">
        <v>3003</v>
      </c>
      <c r="J1343" s="5" t="s">
        <v>22</v>
      </c>
      <c r="K1343" s="5" t="s">
        <v>23</v>
      </c>
      <c r="L1343" s="5" t="s">
        <v>31</v>
      </c>
      <c r="M1343" s="5" t="s">
        <v>284</v>
      </c>
      <c r="N1343" s="5" t="s">
        <v>53</v>
      </c>
      <c r="O1343" s="5">
        <v>128</v>
      </c>
      <c r="P1343" s="5"/>
      <c r="Q1343" s="5"/>
      <c r="R1343" s="8">
        <v>8.1018518518518516E-5</v>
      </c>
      <c r="S1343" s="5" t="s">
        <v>37</v>
      </c>
      <c r="T1343" t="str">
        <f>IF(Tabela1[[#This Row],[STATUS_NEGOCIO]]="Enviar E-mail",1,"")</f>
        <v/>
      </c>
      <c r="U1343" t="str">
        <f>TEXT(Tabela1[[#This Row],[DATA]],"dd/mm/aaaa")</f>
        <v>22/04/2026</v>
      </c>
    </row>
    <row r="1344" spans="1:21" x14ac:dyDescent="0.25">
      <c r="A1344" s="4">
        <v>46134.659745370373</v>
      </c>
      <c r="B1344" s="5" t="s">
        <v>19</v>
      </c>
      <c r="C1344" s="5" t="s">
        <v>37</v>
      </c>
      <c r="D1344" s="5">
        <v>221</v>
      </c>
      <c r="E1344" s="6">
        <v>19047535000146</v>
      </c>
      <c r="F1344" s="5">
        <v>221</v>
      </c>
      <c r="G1344" s="7">
        <v>177688380268201</v>
      </c>
      <c r="H1344" s="5" t="s">
        <v>48</v>
      </c>
      <c r="I1344" s="5">
        <v>3003</v>
      </c>
      <c r="J1344" s="5" t="s">
        <v>22</v>
      </c>
      <c r="K1344" s="5" t="s">
        <v>23</v>
      </c>
      <c r="L1344" s="5" t="s">
        <v>31</v>
      </c>
      <c r="M1344" s="5" t="s">
        <v>284</v>
      </c>
      <c r="N1344" s="5" t="s">
        <v>53</v>
      </c>
      <c r="O1344" s="5">
        <v>128</v>
      </c>
      <c r="P1344" s="5"/>
      <c r="Q1344" s="5"/>
      <c r="R1344" s="8">
        <v>8.1018518518518516E-5</v>
      </c>
      <c r="S1344" s="5" t="s">
        <v>37</v>
      </c>
      <c r="T1344" t="str">
        <f>IF(Tabela1[[#This Row],[STATUS_NEGOCIO]]="Enviar E-mail",1,"")</f>
        <v/>
      </c>
      <c r="U1344" t="str">
        <f>TEXT(Tabela1[[#This Row],[DATA]],"dd/mm/aaaa")</f>
        <v>22/04/2026</v>
      </c>
    </row>
    <row r="1345" spans="1:21" x14ac:dyDescent="0.25">
      <c r="A1345" s="4">
        <v>46134.659768518519</v>
      </c>
      <c r="B1345" s="5" t="s">
        <v>19</v>
      </c>
      <c r="C1345" s="5" t="s">
        <v>37</v>
      </c>
      <c r="D1345" s="5">
        <v>223</v>
      </c>
      <c r="E1345" s="6">
        <v>19410510000165</v>
      </c>
      <c r="F1345" s="5">
        <v>223</v>
      </c>
      <c r="G1345" s="7">
        <v>177688380468211</v>
      </c>
      <c r="H1345" s="5" t="s">
        <v>422</v>
      </c>
      <c r="I1345" s="5">
        <v>3003</v>
      </c>
      <c r="J1345" s="5" t="s">
        <v>22</v>
      </c>
      <c r="K1345" s="5" t="s">
        <v>23</v>
      </c>
      <c r="L1345" s="5" t="s">
        <v>31</v>
      </c>
      <c r="M1345" s="5" t="s">
        <v>284</v>
      </c>
      <c r="N1345" s="5" t="s">
        <v>53</v>
      </c>
      <c r="O1345" s="5">
        <v>147</v>
      </c>
      <c r="P1345" s="5"/>
      <c r="Q1345" s="5"/>
      <c r="R1345" s="8">
        <v>8.1018518518518516E-5</v>
      </c>
      <c r="S1345" s="5" t="s">
        <v>37</v>
      </c>
      <c r="T1345" t="str">
        <f>IF(Tabela1[[#This Row],[STATUS_NEGOCIO]]="Enviar E-mail",1,"")</f>
        <v/>
      </c>
      <c r="U1345" t="str">
        <f>TEXT(Tabela1[[#This Row],[DATA]],"dd/mm/aaaa")</f>
        <v>22/04/2026</v>
      </c>
    </row>
    <row r="1346" spans="1:21" x14ac:dyDescent="0.25">
      <c r="A1346" s="4">
        <v>46134.659791666665</v>
      </c>
      <c r="B1346" s="5" t="s">
        <v>19</v>
      </c>
      <c r="C1346" s="5" t="s">
        <v>37</v>
      </c>
      <c r="D1346" s="5">
        <v>224</v>
      </c>
      <c r="E1346" s="6">
        <v>19420382000211</v>
      </c>
      <c r="F1346" s="5">
        <v>224</v>
      </c>
      <c r="G1346" s="7">
        <v>177688380668231</v>
      </c>
      <c r="H1346" s="5" t="s">
        <v>423</v>
      </c>
      <c r="I1346" s="5">
        <v>3003</v>
      </c>
      <c r="J1346" s="5" t="s">
        <v>22</v>
      </c>
      <c r="K1346" s="5" t="s">
        <v>23</v>
      </c>
      <c r="L1346" s="5" t="s">
        <v>31</v>
      </c>
      <c r="M1346" s="5" t="s">
        <v>284</v>
      </c>
      <c r="N1346" s="5" t="s">
        <v>53</v>
      </c>
      <c r="O1346" s="5">
        <v>128</v>
      </c>
      <c r="P1346" s="5"/>
      <c r="Q1346" s="5"/>
      <c r="R1346" s="8">
        <v>8.1018518518518516E-5</v>
      </c>
      <c r="S1346" s="5" t="s">
        <v>37</v>
      </c>
      <c r="T1346" t="str">
        <f>IF(Tabela1[[#This Row],[STATUS_NEGOCIO]]="Enviar E-mail",1,"")</f>
        <v/>
      </c>
      <c r="U1346" t="str">
        <f>TEXT(Tabela1[[#This Row],[DATA]],"dd/mm/aaaa")</f>
        <v>22/04/2026</v>
      </c>
    </row>
    <row r="1347" spans="1:21" x14ac:dyDescent="0.25">
      <c r="A1347" s="4">
        <v>46134.659849537034</v>
      </c>
      <c r="B1347" s="5" t="s">
        <v>19</v>
      </c>
      <c r="C1347" s="5" t="s">
        <v>37</v>
      </c>
      <c r="D1347" s="5">
        <v>226</v>
      </c>
      <c r="E1347" s="6">
        <v>19753199000157</v>
      </c>
      <c r="F1347" s="5">
        <v>226</v>
      </c>
      <c r="G1347" s="7">
        <v>177688381168251</v>
      </c>
      <c r="H1347" s="5" t="s">
        <v>424</v>
      </c>
      <c r="I1347" s="5">
        <v>3003</v>
      </c>
      <c r="J1347" s="5" t="s">
        <v>22</v>
      </c>
      <c r="K1347" s="5" t="s">
        <v>23</v>
      </c>
      <c r="L1347" s="5" t="s">
        <v>31</v>
      </c>
      <c r="M1347" s="5" t="s">
        <v>284</v>
      </c>
      <c r="N1347" s="5" t="s">
        <v>53</v>
      </c>
      <c r="O1347" s="5">
        <v>128</v>
      </c>
      <c r="P1347" s="5"/>
      <c r="Q1347" s="5"/>
      <c r="R1347" s="8">
        <v>6.9444444444444444E-5</v>
      </c>
      <c r="S1347" s="5" t="s">
        <v>37</v>
      </c>
      <c r="T1347" t="str">
        <f>IF(Tabela1[[#This Row],[STATUS_NEGOCIO]]="Enviar E-mail",1,"")</f>
        <v/>
      </c>
      <c r="U1347" t="str">
        <f>TEXT(Tabela1[[#This Row],[DATA]],"dd/mm/aaaa")</f>
        <v>22/04/2026</v>
      </c>
    </row>
    <row r="1348" spans="1:21" x14ac:dyDescent="0.25">
      <c r="A1348" s="4">
        <v>46134.659895833334</v>
      </c>
      <c r="B1348" s="5" t="s">
        <v>19</v>
      </c>
      <c r="C1348" s="5" t="s">
        <v>37</v>
      </c>
      <c r="D1348" s="5">
        <v>229</v>
      </c>
      <c r="E1348" s="6">
        <v>20045556000101</v>
      </c>
      <c r="F1348" s="5">
        <v>229</v>
      </c>
      <c r="G1348" s="7">
        <v>177688381568271</v>
      </c>
      <c r="H1348" s="5" t="s">
        <v>43</v>
      </c>
      <c r="I1348" s="5">
        <v>3003</v>
      </c>
      <c r="J1348" s="5" t="s">
        <v>22</v>
      </c>
      <c r="K1348" s="5" t="s">
        <v>23</v>
      </c>
      <c r="L1348" s="5" t="s">
        <v>31</v>
      </c>
      <c r="M1348" s="5" t="s">
        <v>284</v>
      </c>
      <c r="N1348" s="5" t="s">
        <v>53</v>
      </c>
      <c r="O1348" s="5">
        <v>128</v>
      </c>
      <c r="P1348" s="5"/>
      <c r="Q1348" s="5"/>
      <c r="R1348" s="8">
        <v>6.9444444444444444E-5</v>
      </c>
      <c r="S1348" s="5" t="s">
        <v>37</v>
      </c>
      <c r="T1348" t="str">
        <f>IF(Tabela1[[#This Row],[STATUS_NEGOCIO]]="Enviar E-mail",1,"")</f>
        <v/>
      </c>
      <c r="U1348" t="str">
        <f>TEXT(Tabela1[[#This Row],[DATA]],"dd/mm/aaaa")</f>
        <v>22/04/2026</v>
      </c>
    </row>
    <row r="1349" spans="1:21" x14ac:dyDescent="0.25">
      <c r="A1349" s="4">
        <v>46134.659918981481</v>
      </c>
      <c r="B1349" s="5" t="s">
        <v>19</v>
      </c>
      <c r="C1349" s="5" t="s">
        <v>37</v>
      </c>
      <c r="D1349" s="5">
        <v>230</v>
      </c>
      <c r="E1349" s="6">
        <v>20331303000102</v>
      </c>
      <c r="F1349" s="5">
        <v>230</v>
      </c>
      <c r="G1349" s="7">
        <v>177688381768291</v>
      </c>
      <c r="H1349" s="5" t="s">
        <v>237</v>
      </c>
      <c r="I1349" s="5">
        <v>3003</v>
      </c>
      <c r="J1349" s="5" t="s">
        <v>22</v>
      </c>
      <c r="K1349" s="5" t="s">
        <v>23</v>
      </c>
      <c r="L1349" s="5" t="s">
        <v>31</v>
      </c>
      <c r="M1349" s="5" t="s">
        <v>284</v>
      </c>
      <c r="N1349" s="5" t="s">
        <v>53</v>
      </c>
      <c r="O1349" s="5">
        <v>128</v>
      </c>
      <c r="P1349" s="5"/>
      <c r="Q1349" s="5"/>
      <c r="R1349" s="8">
        <v>8.1018518518518516E-5</v>
      </c>
      <c r="S1349" s="5" t="s">
        <v>37</v>
      </c>
      <c r="T1349" t="str">
        <f>IF(Tabela1[[#This Row],[STATUS_NEGOCIO]]="Enviar E-mail",1,"")</f>
        <v/>
      </c>
      <c r="U1349" t="str">
        <f>TEXT(Tabela1[[#This Row],[DATA]],"dd/mm/aaaa")</f>
        <v>22/04/2026</v>
      </c>
    </row>
    <row r="1350" spans="1:21" x14ac:dyDescent="0.25">
      <c r="A1350" s="4">
        <v>46134.659942129627</v>
      </c>
      <c r="B1350" s="5" t="s">
        <v>19</v>
      </c>
      <c r="C1350" s="5" t="s">
        <v>37</v>
      </c>
      <c r="D1350" s="5">
        <v>231</v>
      </c>
      <c r="E1350" s="6">
        <v>20415965000152</v>
      </c>
      <c r="F1350" s="5">
        <v>231</v>
      </c>
      <c r="G1350" s="7">
        <v>177688381968311</v>
      </c>
      <c r="H1350" s="5" t="s">
        <v>427</v>
      </c>
      <c r="I1350" s="5">
        <v>3003</v>
      </c>
      <c r="J1350" s="5" t="s">
        <v>22</v>
      </c>
      <c r="K1350" s="5" t="s">
        <v>23</v>
      </c>
      <c r="L1350" s="5" t="s">
        <v>31</v>
      </c>
      <c r="M1350" s="5" t="s">
        <v>284</v>
      </c>
      <c r="N1350" s="5" t="s">
        <v>53</v>
      </c>
      <c r="O1350" s="5">
        <v>128</v>
      </c>
      <c r="P1350" s="5"/>
      <c r="Q1350" s="5"/>
      <c r="R1350" s="8">
        <v>8.1018518518518516E-5</v>
      </c>
      <c r="S1350" s="5" t="s">
        <v>37</v>
      </c>
      <c r="T1350" t="str">
        <f>IF(Tabela1[[#This Row],[STATUS_NEGOCIO]]="Enviar E-mail",1,"")</f>
        <v/>
      </c>
      <c r="U1350" t="str">
        <f>TEXT(Tabela1[[#This Row],[DATA]],"dd/mm/aaaa")</f>
        <v>22/04/2026</v>
      </c>
    </row>
    <row r="1351" spans="1:21" x14ac:dyDescent="0.25">
      <c r="A1351" s="4">
        <v>46134.659988425927</v>
      </c>
      <c r="B1351" s="5" t="s">
        <v>19</v>
      </c>
      <c r="C1351" s="5" t="s">
        <v>37</v>
      </c>
      <c r="D1351" s="5">
        <v>232</v>
      </c>
      <c r="E1351" s="6">
        <v>20458968000173</v>
      </c>
      <c r="F1351" s="5">
        <v>232</v>
      </c>
      <c r="G1351" s="7">
        <v>177688382368331</v>
      </c>
      <c r="H1351" s="5" t="s">
        <v>133</v>
      </c>
      <c r="I1351" s="5">
        <v>3003</v>
      </c>
      <c r="J1351" s="5" t="s">
        <v>22</v>
      </c>
      <c r="K1351" s="5" t="s">
        <v>23</v>
      </c>
      <c r="L1351" s="5" t="s">
        <v>31</v>
      </c>
      <c r="M1351" s="5" t="s">
        <v>284</v>
      </c>
      <c r="N1351" s="5" t="s">
        <v>53</v>
      </c>
      <c r="O1351" s="5">
        <v>128</v>
      </c>
      <c r="P1351" s="5"/>
      <c r="Q1351" s="5"/>
      <c r="R1351" s="8">
        <v>8.1018518518518516E-5</v>
      </c>
      <c r="S1351" s="5" t="s">
        <v>37</v>
      </c>
      <c r="T1351" t="str">
        <f>IF(Tabela1[[#This Row],[STATUS_NEGOCIO]]="Enviar E-mail",1,"")</f>
        <v/>
      </c>
      <c r="U1351" t="str">
        <f>TEXT(Tabela1[[#This Row],[DATA]],"dd/mm/aaaa")</f>
        <v>22/04/2026</v>
      </c>
    </row>
    <row r="1352" spans="1:21" x14ac:dyDescent="0.25">
      <c r="A1352" s="4">
        <v>46134.660011574073</v>
      </c>
      <c r="B1352" s="5" t="s">
        <v>19</v>
      </c>
      <c r="C1352" s="5" t="s">
        <v>37</v>
      </c>
      <c r="D1352" s="5">
        <v>233</v>
      </c>
      <c r="E1352" s="6">
        <v>20458968000254</v>
      </c>
      <c r="F1352" s="5">
        <v>233</v>
      </c>
      <c r="G1352" s="7">
        <v>177688382568391</v>
      </c>
      <c r="H1352" s="5" t="s">
        <v>133</v>
      </c>
      <c r="I1352" s="5">
        <v>3003</v>
      </c>
      <c r="J1352" s="5" t="s">
        <v>22</v>
      </c>
      <c r="K1352" s="5" t="s">
        <v>23</v>
      </c>
      <c r="L1352" s="5" t="s">
        <v>31</v>
      </c>
      <c r="M1352" s="5" t="s">
        <v>284</v>
      </c>
      <c r="N1352" s="5" t="s">
        <v>53</v>
      </c>
      <c r="O1352" s="5">
        <v>147</v>
      </c>
      <c r="P1352" s="5"/>
      <c r="Q1352" s="5"/>
      <c r="R1352" s="8">
        <v>8.1018518518518516E-5</v>
      </c>
      <c r="S1352" s="5" t="s">
        <v>37</v>
      </c>
      <c r="T1352" t="str">
        <f>IF(Tabela1[[#This Row],[STATUS_NEGOCIO]]="Enviar E-mail",1,"")</f>
        <v/>
      </c>
      <c r="U1352" t="str">
        <f>TEXT(Tabela1[[#This Row],[DATA]],"dd/mm/aaaa")</f>
        <v>22/04/2026</v>
      </c>
    </row>
    <row r="1353" spans="1:21" x14ac:dyDescent="0.25">
      <c r="A1353" s="4">
        <v>46134.660034722219</v>
      </c>
      <c r="B1353" s="5" t="s">
        <v>19</v>
      </c>
      <c r="C1353" s="5" t="s">
        <v>37</v>
      </c>
      <c r="D1353" s="5">
        <v>234</v>
      </c>
      <c r="E1353" s="6">
        <v>20813461000190</v>
      </c>
      <c r="F1353" s="5">
        <v>234</v>
      </c>
      <c r="G1353" s="7">
        <v>177688382768411</v>
      </c>
      <c r="H1353" s="5" t="s">
        <v>428</v>
      </c>
      <c r="I1353" s="5">
        <v>3003</v>
      </c>
      <c r="J1353" s="5" t="s">
        <v>22</v>
      </c>
      <c r="K1353" s="5" t="s">
        <v>23</v>
      </c>
      <c r="L1353" s="5" t="s">
        <v>31</v>
      </c>
      <c r="M1353" s="5" t="s">
        <v>284</v>
      </c>
      <c r="N1353" s="5" t="s">
        <v>53</v>
      </c>
      <c r="O1353" s="5">
        <v>128</v>
      </c>
      <c r="P1353" s="5"/>
      <c r="Q1353" s="5"/>
      <c r="R1353" s="8">
        <v>8.1018518518518516E-5</v>
      </c>
      <c r="S1353" s="5" t="s">
        <v>37</v>
      </c>
      <c r="T1353" t="str">
        <f>IF(Tabela1[[#This Row],[STATUS_NEGOCIO]]="Enviar E-mail",1,"")</f>
        <v/>
      </c>
      <c r="U1353" t="str">
        <f>TEXT(Tabela1[[#This Row],[DATA]],"dd/mm/aaaa")</f>
        <v>22/04/2026</v>
      </c>
    </row>
    <row r="1354" spans="1:21" x14ac:dyDescent="0.25">
      <c r="A1354" s="4">
        <v>46134.660057870373</v>
      </c>
      <c r="B1354" s="5" t="s">
        <v>19</v>
      </c>
      <c r="C1354" s="5" t="s">
        <v>37</v>
      </c>
      <c r="D1354" s="5">
        <v>235</v>
      </c>
      <c r="E1354" s="6">
        <v>20816553000124</v>
      </c>
      <c r="F1354" s="5">
        <v>235</v>
      </c>
      <c r="G1354" s="7">
        <v>177688382968431</v>
      </c>
      <c r="H1354" s="5" t="s">
        <v>429</v>
      </c>
      <c r="I1354" s="5">
        <v>3003</v>
      </c>
      <c r="J1354" s="5" t="s">
        <v>22</v>
      </c>
      <c r="K1354" s="5" t="s">
        <v>23</v>
      </c>
      <c r="L1354" s="5" t="s">
        <v>31</v>
      </c>
      <c r="M1354" s="5" t="s">
        <v>284</v>
      </c>
      <c r="N1354" s="5" t="s">
        <v>53</v>
      </c>
      <c r="O1354" s="5">
        <v>128</v>
      </c>
      <c r="P1354" s="5"/>
      <c r="Q1354" s="5"/>
      <c r="R1354" s="8">
        <v>8.1018518518518516E-5</v>
      </c>
      <c r="S1354" s="5" t="s">
        <v>37</v>
      </c>
      <c r="T1354" t="str">
        <f>IF(Tabela1[[#This Row],[STATUS_NEGOCIO]]="Enviar E-mail",1,"")</f>
        <v/>
      </c>
      <c r="U1354" t="str">
        <f>TEXT(Tabela1[[#This Row],[DATA]],"dd/mm/aaaa")</f>
        <v>22/04/2026</v>
      </c>
    </row>
    <row r="1355" spans="1:21" x14ac:dyDescent="0.25">
      <c r="A1355" s="4">
        <v>46134.660115740742</v>
      </c>
      <c r="B1355" s="5" t="s">
        <v>19</v>
      </c>
      <c r="C1355" s="5" t="s">
        <v>37</v>
      </c>
      <c r="D1355" s="5">
        <v>236</v>
      </c>
      <c r="E1355" s="6">
        <v>20843735000194</v>
      </c>
      <c r="F1355" s="5">
        <v>236</v>
      </c>
      <c r="G1355" s="7">
        <v>177688383468511</v>
      </c>
      <c r="H1355" s="5" t="s">
        <v>430</v>
      </c>
      <c r="I1355" s="5" t="s">
        <v>52</v>
      </c>
      <c r="J1355" s="5" t="s">
        <v>22</v>
      </c>
      <c r="K1355" s="5" t="s">
        <v>36</v>
      </c>
      <c r="L1355" s="5" t="s">
        <v>36</v>
      </c>
      <c r="M1355" s="5" t="s">
        <v>284</v>
      </c>
      <c r="N1355" s="5" t="s">
        <v>53</v>
      </c>
      <c r="O1355" s="5">
        <v>1</v>
      </c>
      <c r="P1355" s="5"/>
      <c r="Q1355" s="5"/>
      <c r="R1355" s="8">
        <v>0</v>
      </c>
      <c r="S1355" s="5" t="s">
        <v>37</v>
      </c>
      <c r="T1355" t="str">
        <f>IF(Tabela1[[#This Row],[STATUS_NEGOCIO]]="Enviar E-mail",1,"")</f>
        <v/>
      </c>
      <c r="U1355" t="str">
        <f>TEXT(Tabela1[[#This Row],[DATA]],"dd/mm/aaaa")</f>
        <v>22/04/2026</v>
      </c>
    </row>
    <row r="1356" spans="1:21" x14ac:dyDescent="0.25">
      <c r="A1356" s="4">
        <v>46134.660127314812</v>
      </c>
      <c r="B1356" s="5" t="s">
        <v>19</v>
      </c>
      <c r="C1356" s="5" t="s">
        <v>20</v>
      </c>
      <c r="D1356" s="5">
        <v>237</v>
      </c>
      <c r="E1356" s="6">
        <v>20920341000192</v>
      </c>
      <c r="F1356" s="5">
        <v>237</v>
      </c>
      <c r="G1356" s="7">
        <v>177688383568521</v>
      </c>
      <c r="H1356" s="5" t="s">
        <v>143</v>
      </c>
      <c r="I1356" s="5">
        <v>3003</v>
      </c>
      <c r="J1356" s="5" t="s">
        <v>22</v>
      </c>
      <c r="K1356" s="5" t="s">
        <v>23</v>
      </c>
      <c r="L1356" s="5" t="s">
        <v>40</v>
      </c>
      <c r="M1356" s="5" t="s">
        <v>284</v>
      </c>
      <c r="N1356" s="5" t="s">
        <v>26</v>
      </c>
      <c r="O1356" s="5">
        <v>16</v>
      </c>
      <c r="P1356" s="5"/>
      <c r="Q1356" s="5"/>
      <c r="R1356" s="8">
        <v>2.5578703703703705E-3</v>
      </c>
      <c r="S1356" s="8">
        <v>2.5231481481481481E-3</v>
      </c>
      <c r="T1356">
        <f>IF(Tabela1[[#This Row],[STATUS_NEGOCIO]]="Enviar E-mail",1,"")</f>
        <v>1</v>
      </c>
      <c r="U1356" t="str">
        <f>TEXT(Tabela1[[#This Row],[DATA]],"dd/mm/aaaa")</f>
        <v>22/04/2026</v>
      </c>
    </row>
    <row r="1357" spans="1:21" x14ac:dyDescent="0.25">
      <c r="A1357" s="4">
        <v>46134.660138888888</v>
      </c>
      <c r="B1357" s="5" t="s">
        <v>19</v>
      </c>
      <c r="C1357" s="5" t="s">
        <v>37</v>
      </c>
      <c r="D1357" s="5">
        <v>240</v>
      </c>
      <c r="E1357" s="6">
        <v>21108715000132</v>
      </c>
      <c r="F1357" s="5">
        <v>240</v>
      </c>
      <c r="G1357" s="7">
        <v>177688383668541</v>
      </c>
      <c r="H1357" s="5" t="s">
        <v>432</v>
      </c>
      <c r="I1357" s="5" t="s">
        <v>52</v>
      </c>
      <c r="J1357" s="5" t="s">
        <v>22</v>
      </c>
      <c r="K1357" s="5" t="s">
        <v>36</v>
      </c>
      <c r="L1357" s="5" t="s">
        <v>36</v>
      </c>
      <c r="M1357" s="5" t="s">
        <v>284</v>
      </c>
      <c r="N1357" s="5" t="s">
        <v>53</v>
      </c>
      <c r="O1357" s="5">
        <v>34</v>
      </c>
      <c r="P1357" s="5"/>
      <c r="Q1357" s="5"/>
      <c r="R1357" s="8">
        <v>0</v>
      </c>
      <c r="S1357" s="5" t="s">
        <v>37</v>
      </c>
      <c r="T1357" t="str">
        <f>IF(Tabela1[[#This Row],[STATUS_NEGOCIO]]="Enviar E-mail",1,"")</f>
        <v/>
      </c>
      <c r="U1357" t="str">
        <f>TEXT(Tabela1[[#This Row],[DATA]],"dd/mm/aaaa")</f>
        <v>22/04/2026</v>
      </c>
    </row>
    <row r="1358" spans="1:21" x14ac:dyDescent="0.25">
      <c r="A1358" s="4">
        <v>46134.660219907404</v>
      </c>
      <c r="B1358" s="5" t="s">
        <v>19</v>
      </c>
      <c r="C1358" s="5" t="s">
        <v>37</v>
      </c>
      <c r="D1358" s="5">
        <v>241</v>
      </c>
      <c r="E1358" s="6">
        <v>21147409000105</v>
      </c>
      <c r="F1358" s="5">
        <v>241</v>
      </c>
      <c r="G1358" s="7">
        <v>177688384368561</v>
      </c>
      <c r="H1358" s="5" t="s">
        <v>433</v>
      </c>
      <c r="I1358" s="5">
        <v>3003</v>
      </c>
      <c r="J1358" s="5" t="s">
        <v>22</v>
      </c>
      <c r="K1358" s="5" t="s">
        <v>23</v>
      </c>
      <c r="L1358" s="5" t="s">
        <v>31</v>
      </c>
      <c r="M1358" s="5" t="s">
        <v>284</v>
      </c>
      <c r="N1358" s="5" t="s">
        <v>53</v>
      </c>
      <c r="O1358" s="5">
        <v>128</v>
      </c>
      <c r="P1358" s="5"/>
      <c r="Q1358" s="5"/>
      <c r="R1358" s="8">
        <v>8.1018518518518516E-5</v>
      </c>
      <c r="S1358" s="5" t="s">
        <v>37</v>
      </c>
      <c r="T1358" t="str">
        <f>IF(Tabela1[[#This Row],[STATUS_NEGOCIO]]="Enviar E-mail",1,"")</f>
        <v/>
      </c>
      <c r="U1358" t="str">
        <f>TEXT(Tabela1[[#This Row],[DATA]],"dd/mm/aaaa")</f>
        <v>22/04/2026</v>
      </c>
    </row>
    <row r="1359" spans="1:21" x14ac:dyDescent="0.25">
      <c r="A1359" s="4">
        <v>46134.660254629627</v>
      </c>
      <c r="B1359" s="5" t="s">
        <v>19</v>
      </c>
      <c r="C1359" s="5" t="s">
        <v>37</v>
      </c>
      <c r="D1359" s="5">
        <v>242</v>
      </c>
      <c r="E1359" s="6">
        <v>21466995000150</v>
      </c>
      <c r="F1359" s="5">
        <v>242</v>
      </c>
      <c r="G1359" s="7">
        <v>177688384668591</v>
      </c>
      <c r="H1359" s="5" t="s">
        <v>434</v>
      </c>
      <c r="I1359" s="5">
        <v>3003</v>
      </c>
      <c r="J1359" s="5" t="s">
        <v>22</v>
      </c>
      <c r="K1359" s="5" t="s">
        <v>23</v>
      </c>
      <c r="L1359" s="5" t="s">
        <v>31</v>
      </c>
      <c r="M1359" s="5" t="s">
        <v>284</v>
      </c>
      <c r="N1359" s="5" t="s">
        <v>53</v>
      </c>
      <c r="O1359" s="5">
        <v>128</v>
      </c>
      <c r="P1359" s="5"/>
      <c r="Q1359" s="5"/>
      <c r="R1359" s="8">
        <v>8.1018518518518516E-5</v>
      </c>
      <c r="S1359" s="5" t="s">
        <v>37</v>
      </c>
      <c r="T1359" t="str">
        <f>IF(Tabela1[[#This Row],[STATUS_NEGOCIO]]="Enviar E-mail",1,"")</f>
        <v/>
      </c>
      <c r="U1359" t="str">
        <f>TEXT(Tabela1[[#This Row],[DATA]],"dd/mm/aaaa")</f>
        <v>22/04/2026</v>
      </c>
    </row>
    <row r="1360" spans="1:21" x14ac:dyDescent="0.25">
      <c r="A1360" s="4">
        <v>46134.66034722222</v>
      </c>
      <c r="B1360" s="5" t="s">
        <v>19</v>
      </c>
      <c r="C1360" s="5" t="s">
        <v>37</v>
      </c>
      <c r="D1360" s="5">
        <v>243</v>
      </c>
      <c r="E1360" s="6">
        <v>21511926000111</v>
      </c>
      <c r="F1360" s="5">
        <v>243</v>
      </c>
      <c r="G1360" s="7">
        <v>177688385468671</v>
      </c>
      <c r="H1360" s="5" t="s">
        <v>122</v>
      </c>
      <c r="I1360" s="5">
        <v>3003</v>
      </c>
      <c r="J1360" s="5" t="s">
        <v>22</v>
      </c>
      <c r="K1360" s="5" t="s">
        <v>23</v>
      </c>
      <c r="L1360" s="5" t="s">
        <v>31</v>
      </c>
      <c r="M1360" s="5" t="s">
        <v>284</v>
      </c>
      <c r="N1360" s="5" t="s">
        <v>53</v>
      </c>
      <c r="O1360" s="5">
        <v>128</v>
      </c>
      <c r="P1360" s="5"/>
      <c r="Q1360" s="5"/>
      <c r="R1360" s="8">
        <v>8.1018518518518516E-5</v>
      </c>
      <c r="S1360" s="5" t="s">
        <v>37</v>
      </c>
      <c r="T1360" t="str">
        <f>IF(Tabela1[[#This Row],[STATUS_NEGOCIO]]="Enviar E-mail",1,"")</f>
        <v/>
      </c>
      <c r="U1360" t="str">
        <f>TEXT(Tabela1[[#This Row],[DATA]],"dd/mm/aaaa")</f>
        <v>22/04/2026</v>
      </c>
    </row>
    <row r="1361" spans="1:21" x14ac:dyDescent="0.25">
      <c r="A1361" s="4">
        <v>46134.660358796296</v>
      </c>
      <c r="B1361" s="5" t="s">
        <v>19</v>
      </c>
      <c r="C1361" s="5" t="s">
        <v>27</v>
      </c>
      <c r="D1361" s="5">
        <v>244</v>
      </c>
      <c r="E1361" s="6">
        <v>21536041000177</v>
      </c>
      <c r="F1361" s="5">
        <v>244</v>
      </c>
      <c r="G1361" s="7">
        <v>177688385568691</v>
      </c>
      <c r="H1361" s="5" t="s">
        <v>435</v>
      </c>
      <c r="I1361" s="5">
        <v>3003</v>
      </c>
      <c r="J1361" s="5" t="s">
        <v>22</v>
      </c>
      <c r="K1361" s="5" t="s">
        <v>23</v>
      </c>
      <c r="L1361" s="5" t="s">
        <v>40</v>
      </c>
      <c r="M1361" s="5" t="s">
        <v>284</v>
      </c>
      <c r="N1361" s="5" t="s">
        <v>26</v>
      </c>
      <c r="O1361" s="5">
        <v>16</v>
      </c>
      <c r="P1361" s="5"/>
      <c r="Q1361" s="5"/>
      <c r="R1361" s="8">
        <v>2.5115740740740741E-3</v>
      </c>
      <c r="S1361" s="8">
        <v>2.4652777777777776E-3</v>
      </c>
      <c r="T1361">
        <f>IF(Tabela1[[#This Row],[STATUS_NEGOCIO]]="Enviar E-mail",1,"")</f>
        <v>1</v>
      </c>
      <c r="U1361" t="str">
        <f>TEXT(Tabela1[[#This Row],[DATA]],"dd/mm/aaaa")</f>
        <v>22/04/2026</v>
      </c>
    </row>
    <row r="1362" spans="1:21" x14ac:dyDescent="0.25">
      <c r="A1362" s="4">
        <v>46134.660393518519</v>
      </c>
      <c r="B1362" s="5" t="s">
        <v>19</v>
      </c>
      <c r="C1362" s="5" t="s">
        <v>37</v>
      </c>
      <c r="D1362" s="5">
        <v>246</v>
      </c>
      <c r="E1362" s="6">
        <v>21918143000157</v>
      </c>
      <c r="F1362" s="5">
        <v>246</v>
      </c>
      <c r="G1362" s="7">
        <v>177688385868711</v>
      </c>
      <c r="H1362" s="5" t="s">
        <v>361</v>
      </c>
      <c r="I1362" s="5">
        <v>3003</v>
      </c>
      <c r="J1362" s="5" t="s">
        <v>22</v>
      </c>
      <c r="K1362" s="5" t="s">
        <v>23</v>
      </c>
      <c r="L1362" s="5" t="s">
        <v>31</v>
      </c>
      <c r="M1362" s="5" t="s">
        <v>284</v>
      </c>
      <c r="N1362" s="5" t="s">
        <v>53</v>
      </c>
      <c r="O1362" s="5">
        <v>128</v>
      </c>
      <c r="P1362" s="5"/>
      <c r="Q1362" s="5"/>
      <c r="R1362" s="8">
        <v>8.1018518518518516E-5</v>
      </c>
      <c r="S1362" s="5" t="s">
        <v>37</v>
      </c>
      <c r="T1362" t="str">
        <f>IF(Tabela1[[#This Row],[STATUS_NEGOCIO]]="Enviar E-mail",1,"")</f>
        <v/>
      </c>
      <c r="U1362" t="str">
        <f>TEXT(Tabela1[[#This Row],[DATA]],"dd/mm/aaaa")</f>
        <v>22/04/2026</v>
      </c>
    </row>
    <row r="1363" spans="1:21" x14ac:dyDescent="0.25">
      <c r="A1363" s="4">
        <v>46134.660428240742</v>
      </c>
      <c r="B1363" s="5" t="s">
        <v>19</v>
      </c>
      <c r="C1363" s="5" t="s">
        <v>37</v>
      </c>
      <c r="D1363" s="5">
        <v>247</v>
      </c>
      <c r="E1363" s="6">
        <v>21934634000191</v>
      </c>
      <c r="F1363" s="5">
        <v>247</v>
      </c>
      <c r="G1363" s="7">
        <v>177688386168731</v>
      </c>
      <c r="H1363" s="5" t="s">
        <v>436</v>
      </c>
      <c r="I1363" s="5">
        <v>3003</v>
      </c>
      <c r="J1363" s="5" t="s">
        <v>22</v>
      </c>
      <c r="K1363" s="5" t="s">
        <v>23</v>
      </c>
      <c r="L1363" s="5" t="s">
        <v>31</v>
      </c>
      <c r="M1363" s="5" t="s">
        <v>284</v>
      </c>
      <c r="N1363" s="5" t="s">
        <v>53</v>
      </c>
      <c r="O1363" s="5">
        <v>131</v>
      </c>
      <c r="P1363" s="5"/>
      <c r="Q1363" s="5"/>
      <c r="R1363" s="8">
        <v>2.3148148148148147E-5</v>
      </c>
      <c r="S1363" s="5" t="s">
        <v>37</v>
      </c>
      <c r="T1363" t="str">
        <f>IF(Tabela1[[#This Row],[STATUS_NEGOCIO]]="Enviar E-mail",1,"")</f>
        <v/>
      </c>
      <c r="U1363" t="str">
        <f>TEXT(Tabela1[[#This Row],[DATA]],"dd/mm/aaaa")</f>
        <v>22/04/2026</v>
      </c>
    </row>
    <row r="1364" spans="1:21" x14ac:dyDescent="0.25">
      <c r="A1364" s="4">
        <v>46134.660439814812</v>
      </c>
      <c r="B1364" s="5" t="s">
        <v>19</v>
      </c>
      <c r="C1364" s="5" t="s">
        <v>37</v>
      </c>
      <c r="D1364" s="5">
        <v>248</v>
      </c>
      <c r="E1364" s="6">
        <v>22122960000167</v>
      </c>
      <c r="F1364" s="5">
        <v>248</v>
      </c>
      <c r="G1364" s="7">
        <v>177688386268751</v>
      </c>
      <c r="H1364" s="5" t="s">
        <v>437</v>
      </c>
      <c r="I1364" s="5">
        <v>3003</v>
      </c>
      <c r="J1364" s="5" t="s">
        <v>22</v>
      </c>
      <c r="K1364" s="5" t="s">
        <v>23</v>
      </c>
      <c r="L1364" s="5" t="s">
        <v>31</v>
      </c>
      <c r="M1364" s="5" t="s">
        <v>284</v>
      </c>
      <c r="N1364" s="5" t="s">
        <v>53</v>
      </c>
      <c r="O1364" s="5">
        <v>128</v>
      </c>
      <c r="P1364" s="5"/>
      <c r="Q1364" s="5"/>
      <c r="R1364" s="8">
        <v>8.1018518518518516E-5</v>
      </c>
      <c r="S1364" s="5" t="s">
        <v>37</v>
      </c>
      <c r="T1364" t="str">
        <f>IF(Tabela1[[#This Row],[STATUS_NEGOCIO]]="Enviar E-mail",1,"")</f>
        <v/>
      </c>
      <c r="U1364" t="str">
        <f>TEXT(Tabela1[[#This Row],[DATA]],"dd/mm/aaaa")</f>
        <v>22/04/2026</v>
      </c>
    </row>
    <row r="1365" spans="1:21" x14ac:dyDescent="0.25">
      <c r="A1365" s="4">
        <v>46134.660462962966</v>
      </c>
      <c r="B1365" s="5" t="s">
        <v>19</v>
      </c>
      <c r="C1365" s="5" t="s">
        <v>37</v>
      </c>
      <c r="D1365" s="5">
        <v>249</v>
      </c>
      <c r="E1365" s="6">
        <v>22213087000118</v>
      </c>
      <c r="F1365" s="5">
        <v>249</v>
      </c>
      <c r="G1365" s="7">
        <v>177688386468771</v>
      </c>
      <c r="H1365" s="5" t="s">
        <v>438</v>
      </c>
      <c r="I1365" s="5">
        <v>3003</v>
      </c>
      <c r="J1365" s="5" t="s">
        <v>22</v>
      </c>
      <c r="K1365" s="5" t="s">
        <v>23</v>
      </c>
      <c r="L1365" s="5" t="s">
        <v>31</v>
      </c>
      <c r="M1365" s="5" t="s">
        <v>284</v>
      </c>
      <c r="N1365" s="5" t="s">
        <v>53</v>
      </c>
      <c r="O1365" s="5">
        <v>128</v>
      </c>
      <c r="P1365" s="5"/>
      <c r="Q1365" s="5"/>
      <c r="R1365" s="8">
        <v>8.1018518518518516E-5</v>
      </c>
      <c r="S1365" s="5" t="s">
        <v>37</v>
      </c>
      <c r="T1365" t="str">
        <f>IF(Tabela1[[#This Row],[STATUS_NEGOCIO]]="Enviar E-mail",1,"")</f>
        <v/>
      </c>
      <c r="U1365" t="str">
        <f>TEXT(Tabela1[[#This Row],[DATA]],"dd/mm/aaaa")</f>
        <v>22/04/2026</v>
      </c>
    </row>
    <row r="1366" spans="1:21" x14ac:dyDescent="0.25">
      <c r="A1366" s="4">
        <v>46134.660509259258</v>
      </c>
      <c r="B1366" s="5" t="s">
        <v>19</v>
      </c>
      <c r="C1366" s="5" t="s">
        <v>37</v>
      </c>
      <c r="D1366" s="5">
        <v>252</v>
      </c>
      <c r="E1366" s="6">
        <v>22843195000174</v>
      </c>
      <c r="F1366" s="5">
        <v>252</v>
      </c>
      <c r="G1366" s="7">
        <v>177688386868801</v>
      </c>
      <c r="H1366" s="5" t="s">
        <v>160</v>
      </c>
      <c r="I1366" s="5">
        <v>3003</v>
      </c>
      <c r="J1366" s="5" t="s">
        <v>22</v>
      </c>
      <c r="K1366" s="5" t="s">
        <v>23</v>
      </c>
      <c r="L1366" s="5" t="s">
        <v>31</v>
      </c>
      <c r="M1366" s="5" t="s">
        <v>284</v>
      </c>
      <c r="N1366" s="5" t="s">
        <v>53</v>
      </c>
      <c r="O1366" s="5">
        <v>128</v>
      </c>
      <c r="P1366" s="5"/>
      <c r="Q1366" s="5"/>
      <c r="R1366" s="8">
        <v>6.9444444444444444E-5</v>
      </c>
      <c r="S1366" s="5" t="s">
        <v>37</v>
      </c>
      <c r="T1366" t="str">
        <f>IF(Tabela1[[#This Row],[STATUS_NEGOCIO]]="Enviar E-mail",1,"")</f>
        <v/>
      </c>
      <c r="U1366" t="str">
        <f>TEXT(Tabela1[[#This Row],[DATA]],"dd/mm/aaaa")</f>
        <v>22/04/2026</v>
      </c>
    </row>
    <row r="1367" spans="1:21" x14ac:dyDescent="0.25">
      <c r="A1367" s="4">
        <v>46134.660520833335</v>
      </c>
      <c r="B1367" s="5" t="s">
        <v>19</v>
      </c>
      <c r="C1367" s="5" t="s">
        <v>37</v>
      </c>
      <c r="D1367" s="5">
        <v>254</v>
      </c>
      <c r="E1367" s="6">
        <v>23054134000190</v>
      </c>
      <c r="F1367" s="5">
        <v>254</v>
      </c>
      <c r="G1367" s="7">
        <v>177688386968811</v>
      </c>
      <c r="H1367" s="5" t="s">
        <v>441</v>
      </c>
      <c r="I1367" s="5">
        <v>3003</v>
      </c>
      <c r="J1367" s="5" t="s">
        <v>22</v>
      </c>
      <c r="K1367" s="5" t="s">
        <v>23</v>
      </c>
      <c r="L1367" s="5" t="s">
        <v>31</v>
      </c>
      <c r="M1367" s="5" t="s">
        <v>284</v>
      </c>
      <c r="N1367" s="5" t="s">
        <v>53</v>
      </c>
      <c r="O1367" s="5">
        <v>128</v>
      </c>
      <c r="P1367" s="5"/>
      <c r="Q1367" s="5"/>
      <c r="R1367" s="8">
        <v>8.1018518518518516E-5</v>
      </c>
      <c r="S1367" s="5" t="s">
        <v>37</v>
      </c>
      <c r="T1367" t="str">
        <f>IF(Tabela1[[#This Row],[STATUS_NEGOCIO]]="Enviar E-mail",1,"")</f>
        <v/>
      </c>
      <c r="U1367" t="str">
        <f>TEXT(Tabela1[[#This Row],[DATA]],"dd/mm/aaaa")</f>
        <v>22/04/2026</v>
      </c>
    </row>
    <row r="1368" spans="1:21" x14ac:dyDescent="0.25">
      <c r="A1368" s="4">
        <v>46134.660532407404</v>
      </c>
      <c r="B1368" s="5" t="s">
        <v>19</v>
      </c>
      <c r="C1368" s="5" t="s">
        <v>37</v>
      </c>
      <c r="D1368" s="5">
        <v>255</v>
      </c>
      <c r="E1368" s="6">
        <v>23108884000106</v>
      </c>
      <c r="F1368" s="5">
        <v>255</v>
      </c>
      <c r="G1368" s="7">
        <v>177688387068831</v>
      </c>
      <c r="H1368" s="5" t="s">
        <v>442</v>
      </c>
      <c r="I1368" s="5">
        <v>3003</v>
      </c>
      <c r="J1368" s="5" t="s">
        <v>22</v>
      </c>
      <c r="K1368" s="5" t="s">
        <v>23</v>
      </c>
      <c r="L1368" s="5" t="s">
        <v>31</v>
      </c>
      <c r="M1368" s="5" t="s">
        <v>284</v>
      </c>
      <c r="N1368" s="5" t="s">
        <v>53</v>
      </c>
      <c r="O1368" s="5">
        <v>128</v>
      </c>
      <c r="P1368" s="5"/>
      <c r="Q1368" s="5"/>
      <c r="R1368" s="8">
        <v>6.9444444444444444E-5</v>
      </c>
      <c r="S1368" s="5" t="s">
        <v>37</v>
      </c>
      <c r="T1368" t="str">
        <f>IF(Tabela1[[#This Row],[STATUS_NEGOCIO]]="Enviar E-mail",1,"")</f>
        <v/>
      </c>
      <c r="U1368" t="str">
        <f>TEXT(Tabela1[[#This Row],[DATA]],"dd/mm/aaaa")</f>
        <v>22/04/2026</v>
      </c>
    </row>
    <row r="1369" spans="1:21" x14ac:dyDescent="0.25">
      <c r="A1369" s="4">
        <v>46134.660590277781</v>
      </c>
      <c r="B1369" s="5" t="s">
        <v>19</v>
      </c>
      <c r="C1369" s="5" t="s">
        <v>37</v>
      </c>
      <c r="D1369" s="5">
        <v>256</v>
      </c>
      <c r="E1369" s="6">
        <v>23277156000110</v>
      </c>
      <c r="F1369" s="5">
        <v>256</v>
      </c>
      <c r="G1369" s="7">
        <v>177688387568971</v>
      </c>
      <c r="H1369" s="5" t="s">
        <v>443</v>
      </c>
      <c r="I1369" s="5">
        <v>3003</v>
      </c>
      <c r="J1369" s="5" t="s">
        <v>22</v>
      </c>
      <c r="K1369" s="5" t="s">
        <v>23</v>
      </c>
      <c r="L1369" s="5" t="s">
        <v>31</v>
      </c>
      <c r="M1369" s="5" t="s">
        <v>284</v>
      </c>
      <c r="N1369" s="5" t="s">
        <v>53</v>
      </c>
      <c r="O1369" s="5">
        <v>128</v>
      </c>
      <c r="P1369" s="5"/>
      <c r="Q1369" s="5"/>
      <c r="R1369" s="8">
        <v>8.1018518518518516E-5</v>
      </c>
      <c r="S1369" s="5" t="s">
        <v>37</v>
      </c>
      <c r="T1369" t="str">
        <f>IF(Tabela1[[#This Row],[STATUS_NEGOCIO]]="Enviar E-mail",1,"")</f>
        <v/>
      </c>
      <c r="U1369" t="str">
        <f>TEXT(Tabela1[[#This Row],[DATA]],"dd/mm/aaaa")</f>
        <v>22/04/2026</v>
      </c>
    </row>
    <row r="1370" spans="1:21" x14ac:dyDescent="0.25">
      <c r="A1370" s="4">
        <v>46134.66064814815</v>
      </c>
      <c r="B1370" s="5" t="s">
        <v>19</v>
      </c>
      <c r="C1370" s="5" t="s">
        <v>37</v>
      </c>
      <c r="D1370" s="5">
        <v>258</v>
      </c>
      <c r="E1370" s="6">
        <v>23391798000145</v>
      </c>
      <c r="F1370" s="5">
        <v>258</v>
      </c>
      <c r="G1370" s="7">
        <v>177688388068991</v>
      </c>
      <c r="H1370" s="5" t="s">
        <v>221</v>
      </c>
      <c r="I1370" s="5">
        <v>3003</v>
      </c>
      <c r="J1370" s="5" t="s">
        <v>22</v>
      </c>
      <c r="K1370" s="5" t="s">
        <v>23</v>
      </c>
      <c r="L1370" s="5" t="s">
        <v>31</v>
      </c>
      <c r="M1370" s="5" t="s">
        <v>284</v>
      </c>
      <c r="N1370" s="5" t="s">
        <v>53</v>
      </c>
      <c r="O1370" s="5">
        <v>131</v>
      </c>
      <c r="P1370" s="5"/>
      <c r="Q1370" s="5"/>
      <c r="R1370" s="8">
        <v>0</v>
      </c>
      <c r="S1370" s="5" t="s">
        <v>37</v>
      </c>
      <c r="T1370" t="str">
        <f>IF(Tabela1[[#This Row],[STATUS_NEGOCIO]]="Enviar E-mail",1,"")</f>
        <v/>
      </c>
      <c r="U1370" t="str">
        <f>TEXT(Tabela1[[#This Row],[DATA]],"dd/mm/aaaa")</f>
        <v>22/04/2026</v>
      </c>
    </row>
    <row r="1371" spans="1:21" x14ac:dyDescent="0.25">
      <c r="A1371" s="4">
        <v>46134.660717592589</v>
      </c>
      <c r="B1371" s="5" t="s">
        <v>19</v>
      </c>
      <c r="C1371" s="5" t="s">
        <v>37</v>
      </c>
      <c r="D1371" s="5">
        <v>259</v>
      </c>
      <c r="E1371" s="6">
        <v>23628802000146</v>
      </c>
      <c r="F1371" s="5">
        <v>259</v>
      </c>
      <c r="G1371" s="7">
        <v>177688388669021</v>
      </c>
      <c r="H1371" s="5" t="s">
        <v>245</v>
      </c>
      <c r="I1371" s="5">
        <v>3003</v>
      </c>
      <c r="J1371" s="5" t="s">
        <v>22</v>
      </c>
      <c r="K1371" s="5" t="s">
        <v>23</v>
      </c>
      <c r="L1371" s="5" t="s">
        <v>31</v>
      </c>
      <c r="M1371" s="5" t="s">
        <v>284</v>
      </c>
      <c r="N1371" s="5" t="s">
        <v>53</v>
      </c>
      <c r="O1371" s="5">
        <v>128</v>
      </c>
      <c r="P1371" s="5"/>
      <c r="Q1371" s="5"/>
      <c r="R1371" s="8">
        <v>6.9444444444444444E-5</v>
      </c>
      <c r="S1371" s="5" t="s">
        <v>37</v>
      </c>
      <c r="T1371" t="str">
        <f>IF(Tabela1[[#This Row],[STATUS_NEGOCIO]]="Enviar E-mail",1,"")</f>
        <v/>
      </c>
      <c r="U1371" t="str">
        <f>TEXT(Tabela1[[#This Row],[DATA]],"dd/mm/aaaa")</f>
        <v>22/04/2026</v>
      </c>
    </row>
    <row r="1372" spans="1:21" x14ac:dyDescent="0.25">
      <c r="A1372" s="4">
        <v>46134.660821759258</v>
      </c>
      <c r="B1372" s="5" t="s">
        <v>19</v>
      </c>
      <c r="C1372" s="5" t="s">
        <v>37</v>
      </c>
      <c r="D1372" s="5">
        <v>260</v>
      </c>
      <c r="E1372" s="6">
        <v>23836838000115</v>
      </c>
      <c r="F1372" s="5">
        <v>260</v>
      </c>
      <c r="G1372" s="7">
        <v>177688389569041</v>
      </c>
      <c r="H1372" s="5" t="s">
        <v>164</v>
      </c>
      <c r="I1372" s="5">
        <v>3003</v>
      </c>
      <c r="J1372" s="5" t="s">
        <v>22</v>
      </c>
      <c r="K1372" s="5" t="s">
        <v>23</v>
      </c>
      <c r="L1372" s="5" t="s">
        <v>31</v>
      </c>
      <c r="M1372" s="5" t="s">
        <v>284</v>
      </c>
      <c r="N1372" s="5" t="s">
        <v>53</v>
      </c>
      <c r="O1372" s="5">
        <v>128</v>
      </c>
      <c r="P1372" s="5"/>
      <c r="Q1372" s="5"/>
      <c r="R1372" s="8">
        <v>8.1018518518518516E-5</v>
      </c>
      <c r="S1372" s="5" t="s">
        <v>37</v>
      </c>
      <c r="T1372" t="str">
        <f>IF(Tabela1[[#This Row],[STATUS_NEGOCIO]]="Enviar E-mail",1,"")</f>
        <v/>
      </c>
      <c r="U1372" t="str">
        <f>TEXT(Tabela1[[#This Row],[DATA]],"dd/mm/aaaa")</f>
        <v>22/04/2026</v>
      </c>
    </row>
    <row r="1373" spans="1:21" x14ac:dyDescent="0.25">
      <c r="A1373" s="4">
        <v>46134.660902777781</v>
      </c>
      <c r="B1373" s="5" t="s">
        <v>19</v>
      </c>
      <c r="C1373" s="5" t="s">
        <v>37</v>
      </c>
      <c r="D1373" s="5">
        <v>261</v>
      </c>
      <c r="E1373" s="6">
        <v>23884500000139</v>
      </c>
      <c r="F1373" s="5">
        <v>261</v>
      </c>
      <c r="G1373" s="7">
        <v>177688390269071</v>
      </c>
      <c r="H1373" s="5" t="s">
        <v>47</v>
      </c>
      <c r="I1373" s="5">
        <v>3003</v>
      </c>
      <c r="J1373" s="5" t="s">
        <v>22</v>
      </c>
      <c r="K1373" s="5" t="s">
        <v>23</v>
      </c>
      <c r="L1373" s="5" t="s">
        <v>31</v>
      </c>
      <c r="M1373" s="5" t="s">
        <v>284</v>
      </c>
      <c r="N1373" s="5" t="s">
        <v>53</v>
      </c>
      <c r="O1373" s="5">
        <v>128</v>
      </c>
      <c r="P1373" s="5"/>
      <c r="Q1373" s="5"/>
      <c r="R1373" s="8">
        <v>8.1018518518518516E-5</v>
      </c>
      <c r="S1373" s="5" t="s">
        <v>37</v>
      </c>
      <c r="T1373" t="str">
        <f>IF(Tabela1[[#This Row],[STATUS_NEGOCIO]]="Enviar E-mail",1,"")</f>
        <v/>
      </c>
      <c r="U1373" t="str">
        <f>TEXT(Tabela1[[#This Row],[DATA]],"dd/mm/aaaa")</f>
        <v>22/04/2026</v>
      </c>
    </row>
    <row r="1374" spans="1:21" x14ac:dyDescent="0.25">
      <c r="A1374" s="4">
        <v>46134.660937499997</v>
      </c>
      <c r="B1374" s="5" t="s">
        <v>19</v>
      </c>
      <c r="C1374" s="5" t="s">
        <v>37</v>
      </c>
      <c r="D1374" s="5">
        <v>262</v>
      </c>
      <c r="E1374" s="6">
        <v>24021427000134</v>
      </c>
      <c r="F1374" s="5">
        <v>262</v>
      </c>
      <c r="G1374" s="7">
        <v>177688390569091</v>
      </c>
      <c r="H1374" s="5" t="s">
        <v>444</v>
      </c>
      <c r="I1374" s="5">
        <v>3003</v>
      </c>
      <c r="J1374" s="5" t="s">
        <v>22</v>
      </c>
      <c r="K1374" s="5" t="s">
        <v>23</v>
      </c>
      <c r="L1374" s="5" t="s">
        <v>31</v>
      </c>
      <c r="M1374" s="5" t="s">
        <v>284</v>
      </c>
      <c r="N1374" s="5" t="s">
        <v>53</v>
      </c>
      <c r="O1374" s="5">
        <v>128</v>
      </c>
      <c r="P1374" s="5"/>
      <c r="Q1374" s="5"/>
      <c r="R1374" s="8">
        <v>8.1018518518518516E-5</v>
      </c>
      <c r="S1374" s="5" t="s">
        <v>37</v>
      </c>
      <c r="T1374" t="str">
        <f>IF(Tabela1[[#This Row],[STATUS_NEGOCIO]]="Enviar E-mail",1,"")</f>
        <v/>
      </c>
      <c r="U1374" t="str">
        <f>TEXT(Tabela1[[#This Row],[DATA]],"dd/mm/aaaa")</f>
        <v>22/04/2026</v>
      </c>
    </row>
    <row r="1375" spans="1:21" x14ac:dyDescent="0.25">
      <c r="A1375" s="4">
        <v>46134.660949074074</v>
      </c>
      <c r="B1375" s="5" t="s">
        <v>19</v>
      </c>
      <c r="C1375" s="5" t="s">
        <v>37</v>
      </c>
      <c r="D1375" s="5">
        <v>263</v>
      </c>
      <c r="E1375" s="6">
        <v>24265410000122</v>
      </c>
      <c r="F1375" s="5">
        <v>263</v>
      </c>
      <c r="G1375" s="7">
        <v>177688390669111</v>
      </c>
      <c r="H1375" s="5" t="s">
        <v>55</v>
      </c>
      <c r="I1375" s="5">
        <v>3003</v>
      </c>
      <c r="J1375" s="5" t="s">
        <v>22</v>
      </c>
      <c r="K1375" s="5" t="s">
        <v>23</v>
      </c>
      <c r="L1375" s="5" t="s">
        <v>31</v>
      </c>
      <c r="M1375" s="5" t="s">
        <v>284</v>
      </c>
      <c r="N1375" s="5" t="s">
        <v>26</v>
      </c>
      <c r="O1375" s="5">
        <v>131</v>
      </c>
      <c r="P1375" s="5"/>
      <c r="Q1375" s="5"/>
      <c r="R1375" s="8">
        <v>1.1574074074074075E-4</v>
      </c>
      <c r="S1375" s="5" t="s">
        <v>37</v>
      </c>
      <c r="T1375" t="str">
        <f>IF(Tabela1[[#This Row],[STATUS_NEGOCIO]]="Enviar E-mail",1,"")</f>
        <v/>
      </c>
      <c r="U1375" t="str">
        <f>TEXT(Tabela1[[#This Row],[DATA]],"dd/mm/aaaa")</f>
        <v>22/04/2026</v>
      </c>
    </row>
    <row r="1376" spans="1:21" x14ac:dyDescent="0.25">
      <c r="A1376" s="4">
        <v>46134.661041666666</v>
      </c>
      <c r="B1376" s="5" t="s">
        <v>19</v>
      </c>
      <c r="C1376" s="5" t="s">
        <v>37</v>
      </c>
      <c r="D1376" s="5">
        <v>264</v>
      </c>
      <c r="E1376" s="6">
        <v>24323383000105</v>
      </c>
      <c r="F1376" s="5">
        <v>264</v>
      </c>
      <c r="G1376" s="7">
        <v>177688391469141</v>
      </c>
      <c r="H1376" s="5" t="s">
        <v>271</v>
      </c>
      <c r="I1376" s="5">
        <v>3003</v>
      </c>
      <c r="J1376" s="5" t="s">
        <v>22</v>
      </c>
      <c r="K1376" s="5" t="s">
        <v>23</v>
      </c>
      <c r="L1376" s="5" t="s">
        <v>31</v>
      </c>
      <c r="M1376" s="5" t="s">
        <v>284</v>
      </c>
      <c r="N1376" s="5" t="s">
        <v>53</v>
      </c>
      <c r="O1376" s="5">
        <v>128</v>
      </c>
      <c r="P1376" s="5"/>
      <c r="Q1376" s="5"/>
      <c r="R1376" s="8">
        <v>8.1018518518518516E-5</v>
      </c>
      <c r="S1376" s="5" t="s">
        <v>37</v>
      </c>
      <c r="T1376" t="str">
        <f>IF(Tabela1[[#This Row],[STATUS_NEGOCIO]]="Enviar E-mail",1,"")</f>
        <v/>
      </c>
      <c r="U1376" t="str">
        <f>TEXT(Tabela1[[#This Row],[DATA]],"dd/mm/aaaa")</f>
        <v>22/04/2026</v>
      </c>
    </row>
    <row r="1377" spans="1:21" x14ac:dyDescent="0.25">
      <c r="A1377" s="4">
        <v>46134.661111111112</v>
      </c>
      <c r="B1377" s="5" t="s">
        <v>19</v>
      </c>
      <c r="C1377" s="5" t="s">
        <v>37</v>
      </c>
      <c r="D1377" s="5">
        <v>265</v>
      </c>
      <c r="E1377" s="6">
        <v>24373917000108</v>
      </c>
      <c r="F1377" s="5">
        <v>265</v>
      </c>
      <c r="G1377" s="7">
        <v>177688392069161</v>
      </c>
      <c r="H1377" s="5" t="s">
        <v>445</v>
      </c>
      <c r="I1377" s="5">
        <v>3003</v>
      </c>
      <c r="J1377" s="5" t="s">
        <v>22</v>
      </c>
      <c r="K1377" s="5" t="s">
        <v>23</v>
      </c>
      <c r="L1377" s="5" t="s">
        <v>31</v>
      </c>
      <c r="M1377" s="5" t="s">
        <v>284</v>
      </c>
      <c r="N1377" s="5" t="s">
        <v>53</v>
      </c>
      <c r="O1377" s="5">
        <v>128</v>
      </c>
      <c r="P1377" s="5"/>
      <c r="Q1377" s="5"/>
      <c r="R1377" s="8">
        <v>8.1018518518518516E-5</v>
      </c>
      <c r="S1377" s="5" t="s">
        <v>37</v>
      </c>
      <c r="T1377" t="str">
        <f>IF(Tabela1[[#This Row],[STATUS_NEGOCIO]]="Enviar E-mail",1,"")</f>
        <v/>
      </c>
      <c r="U1377" t="str">
        <f>TEXT(Tabela1[[#This Row],[DATA]],"dd/mm/aaaa")</f>
        <v>22/04/2026</v>
      </c>
    </row>
    <row r="1378" spans="1:21" x14ac:dyDescent="0.25">
      <c r="A1378" s="4">
        <v>46134.661134259259</v>
      </c>
      <c r="B1378" s="5" t="s">
        <v>19</v>
      </c>
      <c r="C1378" s="5" t="s">
        <v>37</v>
      </c>
      <c r="D1378" s="5">
        <v>266</v>
      </c>
      <c r="E1378" s="6">
        <v>24415773000105</v>
      </c>
      <c r="F1378" s="5">
        <v>266</v>
      </c>
      <c r="G1378" s="7">
        <v>177688392269191</v>
      </c>
      <c r="H1378" s="5" t="s">
        <v>446</v>
      </c>
      <c r="I1378" s="5">
        <v>3003</v>
      </c>
      <c r="J1378" s="5" t="s">
        <v>22</v>
      </c>
      <c r="K1378" s="5" t="s">
        <v>23</v>
      </c>
      <c r="L1378" s="5" t="s">
        <v>31</v>
      </c>
      <c r="M1378" s="5" t="s">
        <v>284</v>
      </c>
      <c r="N1378" s="5" t="s">
        <v>53</v>
      </c>
      <c r="O1378" s="5">
        <v>128</v>
      </c>
      <c r="P1378" s="5"/>
      <c r="Q1378" s="5"/>
      <c r="R1378" s="8">
        <v>8.1018518518518516E-5</v>
      </c>
      <c r="S1378" s="5" t="s">
        <v>37</v>
      </c>
      <c r="T1378" t="str">
        <f>IF(Tabela1[[#This Row],[STATUS_NEGOCIO]]="Enviar E-mail",1,"")</f>
        <v/>
      </c>
      <c r="U1378" t="str">
        <f>TEXT(Tabela1[[#This Row],[DATA]],"dd/mm/aaaa")</f>
        <v>22/04/2026</v>
      </c>
    </row>
    <row r="1379" spans="1:21" x14ac:dyDescent="0.25">
      <c r="A1379" s="4">
        <v>46134.661134259259</v>
      </c>
      <c r="B1379" s="5" t="s">
        <v>19</v>
      </c>
      <c r="C1379" s="5" t="s">
        <v>37</v>
      </c>
      <c r="D1379" s="5">
        <v>267</v>
      </c>
      <c r="E1379" s="6">
        <v>24569455000190</v>
      </c>
      <c r="F1379" s="5">
        <v>267</v>
      </c>
      <c r="G1379" s="7">
        <v>177688392269201</v>
      </c>
      <c r="H1379" s="5" t="s">
        <v>447</v>
      </c>
      <c r="I1379" s="5">
        <v>3003</v>
      </c>
      <c r="J1379" s="5" t="s">
        <v>22</v>
      </c>
      <c r="K1379" s="5" t="s">
        <v>23</v>
      </c>
      <c r="L1379" s="5" t="s">
        <v>31</v>
      </c>
      <c r="M1379" s="5" t="s">
        <v>284</v>
      </c>
      <c r="N1379" s="5" t="s">
        <v>53</v>
      </c>
      <c r="O1379" s="5">
        <v>128</v>
      </c>
      <c r="P1379" s="5"/>
      <c r="Q1379" s="5"/>
      <c r="R1379" s="8">
        <v>8.1018518518518516E-5</v>
      </c>
      <c r="S1379" s="5" t="s">
        <v>37</v>
      </c>
      <c r="T1379" t="str">
        <f>IF(Tabela1[[#This Row],[STATUS_NEGOCIO]]="Enviar E-mail",1,"")</f>
        <v/>
      </c>
      <c r="U1379" t="str">
        <f>TEXT(Tabela1[[#This Row],[DATA]],"dd/mm/aaaa")</f>
        <v>22/04/2026</v>
      </c>
    </row>
    <row r="1380" spans="1:21" x14ac:dyDescent="0.25">
      <c r="A1380" s="4">
        <v>46134.661296296297</v>
      </c>
      <c r="B1380" s="5" t="s">
        <v>19</v>
      </c>
      <c r="C1380" s="5" t="s">
        <v>37</v>
      </c>
      <c r="D1380" s="5">
        <v>268</v>
      </c>
      <c r="E1380" s="6">
        <v>24583913000146</v>
      </c>
      <c r="F1380" s="5">
        <v>268</v>
      </c>
      <c r="G1380" s="7">
        <v>177688393669321</v>
      </c>
      <c r="H1380" s="5" t="s">
        <v>65</v>
      </c>
      <c r="I1380" s="5" t="s">
        <v>52</v>
      </c>
      <c r="J1380" s="5" t="s">
        <v>22</v>
      </c>
      <c r="K1380" s="5" t="s">
        <v>62</v>
      </c>
      <c r="L1380" s="5" t="s">
        <v>62</v>
      </c>
      <c r="M1380" s="5" t="s">
        <v>284</v>
      </c>
      <c r="N1380" s="5" t="s">
        <v>53</v>
      </c>
      <c r="O1380" s="5">
        <v>17</v>
      </c>
      <c r="P1380" s="5"/>
      <c r="Q1380" s="5"/>
      <c r="R1380" s="8">
        <v>0</v>
      </c>
      <c r="S1380" s="5" t="s">
        <v>37</v>
      </c>
      <c r="T1380" t="str">
        <f>IF(Tabela1[[#This Row],[STATUS_NEGOCIO]]="Enviar E-mail",1,"")</f>
        <v/>
      </c>
      <c r="U1380" t="str">
        <f>TEXT(Tabela1[[#This Row],[DATA]],"dd/mm/aaaa")</f>
        <v>22/04/2026</v>
      </c>
    </row>
    <row r="1381" spans="1:21" x14ac:dyDescent="0.25">
      <c r="A1381" s="4">
        <v>46134.661365740743</v>
      </c>
      <c r="B1381" s="5" t="s">
        <v>19</v>
      </c>
      <c r="C1381" s="5" t="s">
        <v>37</v>
      </c>
      <c r="D1381" s="5">
        <v>269</v>
      </c>
      <c r="E1381" s="6">
        <v>25344452000111</v>
      </c>
      <c r="F1381" s="5">
        <v>269</v>
      </c>
      <c r="G1381" s="7">
        <v>177688394269341</v>
      </c>
      <c r="H1381" s="5" t="s">
        <v>206</v>
      </c>
      <c r="I1381" s="5">
        <v>3003</v>
      </c>
      <c r="J1381" s="5" t="s">
        <v>22</v>
      </c>
      <c r="K1381" s="5" t="s">
        <v>23</v>
      </c>
      <c r="L1381" s="5" t="s">
        <v>31</v>
      </c>
      <c r="M1381" s="5" t="s">
        <v>284</v>
      </c>
      <c r="N1381" s="5" t="s">
        <v>53</v>
      </c>
      <c r="O1381" s="5">
        <v>128</v>
      </c>
      <c r="P1381" s="5"/>
      <c r="Q1381" s="5"/>
      <c r="R1381" s="8">
        <v>8.1018518518518516E-5</v>
      </c>
      <c r="S1381" s="5" t="s">
        <v>37</v>
      </c>
      <c r="T1381" t="str">
        <f>IF(Tabela1[[#This Row],[STATUS_NEGOCIO]]="Enviar E-mail",1,"")</f>
        <v/>
      </c>
      <c r="U1381" t="str">
        <f>TEXT(Tabela1[[#This Row],[DATA]],"dd/mm/aaaa")</f>
        <v>22/04/2026</v>
      </c>
    </row>
    <row r="1382" spans="1:21" x14ac:dyDescent="0.25">
      <c r="A1382" s="4">
        <v>46134.661412037036</v>
      </c>
      <c r="B1382" s="5" t="s">
        <v>19</v>
      </c>
      <c r="C1382" s="5" t="s">
        <v>37</v>
      </c>
      <c r="D1382" s="5">
        <v>270</v>
      </c>
      <c r="E1382" s="6">
        <v>25404835000138</v>
      </c>
      <c r="F1382" s="5">
        <v>270</v>
      </c>
      <c r="G1382" s="7">
        <v>177688394669351</v>
      </c>
      <c r="H1382" s="5" t="s">
        <v>233</v>
      </c>
      <c r="I1382" s="5">
        <v>3003</v>
      </c>
      <c r="J1382" s="5" t="s">
        <v>22</v>
      </c>
      <c r="K1382" s="5" t="s">
        <v>23</v>
      </c>
      <c r="L1382" s="5" t="s">
        <v>31</v>
      </c>
      <c r="M1382" s="5" t="s">
        <v>284</v>
      </c>
      <c r="N1382" s="5" t="s">
        <v>26</v>
      </c>
      <c r="O1382" s="5">
        <v>131</v>
      </c>
      <c r="P1382" s="5"/>
      <c r="Q1382" s="5"/>
      <c r="R1382" s="8">
        <v>2.3148148148148149E-4</v>
      </c>
      <c r="S1382" s="5" t="s">
        <v>37</v>
      </c>
      <c r="T1382" t="str">
        <f>IF(Tabela1[[#This Row],[STATUS_NEGOCIO]]="Enviar E-mail",1,"")</f>
        <v/>
      </c>
      <c r="U1382" t="str">
        <f>TEXT(Tabela1[[#This Row],[DATA]],"dd/mm/aaaa")</f>
        <v>22/04/2026</v>
      </c>
    </row>
    <row r="1383" spans="1:21" x14ac:dyDescent="0.25">
      <c r="A1383" s="4">
        <v>46134.661435185182</v>
      </c>
      <c r="B1383" s="5" t="s">
        <v>19</v>
      </c>
      <c r="C1383" s="5" t="s">
        <v>37</v>
      </c>
      <c r="D1383" s="5">
        <v>271</v>
      </c>
      <c r="E1383" s="6">
        <v>25405605000193</v>
      </c>
      <c r="F1383" s="5">
        <v>271</v>
      </c>
      <c r="G1383" s="7">
        <v>177688394869371</v>
      </c>
      <c r="H1383" s="5" t="s">
        <v>448</v>
      </c>
      <c r="I1383" s="5">
        <v>3003</v>
      </c>
      <c r="J1383" s="5" t="s">
        <v>22</v>
      </c>
      <c r="K1383" s="5" t="s">
        <v>23</v>
      </c>
      <c r="L1383" s="5" t="s">
        <v>31</v>
      </c>
      <c r="M1383" s="5" t="s">
        <v>284</v>
      </c>
      <c r="N1383" s="5" t="s">
        <v>53</v>
      </c>
      <c r="O1383" s="5">
        <v>128</v>
      </c>
      <c r="P1383" s="5"/>
      <c r="Q1383" s="5"/>
      <c r="R1383" s="8">
        <v>8.1018518518518516E-5</v>
      </c>
      <c r="S1383" s="5" t="s">
        <v>37</v>
      </c>
      <c r="T1383" t="str">
        <f>IF(Tabela1[[#This Row],[STATUS_NEGOCIO]]="Enviar E-mail",1,"")</f>
        <v/>
      </c>
      <c r="U1383" t="str">
        <f>TEXT(Tabela1[[#This Row],[DATA]],"dd/mm/aaaa")</f>
        <v>22/04/2026</v>
      </c>
    </row>
    <row r="1384" spans="1:21" x14ac:dyDescent="0.25">
      <c r="A1384" s="4">
        <v>46134.661446759259</v>
      </c>
      <c r="B1384" s="5" t="s">
        <v>19</v>
      </c>
      <c r="C1384" s="5" t="s">
        <v>37</v>
      </c>
      <c r="D1384" s="5">
        <v>272</v>
      </c>
      <c r="E1384" s="6">
        <v>26054449000126</v>
      </c>
      <c r="F1384" s="5">
        <v>272</v>
      </c>
      <c r="G1384" s="7">
        <v>177688394969391</v>
      </c>
      <c r="H1384" s="5" t="s">
        <v>449</v>
      </c>
      <c r="I1384" s="5">
        <v>3003</v>
      </c>
      <c r="J1384" s="5" t="s">
        <v>22</v>
      </c>
      <c r="K1384" s="5" t="s">
        <v>23</v>
      </c>
      <c r="L1384" s="5" t="s">
        <v>31</v>
      </c>
      <c r="M1384" s="5" t="s">
        <v>284</v>
      </c>
      <c r="N1384" s="5" t="s">
        <v>53</v>
      </c>
      <c r="O1384" s="5">
        <v>128</v>
      </c>
      <c r="P1384" s="5"/>
      <c r="Q1384" s="5"/>
      <c r="R1384" s="8">
        <v>8.1018518518518516E-5</v>
      </c>
      <c r="S1384" s="5" t="s">
        <v>37</v>
      </c>
      <c r="T1384" t="str">
        <f>IF(Tabela1[[#This Row],[STATUS_NEGOCIO]]="Enviar E-mail",1,"")</f>
        <v/>
      </c>
      <c r="U1384" t="str">
        <f>TEXT(Tabela1[[#This Row],[DATA]],"dd/mm/aaaa")</f>
        <v>22/04/2026</v>
      </c>
    </row>
    <row r="1385" spans="1:21" x14ac:dyDescent="0.25">
      <c r="A1385" s="4">
        <v>46134.661516203705</v>
      </c>
      <c r="B1385" s="5" t="s">
        <v>19</v>
      </c>
      <c r="C1385" s="5" t="s">
        <v>37</v>
      </c>
      <c r="D1385" s="5">
        <v>273</v>
      </c>
      <c r="E1385" s="6">
        <v>26181076000154</v>
      </c>
      <c r="F1385" s="5">
        <v>273</v>
      </c>
      <c r="G1385" s="7">
        <v>177688395569411</v>
      </c>
      <c r="H1385" s="5" t="s">
        <v>88</v>
      </c>
      <c r="I1385" s="5">
        <v>3003</v>
      </c>
      <c r="J1385" s="5" t="s">
        <v>22</v>
      </c>
      <c r="K1385" s="5" t="s">
        <v>23</v>
      </c>
      <c r="L1385" s="5" t="s">
        <v>31</v>
      </c>
      <c r="M1385" s="5" t="s">
        <v>284</v>
      </c>
      <c r="N1385" s="5" t="s">
        <v>53</v>
      </c>
      <c r="O1385" s="5">
        <v>128</v>
      </c>
      <c r="P1385" s="5"/>
      <c r="Q1385" s="5"/>
      <c r="R1385" s="8">
        <v>8.1018518518518516E-5</v>
      </c>
      <c r="S1385" s="5" t="s">
        <v>37</v>
      </c>
      <c r="T1385" t="str">
        <f>IF(Tabela1[[#This Row],[STATUS_NEGOCIO]]="Enviar E-mail",1,"")</f>
        <v/>
      </c>
      <c r="U1385" t="str">
        <f>TEXT(Tabela1[[#This Row],[DATA]],"dd/mm/aaaa")</f>
        <v>22/04/2026</v>
      </c>
    </row>
    <row r="1386" spans="1:21" x14ac:dyDescent="0.25">
      <c r="A1386" s="4">
        <v>46134.661539351851</v>
      </c>
      <c r="B1386" s="5" t="s">
        <v>19</v>
      </c>
      <c r="C1386" s="5" t="s">
        <v>37</v>
      </c>
      <c r="D1386" s="5">
        <v>274</v>
      </c>
      <c r="E1386" s="6">
        <v>26185307000106</v>
      </c>
      <c r="F1386" s="5">
        <v>274</v>
      </c>
      <c r="G1386" s="7">
        <v>177688395769431</v>
      </c>
      <c r="H1386" s="5" t="s">
        <v>450</v>
      </c>
      <c r="I1386" s="5">
        <v>3003</v>
      </c>
      <c r="J1386" s="5" t="s">
        <v>22</v>
      </c>
      <c r="K1386" s="5" t="s">
        <v>23</v>
      </c>
      <c r="L1386" s="5" t="s">
        <v>31</v>
      </c>
      <c r="M1386" s="5" t="s">
        <v>284</v>
      </c>
      <c r="N1386" s="5" t="s">
        <v>53</v>
      </c>
      <c r="O1386" s="5">
        <v>128</v>
      </c>
      <c r="P1386" s="5"/>
      <c r="Q1386" s="5"/>
      <c r="R1386" s="8">
        <v>6.9444444444444444E-5</v>
      </c>
      <c r="S1386" s="5" t="s">
        <v>37</v>
      </c>
      <c r="T1386" t="str">
        <f>IF(Tabela1[[#This Row],[STATUS_NEGOCIO]]="Enviar E-mail",1,"")</f>
        <v/>
      </c>
      <c r="U1386" t="str">
        <f>TEXT(Tabela1[[#This Row],[DATA]],"dd/mm/aaaa")</f>
        <v>22/04/2026</v>
      </c>
    </row>
    <row r="1387" spans="1:21" x14ac:dyDescent="0.25">
      <c r="A1387" s="4">
        <v>46134.661550925928</v>
      </c>
      <c r="B1387" s="5" t="s">
        <v>19</v>
      </c>
      <c r="C1387" s="5" t="s">
        <v>37</v>
      </c>
      <c r="D1387" s="5">
        <v>275</v>
      </c>
      <c r="E1387" s="6">
        <v>26252435000117</v>
      </c>
      <c r="F1387" s="5">
        <v>275</v>
      </c>
      <c r="G1387" s="7">
        <v>177688395869451</v>
      </c>
      <c r="H1387" s="5" t="s">
        <v>451</v>
      </c>
      <c r="I1387" s="5">
        <v>3003</v>
      </c>
      <c r="J1387" s="5" t="s">
        <v>22</v>
      </c>
      <c r="K1387" s="5" t="s">
        <v>23</v>
      </c>
      <c r="L1387" s="5" t="s">
        <v>31</v>
      </c>
      <c r="M1387" s="5" t="s">
        <v>284</v>
      </c>
      <c r="N1387" s="5" t="s">
        <v>53</v>
      </c>
      <c r="O1387" s="5">
        <v>128</v>
      </c>
      <c r="P1387" s="5"/>
      <c r="Q1387" s="5"/>
      <c r="R1387" s="8">
        <v>8.1018518518518516E-5</v>
      </c>
      <c r="S1387" s="5" t="s">
        <v>37</v>
      </c>
      <c r="T1387" t="str">
        <f>IF(Tabela1[[#This Row],[STATUS_NEGOCIO]]="Enviar E-mail",1,"")</f>
        <v/>
      </c>
      <c r="U1387" t="str">
        <f>TEXT(Tabela1[[#This Row],[DATA]],"dd/mm/aaaa")</f>
        <v>22/04/2026</v>
      </c>
    </row>
    <row r="1388" spans="1:21" x14ac:dyDescent="0.25">
      <c r="A1388" s="4">
        <v>46134.661620370367</v>
      </c>
      <c r="B1388" s="5" t="s">
        <v>19</v>
      </c>
      <c r="C1388" s="5" t="s">
        <v>37</v>
      </c>
      <c r="D1388" s="5">
        <v>276</v>
      </c>
      <c r="E1388" s="6">
        <v>26295622000188</v>
      </c>
      <c r="F1388" s="5">
        <v>276</v>
      </c>
      <c r="G1388" s="7">
        <v>177688396469531</v>
      </c>
      <c r="H1388" s="5" t="s">
        <v>63</v>
      </c>
      <c r="I1388" s="5">
        <v>3003</v>
      </c>
      <c r="J1388" s="5" t="s">
        <v>22</v>
      </c>
      <c r="K1388" s="5" t="s">
        <v>23</v>
      </c>
      <c r="L1388" s="5" t="s">
        <v>31</v>
      </c>
      <c r="M1388" s="5" t="s">
        <v>284</v>
      </c>
      <c r="N1388" s="5" t="s">
        <v>53</v>
      </c>
      <c r="O1388" s="5">
        <v>128</v>
      </c>
      <c r="P1388" s="5"/>
      <c r="Q1388" s="5"/>
      <c r="R1388" s="8">
        <v>6.9444444444444444E-5</v>
      </c>
      <c r="S1388" s="5" t="s">
        <v>37</v>
      </c>
      <c r="T1388" t="str">
        <f>IF(Tabela1[[#This Row],[STATUS_NEGOCIO]]="Enviar E-mail",1,"")</f>
        <v/>
      </c>
      <c r="U1388" t="str">
        <f>TEXT(Tabela1[[#This Row],[DATA]],"dd/mm/aaaa")</f>
        <v>22/04/2026</v>
      </c>
    </row>
    <row r="1389" spans="1:21" x14ac:dyDescent="0.25">
      <c r="A1389" s="4">
        <v>46134.661631944444</v>
      </c>
      <c r="B1389" s="5" t="s">
        <v>19</v>
      </c>
      <c r="C1389" s="5" t="s">
        <v>37</v>
      </c>
      <c r="D1389" s="5">
        <v>277</v>
      </c>
      <c r="E1389" s="6">
        <v>26344541000120</v>
      </c>
      <c r="F1389" s="5">
        <v>277</v>
      </c>
      <c r="G1389" s="7">
        <v>177688396569551</v>
      </c>
      <c r="H1389" s="5" t="s">
        <v>452</v>
      </c>
      <c r="I1389" s="5" t="s">
        <v>52</v>
      </c>
      <c r="J1389" s="5" t="s">
        <v>22</v>
      </c>
      <c r="K1389" s="5" t="s">
        <v>36</v>
      </c>
      <c r="L1389" s="5" t="s">
        <v>36</v>
      </c>
      <c r="M1389" s="5" t="s">
        <v>284</v>
      </c>
      <c r="N1389" s="5" t="s">
        <v>53</v>
      </c>
      <c r="O1389" s="5">
        <v>19</v>
      </c>
      <c r="P1389" s="5"/>
      <c r="Q1389" s="5"/>
      <c r="R1389" s="8">
        <v>0</v>
      </c>
      <c r="S1389" s="5" t="s">
        <v>37</v>
      </c>
      <c r="T1389" t="str">
        <f>IF(Tabela1[[#This Row],[STATUS_NEGOCIO]]="Enviar E-mail",1,"")</f>
        <v/>
      </c>
      <c r="U1389" t="str">
        <f>TEXT(Tabela1[[#This Row],[DATA]],"dd/mm/aaaa")</f>
        <v>22/04/2026</v>
      </c>
    </row>
    <row r="1390" spans="1:21" x14ac:dyDescent="0.25">
      <c r="A1390" s="4">
        <v>46134.661678240744</v>
      </c>
      <c r="B1390" s="5" t="s">
        <v>19</v>
      </c>
      <c r="C1390" s="5" t="s">
        <v>37</v>
      </c>
      <c r="D1390" s="5">
        <v>278</v>
      </c>
      <c r="E1390" s="6">
        <v>26350061000172</v>
      </c>
      <c r="F1390" s="5">
        <v>278</v>
      </c>
      <c r="G1390" s="7">
        <v>177688396969581</v>
      </c>
      <c r="H1390" s="5" t="s">
        <v>453</v>
      </c>
      <c r="I1390" s="5">
        <v>3003</v>
      </c>
      <c r="J1390" s="5" t="s">
        <v>22</v>
      </c>
      <c r="K1390" s="5" t="s">
        <v>23</v>
      </c>
      <c r="L1390" s="5" t="s">
        <v>31</v>
      </c>
      <c r="M1390" s="5" t="s">
        <v>284</v>
      </c>
      <c r="N1390" s="5" t="s">
        <v>53</v>
      </c>
      <c r="O1390" s="5">
        <v>128</v>
      </c>
      <c r="P1390" s="5"/>
      <c r="Q1390" s="5"/>
      <c r="R1390" s="8">
        <v>8.1018518518518516E-5</v>
      </c>
      <c r="S1390" s="5" t="s">
        <v>37</v>
      </c>
      <c r="T1390" t="str">
        <f>IF(Tabela1[[#This Row],[STATUS_NEGOCIO]]="Enviar E-mail",1,"")</f>
        <v/>
      </c>
      <c r="U1390" t="str">
        <f>TEXT(Tabela1[[#This Row],[DATA]],"dd/mm/aaaa")</f>
        <v>22/04/2026</v>
      </c>
    </row>
    <row r="1391" spans="1:21" x14ac:dyDescent="0.25">
      <c r="A1391" s="4">
        <v>46134.661747685182</v>
      </c>
      <c r="B1391" s="5" t="s">
        <v>19</v>
      </c>
      <c r="C1391" s="5" t="s">
        <v>37</v>
      </c>
      <c r="D1391" s="5">
        <v>279</v>
      </c>
      <c r="E1391" s="6">
        <v>26401298000135</v>
      </c>
      <c r="F1391" s="5">
        <v>279</v>
      </c>
      <c r="G1391" s="7">
        <v>177688397569631</v>
      </c>
      <c r="H1391" s="5" t="s">
        <v>218</v>
      </c>
      <c r="I1391" s="5">
        <v>3003</v>
      </c>
      <c r="J1391" s="5" t="s">
        <v>22</v>
      </c>
      <c r="K1391" s="5" t="s">
        <v>23</v>
      </c>
      <c r="L1391" s="5" t="s">
        <v>31</v>
      </c>
      <c r="M1391" s="5" t="s">
        <v>284</v>
      </c>
      <c r="N1391" s="5" t="s">
        <v>53</v>
      </c>
      <c r="O1391" s="5">
        <v>128</v>
      </c>
      <c r="P1391" s="5"/>
      <c r="Q1391" s="5"/>
      <c r="R1391" s="8">
        <v>8.1018518518518516E-5</v>
      </c>
      <c r="S1391" s="5" t="s">
        <v>37</v>
      </c>
      <c r="T1391" t="str">
        <f>IF(Tabela1[[#This Row],[STATUS_NEGOCIO]]="Enviar E-mail",1,"")</f>
        <v/>
      </c>
      <c r="U1391" t="str">
        <f>TEXT(Tabela1[[#This Row],[DATA]],"dd/mm/aaaa")</f>
        <v>22/04/2026</v>
      </c>
    </row>
    <row r="1392" spans="1:21" x14ac:dyDescent="0.25">
      <c r="A1392" s="4">
        <v>46134.661851851852</v>
      </c>
      <c r="B1392" s="5" t="s">
        <v>19</v>
      </c>
      <c r="C1392" s="5" t="s">
        <v>37</v>
      </c>
      <c r="D1392" s="5">
        <v>280</v>
      </c>
      <c r="E1392" s="6">
        <v>26419801000180</v>
      </c>
      <c r="F1392" s="5">
        <v>280</v>
      </c>
      <c r="G1392" s="7">
        <v>177688398469681</v>
      </c>
      <c r="H1392" s="5" t="s">
        <v>142</v>
      </c>
      <c r="I1392" s="5">
        <v>3003</v>
      </c>
      <c r="J1392" s="5" t="s">
        <v>22</v>
      </c>
      <c r="K1392" s="5" t="s">
        <v>23</v>
      </c>
      <c r="L1392" s="5" t="s">
        <v>31</v>
      </c>
      <c r="M1392" s="5" t="s">
        <v>284</v>
      </c>
      <c r="N1392" s="5" t="s">
        <v>53</v>
      </c>
      <c r="O1392" s="5">
        <v>128</v>
      </c>
      <c r="P1392" s="5"/>
      <c r="Q1392" s="5"/>
      <c r="R1392" s="8">
        <v>6.9444444444444444E-5</v>
      </c>
      <c r="S1392" s="5" t="s">
        <v>37</v>
      </c>
      <c r="T1392" t="str">
        <f>IF(Tabela1[[#This Row],[STATUS_NEGOCIO]]="Enviar E-mail",1,"")</f>
        <v/>
      </c>
      <c r="U1392" t="str">
        <f>TEXT(Tabela1[[#This Row],[DATA]],"dd/mm/aaaa")</f>
        <v>22/04/2026</v>
      </c>
    </row>
    <row r="1393" spans="1:21" x14ac:dyDescent="0.25">
      <c r="A1393" s="4">
        <v>46134.661979166667</v>
      </c>
      <c r="B1393" s="5" t="s">
        <v>19</v>
      </c>
      <c r="C1393" s="5" t="s">
        <v>37</v>
      </c>
      <c r="D1393" s="5">
        <v>281</v>
      </c>
      <c r="E1393" s="6">
        <v>26596537000150</v>
      </c>
      <c r="F1393" s="5">
        <v>281</v>
      </c>
      <c r="G1393" s="7">
        <v>177688399569701</v>
      </c>
      <c r="H1393" s="5" t="s">
        <v>454</v>
      </c>
      <c r="I1393" s="5">
        <v>3003</v>
      </c>
      <c r="J1393" s="5" t="s">
        <v>22</v>
      </c>
      <c r="K1393" s="5" t="s">
        <v>23</v>
      </c>
      <c r="L1393" s="5" t="s">
        <v>31</v>
      </c>
      <c r="M1393" s="5" t="s">
        <v>284</v>
      </c>
      <c r="N1393" s="5" t="s">
        <v>53</v>
      </c>
      <c r="O1393" s="5">
        <v>128</v>
      </c>
      <c r="P1393" s="5"/>
      <c r="Q1393" s="5"/>
      <c r="R1393" s="8">
        <v>8.1018518518518516E-5</v>
      </c>
      <c r="S1393" s="5" t="s">
        <v>37</v>
      </c>
      <c r="T1393" t="str">
        <f>IF(Tabela1[[#This Row],[STATUS_NEGOCIO]]="Enviar E-mail",1,"")</f>
        <v/>
      </c>
      <c r="U1393" t="str">
        <f>TEXT(Tabela1[[#This Row],[DATA]],"dd/mm/aaaa")</f>
        <v>22/04/2026</v>
      </c>
    </row>
    <row r="1394" spans="1:21" x14ac:dyDescent="0.25">
      <c r="A1394" s="4">
        <v>46134.66202546296</v>
      </c>
      <c r="B1394" s="5" t="s">
        <v>19</v>
      </c>
      <c r="C1394" s="5" t="s">
        <v>37</v>
      </c>
      <c r="D1394" s="5">
        <v>282</v>
      </c>
      <c r="E1394" s="6">
        <v>26753972000140</v>
      </c>
      <c r="F1394" s="5">
        <v>282</v>
      </c>
      <c r="G1394" s="7">
        <v>177688399969771</v>
      </c>
      <c r="H1394" s="5" t="s">
        <v>455</v>
      </c>
      <c r="I1394" s="5" t="s">
        <v>52</v>
      </c>
      <c r="J1394" s="5" t="s">
        <v>22</v>
      </c>
      <c r="K1394" s="5" t="s">
        <v>36</v>
      </c>
      <c r="L1394" s="5" t="s">
        <v>36</v>
      </c>
      <c r="M1394" s="5" t="s">
        <v>284</v>
      </c>
      <c r="N1394" s="5" t="s">
        <v>53</v>
      </c>
      <c r="O1394" s="5">
        <v>1</v>
      </c>
      <c r="P1394" s="5"/>
      <c r="Q1394" s="5"/>
      <c r="R1394" s="8">
        <v>0</v>
      </c>
      <c r="S1394" s="5" t="s">
        <v>37</v>
      </c>
      <c r="T1394" t="str">
        <f>IF(Tabela1[[#This Row],[STATUS_NEGOCIO]]="Enviar E-mail",1,"")</f>
        <v/>
      </c>
      <c r="U1394" t="str">
        <f>TEXT(Tabela1[[#This Row],[DATA]],"dd/mm/aaaa")</f>
        <v>22/04/2026</v>
      </c>
    </row>
    <row r="1395" spans="1:21" x14ac:dyDescent="0.25">
      <c r="A1395" s="4">
        <v>46134.66202546296</v>
      </c>
      <c r="B1395" s="5" t="s">
        <v>19</v>
      </c>
      <c r="C1395" s="5" t="s">
        <v>37</v>
      </c>
      <c r="D1395" s="5">
        <v>283</v>
      </c>
      <c r="E1395" s="6">
        <v>26789035000145</v>
      </c>
      <c r="F1395" s="5">
        <v>283</v>
      </c>
      <c r="G1395" s="7">
        <v>177688399969781</v>
      </c>
      <c r="H1395" s="5" t="s">
        <v>456</v>
      </c>
      <c r="I1395" s="5">
        <v>3003</v>
      </c>
      <c r="J1395" s="5" t="s">
        <v>22</v>
      </c>
      <c r="K1395" s="5" t="s">
        <v>23</v>
      </c>
      <c r="L1395" s="5" t="s">
        <v>31</v>
      </c>
      <c r="M1395" s="5" t="s">
        <v>284</v>
      </c>
      <c r="N1395" s="5" t="s">
        <v>53</v>
      </c>
      <c r="O1395" s="5">
        <v>128</v>
      </c>
      <c r="P1395" s="5"/>
      <c r="Q1395" s="5"/>
      <c r="R1395" s="8">
        <v>6.9444444444444444E-5</v>
      </c>
      <c r="S1395" s="5" t="s">
        <v>37</v>
      </c>
      <c r="T1395" t="str">
        <f>IF(Tabela1[[#This Row],[STATUS_NEGOCIO]]="Enviar E-mail",1,"")</f>
        <v/>
      </c>
      <c r="U1395" t="str">
        <f>TEXT(Tabela1[[#This Row],[DATA]],"dd/mm/aaaa")</f>
        <v>22/04/2026</v>
      </c>
    </row>
    <row r="1396" spans="1:21" x14ac:dyDescent="0.25">
      <c r="A1396" s="4">
        <v>46134.662083333336</v>
      </c>
      <c r="B1396" s="5" t="s">
        <v>19</v>
      </c>
      <c r="C1396" s="5" t="s">
        <v>37</v>
      </c>
      <c r="D1396" s="5">
        <v>284</v>
      </c>
      <c r="E1396" s="6">
        <v>26871189000181</v>
      </c>
      <c r="F1396" s="5">
        <v>284</v>
      </c>
      <c r="G1396" s="7">
        <v>177688400469841</v>
      </c>
      <c r="H1396" s="5" t="s">
        <v>457</v>
      </c>
      <c r="I1396" s="5">
        <v>3003</v>
      </c>
      <c r="J1396" s="5" t="s">
        <v>22</v>
      </c>
      <c r="K1396" s="5" t="s">
        <v>23</v>
      </c>
      <c r="L1396" s="5" t="s">
        <v>31</v>
      </c>
      <c r="M1396" s="5" t="s">
        <v>284</v>
      </c>
      <c r="N1396" s="5" t="s">
        <v>53</v>
      </c>
      <c r="O1396" s="5">
        <v>128</v>
      </c>
      <c r="P1396" s="5"/>
      <c r="Q1396" s="5"/>
      <c r="R1396" s="8">
        <v>8.1018518518518516E-5</v>
      </c>
      <c r="S1396" s="5" t="s">
        <v>37</v>
      </c>
      <c r="T1396" t="str">
        <f>IF(Tabela1[[#This Row],[STATUS_NEGOCIO]]="Enviar E-mail",1,"")</f>
        <v/>
      </c>
      <c r="U1396" t="str">
        <f>TEXT(Tabela1[[#This Row],[DATA]],"dd/mm/aaaa")</f>
        <v>22/04/2026</v>
      </c>
    </row>
    <row r="1397" spans="1:21" x14ac:dyDescent="0.25">
      <c r="A1397" s="4">
        <v>46134.662118055552</v>
      </c>
      <c r="B1397" s="5" t="s">
        <v>19</v>
      </c>
      <c r="C1397" s="5" t="s">
        <v>37</v>
      </c>
      <c r="D1397" s="5">
        <v>285</v>
      </c>
      <c r="E1397" s="6">
        <v>26960926000112</v>
      </c>
      <c r="F1397" s="5">
        <v>285</v>
      </c>
      <c r="G1397" s="7">
        <v>177688400769871</v>
      </c>
      <c r="H1397" s="5" t="s">
        <v>273</v>
      </c>
      <c r="I1397" s="5">
        <v>3003</v>
      </c>
      <c r="J1397" s="5" t="s">
        <v>22</v>
      </c>
      <c r="K1397" s="5" t="s">
        <v>23</v>
      </c>
      <c r="L1397" s="5" t="s">
        <v>31</v>
      </c>
      <c r="M1397" s="5" t="s">
        <v>284</v>
      </c>
      <c r="N1397" s="5" t="s">
        <v>53</v>
      </c>
      <c r="O1397" s="5">
        <v>128</v>
      </c>
      <c r="P1397" s="5"/>
      <c r="Q1397" s="5"/>
      <c r="R1397" s="8">
        <v>8.1018518518518516E-5</v>
      </c>
      <c r="S1397" s="5" t="s">
        <v>37</v>
      </c>
      <c r="T1397" t="str">
        <f>IF(Tabela1[[#This Row],[STATUS_NEGOCIO]]="Enviar E-mail",1,"")</f>
        <v/>
      </c>
      <c r="U1397" t="str">
        <f>TEXT(Tabela1[[#This Row],[DATA]],"dd/mm/aaaa")</f>
        <v>22/04/2026</v>
      </c>
    </row>
    <row r="1398" spans="1:21" x14ac:dyDescent="0.25">
      <c r="A1398" s="4">
        <v>46134.662175925929</v>
      </c>
      <c r="B1398" s="5" t="s">
        <v>19</v>
      </c>
      <c r="C1398" s="5" t="s">
        <v>37</v>
      </c>
      <c r="D1398" s="5">
        <v>286</v>
      </c>
      <c r="E1398" s="6">
        <v>26990729000146</v>
      </c>
      <c r="F1398" s="5">
        <v>286</v>
      </c>
      <c r="G1398" s="7">
        <v>177688401269891</v>
      </c>
      <c r="H1398" s="5" t="s">
        <v>458</v>
      </c>
      <c r="I1398" s="5">
        <v>3003</v>
      </c>
      <c r="J1398" s="5" t="s">
        <v>22</v>
      </c>
      <c r="K1398" s="5" t="s">
        <v>23</v>
      </c>
      <c r="L1398" s="5" t="s">
        <v>31</v>
      </c>
      <c r="M1398" s="5" t="s">
        <v>284</v>
      </c>
      <c r="N1398" s="5" t="s">
        <v>53</v>
      </c>
      <c r="O1398" s="5">
        <v>128</v>
      </c>
      <c r="P1398" s="5"/>
      <c r="Q1398" s="5"/>
      <c r="R1398" s="8">
        <v>8.1018518518518516E-5</v>
      </c>
      <c r="S1398" s="5" t="s">
        <v>37</v>
      </c>
      <c r="T1398" t="str">
        <f>IF(Tabela1[[#This Row],[STATUS_NEGOCIO]]="Enviar E-mail",1,"")</f>
        <v/>
      </c>
      <c r="U1398" t="str">
        <f>TEXT(Tabela1[[#This Row],[DATA]],"dd/mm/aaaa")</f>
        <v>22/04/2026</v>
      </c>
    </row>
    <row r="1399" spans="1:21" x14ac:dyDescent="0.25">
      <c r="A1399" s="4">
        <v>46134.662256944444</v>
      </c>
      <c r="B1399" s="5" t="s">
        <v>19</v>
      </c>
      <c r="C1399" s="5" t="s">
        <v>37</v>
      </c>
      <c r="D1399" s="5">
        <v>288</v>
      </c>
      <c r="E1399" s="6">
        <v>27037167000183</v>
      </c>
      <c r="F1399" s="5">
        <v>288</v>
      </c>
      <c r="G1399" s="7">
        <v>177688401969921</v>
      </c>
      <c r="H1399" s="5" t="s">
        <v>268</v>
      </c>
      <c r="I1399" s="5">
        <v>3003</v>
      </c>
      <c r="J1399" s="5" t="s">
        <v>22</v>
      </c>
      <c r="K1399" s="5" t="s">
        <v>23</v>
      </c>
      <c r="L1399" s="5" t="s">
        <v>31</v>
      </c>
      <c r="M1399" s="5" t="s">
        <v>284</v>
      </c>
      <c r="N1399" s="5" t="s">
        <v>53</v>
      </c>
      <c r="O1399" s="5">
        <v>128</v>
      </c>
      <c r="P1399" s="5"/>
      <c r="Q1399" s="5"/>
      <c r="R1399" s="8">
        <v>6.9444444444444444E-5</v>
      </c>
      <c r="S1399" s="5" t="s">
        <v>37</v>
      </c>
      <c r="T1399" t="str">
        <f>IF(Tabela1[[#This Row],[STATUS_NEGOCIO]]="Enviar E-mail",1,"")</f>
        <v/>
      </c>
      <c r="U1399" t="str">
        <f>TEXT(Tabela1[[#This Row],[DATA]],"dd/mm/aaaa")</f>
        <v>22/04/2026</v>
      </c>
    </row>
    <row r="1400" spans="1:21" x14ac:dyDescent="0.25">
      <c r="A1400" s="4">
        <v>46134.662256944444</v>
      </c>
      <c r="B1400" s="5" t="s">
        <v>19</v>
      </c>
      <c r="C1400" s="5" t="s">
        <v>37</v>
      </c>
      <c r="D1400" s="5">
        <v>290</v>
      </c>
      <c r="E1400" s="6">
        <v>27316226000152</v>
      </c>
      <c r="F1400" s="5">
        <v>290</v>
      </c>
      <c r="G1400" s="7">
        <v>177688401969931</v>
      </c>
      <c r="H1400" s="5" t="s">
        <v>461</v>
      </c>
      <c r="I1400" s="5">
        <v>3003</v>
      </c>
      <c r="J1400" s="5" t="s">
        <v>22</v>
      </c>
      <c r="K1400" s="5" t="s">
        <v>23</v>
      </c>
      <c r="L1400" s="5" t="s">
        <v>31</v>
      </c>
      <c r="M1400" s="5" t="s">
        <v>284</v>
      </c>
      <c r="N1400" s="5" t="s">
        <v>53</v>
      </c>
      <c r="O1400" s="5">
        <v>128</v>
      </c>
      <c r="P1400" s="5"/>
      <c r="Q1400" s="5"/>
      <c r="R1400" s="8">
        <v>8.1018518518518516E-5</v>
      </c>
      <c r="S1400" s="5" t="s">
        <v>37</v>
      </c>
      <c r="T1400" t="str">
        <f>IF(Tabela1[[#This Row],[STATUS_NEGOCIO]]="Enviar E-mail",1,"")</f>
        <v/>
      </c>
      <c r="U1400" t="str">
        <f>TEXT(Tabela1[[#This Row],[DATA]],"dd/mm/aaaa")</f>
        <v>22/04/2026</v>
      </c>
    </row>
    <row r="1401" spans="1:21" x14ac:dyDescent="0.25">
      <c r="A1401" s="4">
        <v>46134.662349537037</v>
      </c>
      <c r="B1401" s="5" t="s">
        <v>19</v>
      </c>
      <c r="C1401" s="5" t="s">
        <v>37</v>
      </c>
      <c r="D1401" s="5">
        <v>291</v>
      </c>
      <c r="E1401" s="6">
        <v>27379033000140</v>
      </c>
      <c r="F1401" s="5">
        <v>291</v>
      </c>
      <c r="G1401" s="7">
        <v>177688402769951</v>
      </c>
      <c r="H1401" s="5" t="s">
        <v>70</v>
      </c>
      <c r="I1401" s="5" t="s">
        <v>52</v>
      </c>
      <c r="J1401" s="5" t="s">
        <v>22</v>
      </c>
      <c r="K1401" s="5" t="s">
        <v>62</v>
      </c>
      <c r="L1401" s="5" t="s">
        <v>62</v>
      </c>
      <c r="M1401" s="5" t="s">
        <v>284</v>
      </c>
      <c r="N1401" s="5" t="s">
        <v>53</v>
      </c>
      <c r="O1401" s="5">
        <v>17</v>
      </c>
      <c r="P1401" s="5"/>
      <c r="Q1401" s="5"/>
      <c r="R1401" s="8">
        <v>0</v>
      </c>
      <c r="S1401" s="5" t="s">
        <v>37</v>
      </c>
      <c r="T1401" t="str">
        <f>IF(Tabela1[[#This Row],[STATUS_NEGOCIO]]="Enviar E-mail",1,"")</f>
        <v/>
      </c>
      <c r="U1401" t="str">
        <f>TEXT(Tabela1[[#This Row],[DATA]],"dd/mm/aaaa")</f>
        <v>22/04/2026</v>
      </c>
    </row>
    <row r="1402" spans="1:21" x14ac:dyDescent="0.25">
      <c r="A1402" s="4">
        <v>46134.662476851852</v>
      </c>
      <c r="B1402" s="5" t="s">
        <v>19</v>
      </c>
      <c r="C1402" s="5" t="s">
        <v>37</v>
      </c>
      <c r="D1402" s="5">
        <v>292</v>
      </c>
      <c r="E1402" s="6">
        <v>27439229000183</v>
      </c>
      <c r="F1402" s="5">
        <v>292</v>
      </c>
      <c r="G1402" s="7">
        <v>177688403870011</v>
      </c>
      <c r="H1402" s="5" t="s">
        <v>437</v>
      </c>
      <c r="I1402" s="5">
        <v>3003</v>
      </c>
      <c r="J1402" s="5" t="s">
        <v>22</v>
      </c>
      <c r="K1402" s="5" t="s">
        <v>23</v>
      </c>
      <c r="L1402" s="5" t="s">
        <v>31</v>
      </c>
      <c r="M1402" s="5" t="s">
        <v>284</v>
      </c>
      <c r="N1402" s="5" t="s">
        <v>53</v>
      </c>
      <c r="O1402" s="5">
        <v>128</v>
      </c>
      <c r="P1402" s="5"/>
      <c r="Q1402" s="5"/>
      <c r="R1402" s="8">
        <v>8.1018518518518516E-5</v>
      </c>
      <c r="S1402" s="5" t="s">
        <v>37</v>
      </c>
      <c r="T1402" t="str">
        <f>IF(Tabela1[[#This Row],[STATUS_NEGOCIO]]="Enviar E-mail",1,"")</f>
        <v/>
      </c>
      <c r="U1402" t="str">
        <f>TEXT(Tabela1[[#This Row],[DATA]],"dd/mm/aaaa")</f>
        <v>22/04/2026</v>
      </c>
    </row>
    <row r="1403" spans="1:21" x14ac:dyDescent="0.25">
      <c r="A1403" s="4">
        <v>46134.662523148145</v>
      </c>
      <c r="B1403" s="5" t="s">
        <v>19</v>
      </c>
      <c r="C1403" s="5" t="s">
        <v>37</v>
      </c>
      <c r="D1403" s="5">
        <v>293</v>
      </c>
      <c r="E1403" s="6">
        <v>27559945000102</v>
      </c>
      <c r="F1403" s="5">
        <v>293</v>
      </c>
      <c r="G1403" s="7">
        <v>177688404270031</v>
      </c>
      <c r="H1403" s="5" t="s">
        <v>462</v>
      </c>
      <c r="I1403" s="5">
        <v>3003</v>
      </c>
      <c r="J1403" s="5" t="s">
        <v>22</v>
      </c>
      <c r="K1403" s="5" t="s">
        <v>23</v>
      </c>
      <c r="L1403" s="5" t="s">
        <v>31</v>
      </c>
      <c r="M1403" s="5" t="s">
        <v>284</v>
      </c>
      <c r="N1403" s="5" t="s">
        <v>53</v>
      </c>
      <c r="O1403" s="5">
        <v>128</v>
      </c>
      <c r="P1403" s="5"/>
      <c r="Q1403" s="5"/>
      <c r="R1403" s="8">
        <v>8.1018518518518516E-5</v>
      </c>
      <c r="S1403" s="5" t="s">
        <v>37</v>
      </c>
      <c r="T1403" t="str">
        <f>IF(Tabela1[[#This Row],[STATUS_NEGOCIO]]="Enviar E-mail",1,"")</f>
        <v/>
      </c>
      <c r="U1403" t="str">
        <f>TEXT(Tabela1[[#This Row],[DATA]],"dd/mm/aaaa")</f>
        <v>22/04/2026</v>
      </c>
    </row>
    <row r="1404" spans="1:21" x14ac:dyDescent="0.25">
      <c r="A1404" s="4">
        <v>46134.662523148145</v>
      </c>
      <c r="B1404" s="5" t="s">
        <v>19</v>
      </c>
      <c r="C1404" s="5" t="s">
        <v>37</v>
      </c>
      <c r="D1404" s="5">
        <v>294</v>
      </c>
      <c r="E1404" s="6">
        <v>27813377000116</v>
      </c>
      <c r="F1404" s="5">
        <v>294</v>
      </c>
      <c r="G1404" s="7">
        <v>177688404270041</v>
      </c>
      <c r="H1404" s="5" t="s">
        <v>463</v>
      </c>
      <c r="I1404" s="5">
        <v>3003</v>
      </c>
      <c r="J1404" s="5" t="s">
        <v>22</v>
      </c>
      <c r="K1404" s="5" t="s">
        <v>23</v>
      </c>
      <c r="L1404" s="5" t="s">
        <v>31</v>
      </c>
      <c r="M1404" s="5" t="s">
        <v>284</v>
      </c>
      <c r="N1404" s="5" t="s">
        <v>53</v>
      </c>
      <c r="O1404" s="5">
        <v>128</v>
      </c>
      <c r="P1404" s="5"/>
      <c r="Q1404" s="5"/>
      <c r="R1404" s="8">
        <v>8.1018518518518516E-5</v>
      </c>
      <c r="S1404" s="5" t="s">
        <v>37</v>
      </c>
      <c r="T1404" t="str">
        <f>IF(Tabela1[[#This Row],[STATUS_NEGOCIO]]="Enviar E-mail",1,"")</f>
        <v/>
      </c>
      <c r="U1404" t="str">
        <f>TEXT(Tabela1[[#This Row],[DATA]],"dd/mm/aaaa")</f>
        <v>22/04/2026</v>
      </c>
    </row>
    <row r="1405" spans="1:21" x14ac:dyDescent="0.25">
      <c r="A1405" s="4">
        <v>46134.662592592591</v>
      </c>
      <c r="B1405" s="5" t="s">
        <v>19</v>
      </c>
      <c r="C1405" s="5" t="s">
        <v>37</v>
      </c>
      <c r="D1405" s="5">
        <v>295</v>
      </c>
      <c r="E1405" s="6">
        <v>27931047000125</v>
      </c>
      <c r="F1405" s="5">
        <v>295</v>
      </c>
      <c r="G1405" s="7">
        <v>177688404870121</v>
      </c>
      <c r="H1405" s="5" t="s">
        <v>464</v>
      </c>
      <c r="I1405" s="5">
        <v>3003</v>
      </c>
      <c r="J1405" s="5" t="s">
        <v>22</v>
      </c>
      <c r="K1405" s="5" t="s">
        <v>23</v>
      </c>
      <c r="L1405" s="5" t="s">
        <v>31</v>
      </c>
      <c r="M1405" s="5" t="s">
        <v>284</v>
      </c>
      <c r="N1405" s="5" t="s">
        <v>53</v>
      </c>
      <c r="O1405" s="5">
        <v>128</v>
      </c>
      <c r="P1405" s="5"/>
      <c r="Q1405" s="5"/>
      <c r="R1405" s="8">
        <v>4.6296296296296294E-5</v>
      </c>
      <c r="S1405" s="5" t="s">
        <v>37</v>
      </c>
      <c r="T1405" t="str">
        <f>IF(Tabela1[[#This Row],[STATUS_NEGOCIO]]="Enviar E-mail",1,"")</f>
        <v/>
      </c>
      <c r="U1405" t="str">
        <f>TEXT(Tabela1[[#This Row],[DATA]],"dd/mm/aaaa")</f>
        <v>22/04/2026</v>
      </c>
    </row>
    <row r="1406" spans="1:21" x14ac:dyDescent="0.25">
      <c r="A1406" s="4">
        <v>46134.662627314814</v>
      </c>
      <c r="B1406" s="5" t="s">
        <v>19</v>
      </c>
      <c r="C1406" s="5" t="s">
        <v>37</v>
      </c>
      <c r="D1406" s="5">
        <v>298</v>
      </c>
      <c r="E1406" s="6">
        <v>28093477000188</v>
      </c>
      <c r="F1406" s="5">
        <v>298</v>
      </c>
      <c r="G1406" s="7">
        <v>177688405170141</v>
      </c>
      <c r="H1406" s="5" t="s">
        <v>101</v>
      </c>
      <c r="I1406" s="5">
        <v>3003</v>
      </c>
      <c r="J1406" s="5" t="s">
        <v>22</v>
      </c>
      <c r="K1406" s="5" t="s">
        <v>23</v>
      </c>
      <c r="L1406" s="5" t="s">
        <v>31</v>
      </c>
      <c r="M1406" s="5" t="s">
        <v>284</v>
      </c>
      <c r="N1406" s="5" t="s">
        <v>53</v>
      </c>
      <c r="O1406" s="5">
        <v>128</v>
      </c>
      <c r="P1406" s="5"/>
      <c r="Q1406" s="5"/>
      <c r="R1406" s="8">
        <v>8.1018518518518516E-5</v>
      </c>
      <c r="S1406" s="5" t="s">
        <v>37</v>
      </c>
      <c r="T1406" t="str">
        <f>IF(Tabela1[[#This Row],[STATUS_NEGOCIO]]="Enviar E-mail",1,"")</f>
        <v/>
      </c>
      <c r="U1406" t="str">
        <f>TEXT(Tabela1[[#This Row],[DATA]],"dd/mm/aaaa")</f>
        <v>22/04/2026</v>
      </c>
    </row>
    <row r="1407" spans="1:21" x14ac:dyDescent="0.25">
      <c r="A1407" s="4">
        <v>46134.662685185183</v>
      </c>
      <c r="B1407" s="5" t="s">
        <v>19</v>
      </c>
      <c r="C1407" s="5" t="s">
        <v>37</v>
      </c>
      <c r="D1407" s="5">
        <v>299</v>
      </c>
      <c r="E1407" s="6">
        <v>28113645000150</v>
      </c>
      <c r="F1407" s="5">
        <v>299</v>
      </c>
      <c r="G1407" s="7">
        <v>177688405670171</v>
      </c>
      <c r="H1407" s="5" t="s">
        <v>466</v>
      </c>
      <c r="I1407" s="5">
        <v>3003</v>
      </c>
      <c r="J1407" s="5" t="s">
        <v>22</v>
      </c>
      <c r="K1407" s="5" t="s">
        <v>23</v>
      </c>
      <c r="L1407" s="5" t="s">
        <v>31</v>
      </c>
      <c r="M1407" s="5" t="s">
        <v>284</v>
      </c>
      <c r="N1407" s="5" t="s">
        <v>53</v>
      </c>
      <c r="O1407" s="5">
        <v>131</v>
      </c>
      <c r="P1407" s="5"/>
      <c r="Q1407" s="5"/>
      <c r="R1407" s="8">
        <v>0</v>
      </c>
      <c r="S1407" s="5" t="s">
        <v>37</v>
      </c>
      <c r="T1407" t="str">
        <f>IF(Tabela1[[#This Row],[STATUS_NEGOCIO]]="Enviar E-mail",1,"")</f>
        <v/>
      </c>
      <c r="U1407" t="str">
        <f>TEXT(Tabela1[[#This Row],[DATA]],"dd/mm/aaaa")</f>
        <v>22/04/2026</v>
      </c>
    </row>
    <row r="1408" spans="1:21" x14ac:dyDescent="0.25">
      <c r="A1408" s="4">
        <v>46134.662685185183</v>
      </c>
      <c r="B1408" s="5" t="s">
        <v>19</v>
      </c>
      <c r="C1408" s="5" t="s">
        <v>37</v>
      </c>
      <c r="D1408" s="5">
        <v>300</v>
      </c>
      <c r="E1408" s="6">
        <v>28483585000167</v>
      </c>
      <c r="F1408" s="5">
        <v>300</v>
      </c>
      <c r="G1408" s="7">
        <v>177688405670181</v>
      </c>
      <c r="H1408" s="5" t="s">
        <v>467</v>
      </c>
      <c r="I1408" s="5" t="s">
        <v>52</v>
      </c>
      <c r="J1408" s="5" t="s">
        <v>22</v>
      </c>
      <c r="K1408" s="5" t="s">
        <v>36</v>
      </c>
      <c r="L1408" s="5" t="s">
        <v>36</v>
      </c>
      <c r="M1408" s="5" t="s">
        <v>284</v>
      </c>
      <c r="N1408" s="5" t="s">
        <v>53</v>
      </c>
      <c r="O1408" s="5">
        <v>19</v>
      </c>
      <c r="P1408" s="5"/>
      <c r="Q1408" s="5"/>
      <c r="R1408" s="8">
        <v>0</v>
      </c>
      <c r="S1408" s="5" t="s">
        <v>37</v>
      </c>
      <c r="T1408" t="str">
        <f>IF(Tabela1[[#This Row],[STATUS_NEGOCIO]]="Enviar E-mail",1,"")</f>
        <v/>
      </c>
      <c r="U1408" t="str">
        <f>TEXT(Tabela1[[#This Row],[DATA]],"dd/mm/aaaa")</f>
        <v>22/04/2026</v>
      </c>
    </row>
    <row r="1409" spans="1:21" x14ac:dyDescent="0.25">
      <c r="A1409" s="4">
        <v>46134.662731481483</v>
      </c>
      <c r="B1409" s="5" t="s">
        <v>19</v>
      </c>
      <c r="C1409" s="5" t="s">
        <v>37</v>
      </c>
      <c r="D1409" s="5">
        <v>301</v>
      </c>
      <c r="E1409" s="6">
        <v>28566081000100</v>
      </c>
      <c r="F1409" s="5">
        <v>301</v>
      </c>
      <c r="G1409" s="7">
        <v>177688406070241</v>
      </c>
      <c r="H1409" s="5" t="s">
        <v>468</v>
      </c>
      <c r="I1409" s="5">
        <v>3003</v>
      </c>
      <c r="J1409" s="5" t="s">
        <v>22</v>
      </c>
      <c r="K1409" s="5" t="s">
        <v>23</v>
      </c>
      <c r="L1409" s="5" t="s">
        <v>31</v>
      </c>
      <c r="M1409" s="5" t="s">
        <v>284</v>
      </c>
      <c r="N1409" s="5" t="s">
        <v>53</v>
      </c>
      <c r="O1409" s="5">
        <v>128</v>
      </c>
      <c r="P1409" s="5"/>
      <c r="Q1409" s="5"/>
      <c r="R1409" s="8">
        <v>8.1018518518518516E-5</v>
      </c>
      <c r="S1409" s="5" t="s">
        <v>37</v>
      </c>
      <c r="T1409" t="str">
        <f>IF(Tabela1[[#This Row],[STATUS_NEGOCIO]]="Enviar E-mail",1,"")</f>
        <v/>
      </c>
      <c r="U1409" t="str">
        <f>TEXT(Tabela1[[#This Row],[DATA]],"dd/mm/aaaa")</f>
        <v>22/04/2026</v>
      </c>
    </row>
    <row r="1410" spans="1:21" x14ac:dyDescent="0.25">
      <c r="A1410" s="4">
        <v>46134.662766203706</v>
      </c>
      <c r="B1410" s="5" t="s">
        <v>19</v>
      </c>
      <c r="C1410" s="5" t="s">
        <v>37</v>
      </c>
      <c r="D1410" s="5">
        <v>302</v>
      </c>
      <c r="E1410" s="6">
        <v>28584852000192</v>
      </c>
      <c r="F1410" s="5">
        <v>302</v>
      </c>
      <c r="G1410" s="7">
        <v>177688406370321</v>
      </c>
      <c r="H1410" s="5" t="s">
        <v>469</v>
      </c>
      <c r="I1410" s="5">
        <v>3003</v>
      </c>
      <c r="J1410" s="5" t="s">
        <v>22</v>
      </c>
      <c r="K1410" s="5" t="s">
        <v>23</v>
      </c>
      <c r="L1410" s="5" t="s">
        <v>31</v>
      </c>
      <c r="M1410" s="5" t="s">
        <v>284</v>
      </c>
      <c r="N1410" s="5" t="s">
        <v>53</v>
      </c>
      <c r="O1410" s="5">
        <v>128</v>
      </c>
      <c r="P1410" s="5"/>
      <c r="Q1410" s="5"/>
      <c r="R1410" s="8">
        <v>8.1018518518518516E-5</v>
      </c>
      <c r="S1410" s="5" t="s">
        <v>37</v>
      </c>
      <c r="T1410" t="str">
        <f>IF(Tabela1[[#This Row],[STATUS_NEGOCIO]]="Enviar E-mail",1,"")</f>
        <v/>
      </c>
      <c r="U1410" t="str">
        <f>TEXT(Tabela1[[#This Row],[DATA]],"dd/mm/aaaa")</f>
        <v>22/04/2026</v>
      </c>
    </row>
    <row r="1411" spans="1:21" x14ac:dyDescent="0.25">
      <c r="A1411" s="4">
        <v>46134.662812499999</v>
      </c>
      <c r="B1411" s="5" t="s">
        <v>19</v>
      </c>
      <c r="C1411" s="5" t="s">
        <v>37</v>
      </c>
      <c r="D1411" s="5">
        <v>304</v>
      </c>
      <c r="E1411" s="6">
        <v>28673609000140</v>
      </c>
      <c r="F1411" s="5">
        <v>304</v>
      </c>
      <c r="G1411" s="7">
        <v>177688406770341</v>
      </c>
      <c r="H1411" s="5" t="s">
        <v>470</v>
      </c>
      <c r="I1411" s="5">
        <v>3003</v>
      </c>
      <c r="J1411" s="5" t="s">
        <v>22</v>
      </c>
      <c r="K1411" s="5" t="s">
        <v>23</v>
      </c>
      <c r="L1411" s="5" t="s">
        <v>31</v>
      </c>
      <c r="M1411" s="5" t="s">
        <v>284</v>
      </c>
      <c r="N1411" s="5" t="s">
        <v>53</v>
      </c>
      <c r="O1411" s="5">
        <v>128</v>
      </c>
      <c r="P1411" s="5"/>
      <c r="Q1411" s="5"/>
      <c r="R1411" s="8">
        <v>8.1018518518518516E-5</v>
      </c>
      <c r="S1411" s="5" t="s">
        <v>37</v>
      </c>
      <c r="T1411" t="str">
        <f>IF(Tabela1[[#This Row],[STATUS_NEGOCIO]]="Enviar E-mail",1,"")</f>
        <v/>
      </c>
      <c r="U1411" t="str">
        <f>TEXT(Tabela1[[#This Row],[DATA]],"dd/mm/aaaa")</f>
        <v>22/04/2026</v>
      </c>
    </row>
    <row r="1412" spans="1:21" x14ac:dyDescent="0.25">
      <c r="A1412" s="4">
        <v>46134.662847222222</v>
      </c>
      <c r="B1412" s="5" t="s">
        <v>19</v>
      </c>
      <c r="C1412" s="5" t="s">
        <v>37</v>
      </c>
      <c r="D1412" s="5">
        <v>305</v>
      </c>
      <c r="E1412" s="6">
        <v>28679579000180</v>
      </c>
      <c r="F1412" s="5">
        <v>305</v>
      </c>
      <c r="G1412" s="7">
        <v>177688407070361</v>
      </c>
      <c r="H1412" s="5" t="s">
        <v>196</v>
      </c>
      <c r="I1412" s="5">
        <v>3003</v>
      </c>
      <c r="J1412" s="5" t="s">
        <v>22</v>
      </c>
      <c r="K1412" s="5" t="s">
        <v>23</v>
      </c>
      <c r="L1412" s="5" t="s">
        <v>31</v>
      </c>
      <c r="M1412" s="5" t="s">
        <v>284</v>
      </c>
      <c r="N1412" s="5" t="s">
        <v>53</v>
      </c>
      <c r="O1412" s="5">
        <v>128</v>
      </c>
      <c r="P1412" s="5"/>
      <c r="Q1412" s="5"/>
      <c r="R1412" s="8">
        <v>8.1018518518518516E-5</v>
      </c>
      <c r="S1412" s="5" t="s">
        <v>37</v>
      </c>
      <c r="T1412" t="str">
        <f>IF(Tabela1[[#This Row],[STATUS_NEGOCIO]]="Enviar E-mail",1,"")</f>
        <v/>
      </c>
      <c r="U1412" t="str">
        <f>TEXT(Tabela1[[#This Row],[DATA]],"dd/mm/aaaa")</f>
        <v>22/04/2026</v>
      </c>
    </row>
    <row r="1413" spans="1:21" x14ac:dyDescent="0.25">
      <c r="A1413" s="4">
        <v>46134.662881944445</v>
      </c>
      <c r="B1413" s="5" t="s">
        <v>19</v>
      </c>
      <c r="C1413" s="5" t="s">
        <v>37</v>
      </c>
      <c r="D1413" s="5">
        <v>306</v>
      </c>
      <c r="E1413" s="6">
        <v>28757458000109</v>
      </c>
      <c r="F1413" s="5">
        <v>306</v>
      </c>
      <c r="G1413" s="7">
        <v>177688407370391</v>
      </c>
      <c r="H1413" s="5" t="s">
        <v>471</v>
      </c>
      <c r="I1413" s="5">
        <v>3003</v>
      </c>
      <c r="J1413" s="5" t="s">
        <v>22</v>
      </c>
      <c r="K1413" s="5" t="s">
        <v>23</v>
      </c>
      <c r="L1413" s="5" t="s">
        <v>31</v>
      </c>
      <c r="M1413" s="5" t="s">
        <v>284</v>
      </c>
      <c r="N1413" s="5" t="s">
        <v>53</v>
      </c>
      <c r="O1413" s="5">
        <v>128</v>
      </c>
      <c r="P1413" s="5"/>
      <c r="Q1413" s="5"/>
      <c r="R1413" s="8">
        <v>8.1018518518518516E-5</v>
      </c>
      <c r="S1413" s="5" t="s">
        <v>37</v>
      </c>
      <c r="T1413" t="str">
        <f>IF(Tabela1[[#This Row],[STATUS_NEGOCIO]]="Enviar E-mail",1,"")</f>
        <v/>
      </c>
      <c r="U1413" t="str">
        <f>TEXT(Tabela1[[#This Row],[DATA]],"dd/mm/aaaa")</f>
        <v>22/04/2026</v>
      </c>
    </row>
    <row r="1414" spans="1:21" x14ac:dyDescent="0.25">
      <c r="A1414" s="4">
        <v>46134.662986111114</v>
      </c>
      <c r="B1414" s="5" t="s">
        <v>19</v>
      </c>
      <c r="C1414" s="5" t="s">
        <v>37</v>
      </c>
      <c r="D1414" s="5">
        <v>307</v>
      </c>
      <c r="E1414" s="6">
        <v>28774621000141</v>
      </c>
      <c r="F1414" s="5">
        <v>307</v>
      </c>
      <c r="G1414" s="7">
        <v>177688408270411</v>
      </c>
      <c r="H1414" s="5" t="s">
        <v>472</v>
      </c>
      <c r="I1414" s="5">
        <v>3003</v>
      </c>
      <c r="J1414" s="5" t="s">
        <v>22</v>
      </c>
      <c r="K1414" s="5" t="s">
        <v>23</v>
      </c>
      <c r="L1414" s="5" t="s">
        <v>31</v>
      </c>
      <c r="M1414" s="5" t="s">
        <v>284</v>
      </c>
      <c r="N1414" s="5" t="s">
        <v>26</v>
      </c>
      <c r="O1414" s="5">
        <v>131</v>
      </c>
      <c r="P1414" s="5"/>
      <c r="Q1414" s="5"/>
      <c r="R1414" s="8">
        <v>1.1574074074074075E-4</v>
      </c>
      <c r="S1414" s="5" t="s">
        <v>37</v>
      </c>
      <c r="T1414" t="str">
        <f>IF(Tabela1[[#This Row],[STATUS_NEGOCIO]]="Enviar E-mail",1,"")</f>
        <v/>
      </c>
      <c r="U1414" t="str">
        <f>TEXT(Tabela1[[#This Row],[DATA]],"dd/mm/aaaa")</f>
        <v>22/04/2026</v>
      </c>
    </row>
    <row r="1415" spans="1:21" x14ac:dyDescent="0.25">
      <c r="A1415" s="4">
        <v>46134.662997685184</v>
      </c>
      <c r="B1415" s="5" t="s">
        <v>19</v>
      </c>
      <c r="C1415" s="5" t="s">
        <v>37</v>
      </c>
      <c r="D1415" s="5">
        <v>308</v>
      </c>
      <c r="E1415" s="6">
        <v>28801829000102</v>
      </c>
      <c r="F1415" s="5">
        <v>308</v>
      </c>
      <c r="G1415" s="7">
        <v>177688408370431</v>
      </c>
      <c r="H1415" s="5" t="s">
        <v>473</v>
      </c>
      <c r="I1415" s="5">
        <v>3003</v>
      </c>
      <c r="J1415" s="5" t="s">
        <v>22</v>
      </c>
      <c r="K1415" s="5" t="s">
        <v>23</v>
      </c>
      <c r="L1415" s="5" t="s">
        <v>31</v>
      </c>
      <c r="M1415" s="5" t="s">
        <v>284</v>
      </c>
      <c r="N1415" s="5" t="s">
        <v>53</v>
      </c>
      <c r="O1415" s="5">
        <v>128</v>
      </c>
      <c r="P1415" s="5"/>
      <c r="Q1415" s="5"/>
      <c r="R1415" s="8">
        <v>8.1018518518518516E-5</v>
      </c>
      <c r="S1415" s="5" t="s">
        <v>37</v>
      </c>
      <c r="T1415" t="str">
        <f>IF(Tabela1[[#This Row],[STATUS_NEGOCIO]]="Enviar E-mail",1,"")</f>
        <v/>
      </c>
      <c r="U1415" t="str">
        <f>TEXT(Tabela1[[#This Row],[DATA]],"dd/mm/aaaa")</f>
        <v>22/04/2026</v>
      </c>
    </row>
    <row r="1416" spans="1:21" x14ac:dyDescent="0.25">
      <c r="A1416" s="4">
        <v>46134.663032407407</v>
      </c>
      <c r="B1416" s="5" t="s">
        <v>19</v>
      </c>
      <c r="C1416" s="5" t="s">
        <v>37</v>
      </c>
      <c r="D1416" s="5">
        <v>309</v>
      </c>
      <c r="E1416" s="6">
        <v>28804490000106</v>
      </c>
      <c r="F1416" s="5">
        <v>309</v>
      </c>
      <c r="G1416" s="7">
        <v>177688408670451</v>
      </c>
      <c r="H1416" s="5" t="s">
        <v>177</v>
      </c>
      <c r="I1416" s="5">
        <v>3003</v>
      </c>
      <c r="J1416" s="5" t="s">
        <v>22</v>
      </c>
      <c r="K1416" s="5" t="s">
        <v>23</v>
      </c>
      <c r="L1416" s="5" t="s">
        <v>31</v>
      </c>
      <c r="M1416" s="5" t="s">
        <v>284</v>
      </c>
      <c r="N1416" s="5" t="s">
        <v>53</v>
      </c>
      <c r="O1416" s="5">
        <v>128</v>
      </c>
      <c r="P1416" s="5"/>
      <c r="Q1416" s="5"/>
      <c r="R1416" s="8">
        <v>8.1018518518518516E-5</v>
      </c>
      <c r="S1416" s="5" t="s">
        <v>37</v>
      </c>
      <c r="T1416" t="str">
        <f>IF(Tabela1[[#This Row],[STATUS_NEGOCIO]]="Enviar E-mail",1,"")</f>
        <v/>
      </c>
      <c r="U1416" t="str">
        <f>TEXT(Tabela1[[#This Row],[DATA]],"dd/mm/aaaa")</f>
        <v>22/04/2026</v>
      </c>
    </row>
    <row r="1417" spans="1:21" x14ac:dyDescent="0.25">
      <c r="A1417" s="4">
        <v>46134.663043981483</v>
      </c>
      <c r="B1417" s="5" t="s">
        <v>19</v>
      </c>
      <c r="C1417" s="5" t="s">
        <v>37</v>
      </c>
      <c r="D1417" s="5">
        <v>310</v>
      </c>
      <c r="E1417" s="6">
        <v>28818441000114</v>
      </c>
      <c r="F1417" s="5">
        <v>310</v>
      </c>
      <c r="G1417" s="7">
        <v>177688408770481</v>
      </c>
      <c r="H1417" s="5" t="s">
        <v>474</v>
      </c>
      <c r="I1417" s="5">
        <v>3003</v>
      </c>
      <c r="J1417" s="5" t="s">
        <v>22</v>
      </c>
      <c r="K1417" s="5" t="s">
        <v>23</v>
      </c>
      <c r="L1417" s="5" t="s">
        <v>31</v>
      </c>
      <c r="M1417" s="5" t="s">
        <v>284</v>
      </c>
      <c r="N1417" s="5" t="s">
        <v>53</v>
      </c>
      <c r="O1417" s="5">
        <v>128</v>
      </c>
      <c r="P1417" s="5"/>
      <c r="Q1417" s="5"/>
      <c r="R1417" s="8">
        <v>8.1018518518518516E-5</v>
      </c>
      <c r="S1417" s="5" t="s">
        <v>37</v>
      </c>
      <c r="T1417" t="str">
        <f>IF(Tabela1[[#This Row],[STATUS_NEGOCIO]]="Enviar E-mail",1,"")</f>
        <v/>
      </c>
      <c r="U1417" t="str">
        <f>TEXT(Tabela1[[#This Row],[DATA]],"dd/mm/aaaa")</f>
        <v>22/04/2026</v>
      </c>
    </row>
    <row r="1418" spans="1:21" x14ac:dyDescent="0.25">
      <c r="A1418" s="4">
        <v>46134.663113425922</v>
      </c>
      <c r="B1418" s="5" t="s">
        <v>19</v>
      </c>
      <c r="C1418" s="5" t="s">
        <v>37</v>
      </c>
      <c r="D1418" s="5">
        <v>311</v>
      </c>
      <c r="E1418" s="6">
        <v>28839589000135</v>
      </c>
      <c r="F1418" s="5">
        <v>311</v>
      </c>
      <c r="G1418" s="7">
        <v>177688409370561</v>
      </c>
      <c r="H1418" s="5" t="s">
        <v>475</v>
      </c>
      <c r="I1418" s="5">
        <v>3003</v>
      </c>
      <c r="J1418" s="5" t="s">
        <v>22</v>
      </c>
      <c r="K1418" s="5" t="s">
        <v>23</v>
      </c>
      <c r="L1418" s="5" t="s">
        <v>31</v>
      </c>
      <c r="M1418" s="5" t="s">
        <v>284</v>
      </c>
      <c r="N1418" s="5" t="s">
        <v>53</v>
      </c>
      <c r="O1418" s="5">
        <v>147</v>
      </c>
      <c r="P1418" s="5"/>
      <c r="Q1418" s="5"/>
      <c r="R1418" s="8">
        <v>8.1018518518518516E-5</v>
      </c>
      <c r="S1418" s="5" t="s">
        <v>37</v>
      </c>
      <c r="T1418" t="str">
        <f>IF(Tabela1[[#This Row],[STATUS_NEGOCIO]]="Enviar E-mail",1,"")</f>
        <v/>
      </c>
      <c r="U1418" t="str">
        <f>TEXT(Tabela1[[#This Row],[DATA]],"dd/mm/aaaa")</f>
        <v>22/04/2026</v>
      </c>
    </row>
    <row r="1419" spans="1:21" x14ac:dyDescent="0.25">
      <c r="A1419" s="4">
        <v>46134.663124999999</v>
      </c>
      <c r="B1419" s="5" t="s">
        <v>19</v>
      </c>
      <c r="C1419" s="5" t="s">
        <v>37</v>
      </c>
      <c r="D1419" s="5">
        <v>312</v>
      </c>
      <c r="E1419" s="6">
        <v>28886281000140</v>
      </c>
      <c r="F1419" s="5">
        <v>312</v>
      </c>
      <c r="G1419" s="7">
        <v>177688409470581</v>
      </c>
      <c r="H1419" s="5" t="s">
        <v>476</v>
      </c>
      <c r="I1419" s="5">
        <v>3003</v>
      </c>
      <c r="J1419" s="5" t="s">
        <v>22</v>
      </c>
      <c r="K1419" s="5" t="s">
        <v>23</v>
      </c>
      <c r="L1419" s="5" t="s">
        <v>31</v>
      </c>
      <c r="M1419" s="5" t="s">
        <v>284</v>
      </c>
      <c r="N1419" s="5" t="s">
        <v>53</v>
      </c>
      <c r="O1419" s="5">
        <v>128</v>
      </c>
      <c r="P1419" s="5"/>
      <c r="Q1419" s="5"/>
      <c r="R1419" s="8">
        <v>8.1018518518518516E-5</v>
      </c>
      <c r="S1419" s="5" t="s">
        <v>37</v>
      </c>
      <c r="T1419" t="str">
        <f>IF(Tabela1[[#This Row],[STATUS_NEGOCIO]]="Enviar E-mail",1,"")</f>
        <v/>
      </c>
      <c r="U1419" t="str">
        <f>TEXT(Tabela1[[#This Row],[DATA]],"dd/mm/aaaa")</f>
        <v>22/04/2026</v>
      </c>
    </row>
    <row r="1420" spans="1:21" x14ac:dyDescent="0.25">
      <c r="A1420" s="4">
        <v>46134.663321759261</v>
      </c>
      <c r="B1420" s="5" t="s">
        <v>19</v>
      </c>
      <c r="C1420" s="5" t="s">
        <v>37</v>
      </c>
      <c r="D1420" s="5">
        <v>313</v>
      </c>
      <c r="E1420" s="6">
        <v>28889028000140</v>
      </c>
      <c r="F1420" s="5">
        <v>313</v>
      </c>
      <c r="G1420" s="7">
        <v>177688411170691</v>
      </c>
      <c r="H1420" s="5" t="s">
        <v>477</v>
      </c>
      <c r="I1420" s="5">
        <v>3003</v>
      </c>
      <c r="J1420" s="5" t="s">
        <v>22</v>
      </c>
      <c r="K1420" s="5" t="s">
        <v>23</v>
      </c>
      <c r="L1420" s="5" t="s">
        <v>31</v>
      </c>
      <c r="M1420" s="5" t="s">
        <v>284</v>
      </c>
      <c r="N1420" s="5" t="s">
        <v>53</v>
      </c>
      <c r="O1420" s="5">
        <v>128</v>
      </c>
      <c r="P1420" s="5"/>
      <c r="Q1420" s="5"/>
      <c r="R1420" s="8">
        <v>8.1018518518518516E-5</v>
      </c>
      <c r="S1420" s="5" t="s">
        <v>37</v>
      </c>
      <c r="T1420" t="str">
        <f>IF(Tabela1[[#This Row],[STATUS_NEGOCIO]]="Enviar E-mail",1,"")</f>
        <v/>
      </c>
      <c r="U1420" t="str">
        <f>TEXT(Tabela1[[#This Row],[DATA]],"dd/mm/aaaa")</f>
        <v>22/04/2026</v>
      </c>
    </row>
    <row r="1421" spans="1:21" x14ac:dyDescent="0.25">
      <c r="A1421" s="4">
        <v>46134.663356481484</v>
      </c>
      <c r="B1421" s="5" t="s">
        <v>19</v>
      </c>
      <c r="C1421" s="5" t="s">
        <v>37</v>
      </c>
      <c r="D1421" s="5">
        <v>314</v>
      </c>
      <c r="E1421" s="6">
        <v>29203700000165</v>
      </c>
      <c r="F1421" s="5">
        <v>314</v>
      </c>
      <c r="G1421" s="7">
        <v>177688411470721</v>
      </c>
      <c r="H1421" s="5" t="s">
        <v>478</v>
      </c>
      <c r="I1421" s="5">
        <v>3003</v>
      </c>
      <c r="J1421" s="5" t="s">
        <v>22</v>
      </c>
      <c r="K1421" s="5" t="s">
        <v>23</v>
      </c>
      <c r="L1421" s="5" t="s">
        <v>31</v>
      </c>
      <c r="M1421" s="5" t="s">
        <v>284</v>
      </c>
      <c r="N1421" s="5" t="s">
        <v>53</v>
      </c>
      <c r="O1421" s="5">
        <v>128</v>
      </c>
      <c r="P1421" s="5"/>
      <c r="Q1421" s="5"/>
      <c r="R1421" s="8">
        <v>8.1018518518518516E-5</v>
      </c>
      <c r="S1421" s="5" t="s">
        <v>37</v>
      </c>
      <c r="T1421" t="str">
        <f>IF(Tabela1[[#This Row],[STATUS_NEGOCIO]]="Enviar E-mail",1,"")</f>
        <v/>
      </c>
      <c r="U1421" t="str">
        <f>TEXT(Tabela1[[#This Row],[DATA]],"dd/mm/aaaa")</f>
        <v>22/04/2026</v>
      </c>
    </row>
    <row r="1422" spans="1:21" x14ac:dyDescent="0.25">
      <c r="A1422" s="4">
        <v>46134.663368055553</v>
      </c>
      <c r="B1422" s="5" t="s">
        <v>19</v>
      </c>
      <c r="C1422" s="5" t="s">
        <v>37</v>
      </c>
      <c r="D1422" s="5">
        <v>315</v>
      </c>
      <c r="E1422" s="6">
        <v>29230335000188</v>
      </c>
      <c r="F1422" s="5">
        <v>315</v>
      </c>
      <c r="G1422" s="7">
        <v>177688411570741</v>
      </c>
      <c r="H1422" s="5" t="s">
        <v>479</v>
      </c>
      <c r="I1422" s="5">
        <v>3003</v>
      </c>
      <c r="J1422" s="5" t="s">
        <v>22</v>
      </c>
      <c r="K1422" s="5" t="s">
        <v>23</v>
      </c>
      <c r="L1422" s="5" t="s">
        <v>31</v>
      </c>
      <c r="M1422" s="5" t="s">
        <v>284</v>
      </c>
      <c r="N1422" s="5" t="s">
        <v>53</v>
      </c>
      <c r="O1422" s="5">
        <v>128</v>
      </c>
      <c r="P1422" s="5"/>
      <c r="Q1422" s="5"/>
      <c r="R1422" s="8">
        <v>8.1018518518518516E-5</v>
      </c>
      <c r="S1422" s="5" t="s">
        <v>37</v>
      </c>
      <c r="T1422" t="str">
        <f>IF(Tabela1[[#This Row],[STATUS_NEGOCIO]]="Enviar E-mail",1,"")</f>
        <v/>
      </c>
      <c r="U1422" t="str">
        <f>TEXT(Tabela1[[#This Row],[DATA]],"dd/mm/aaaa")</f>
        <v>22/04/2026</v>
      </c>
    </row>
    <row r="1423" spans="1:21" x14ac:dyDescent="0.25">
      <c r="A1423" s="4">
        <v>46134.663368055553</v>
      </c>
      <c r="B1423" s="5" t="s">
        <v>19</v>
      </c>
      <c r="C1423" s="5" t="s">
        <v>37</v>
      </c>
      <c r="D1423" s="5">
        <v>318</v>
      </c>
      <c r="E1423" s="6">
        <v>29313890000173</v>
      </c>
      <c r="F1423" s="5">
        <v>318</v>
      </c>
      <c r="G1423" s="7">
        <v>177688411570751</v>
      </c>
      <c r="H1423" s="5" t="s">
        <v>481</v>
      </c>
      <c r="I1423" s="5" t="s">
        <v>52</v>
      </c>
      <c r="J1423" s="5" t="s">
        <v>22</v>
      </c>
      <c r="K1423" s="5" t="s">
        <v>36</v>
      </c>
      <c r="L1423" s="5" t="s">
        <v>36</v>
      </c>
      <c r="M1423" s="5" t="s">
        <v>284</v>
      </c>
      <c r="N1423" s="5" t="s">
        <v>53</v>
      </c>
      <c r="O1423" s="5">
        <v>1</v>
      </c>
      <c r="P1423" s="5"/>
      <c r="Q1423" s="5"/>
      <c r="R1423" s="8">
        <v>0</v>
      </c>
      <c r="S1423" s="5" t="s">
        <v>37</v>
      </c>
      <c r="T1423" t="str">
        <f>IF(Tabela1[[#This Row],[STATUS_NEGOCIO]]="Enviar E-mail",1,"")</f>
        <v/>
      </c>
      <c r="U1423" t="str">
        <f>TEXT(Tabela1[[#This Row],[DATA]],"dd/mm/aaaa")</f>
        <v>22/04/2026</v>
      </c>
    </row>
    <row r="1424" spans="1:21" x14ac:dyDescent="0.25">
      <c r="A1424" s="4">
        <v>46134.663368055553</v>
      </c>
      <c r="B1424" s="5" t="s">
        <v>19</v>
      </c>
      <c r="C1424" s="5" t="s">
        <v>37</v>
      </c>
      <c r="D1424" s="5">
        <v>320</v>
      </c>
      <c r="E1424" s="6">
        <v>29348695000189</v>
      </c>
      <c r="F1424" s="5">
        <v>320</v>
      </c>
      <c r="G1424" s="7">
        <v>177688411570761</v>
      </c>
      <c r="H1424" s="5" t="s">
        <v>482</v>
      </c>
      <c r="I1424" s="5">
        <v>3003</v>
      </c>
      <c r="J1424" s="5" t="s">
        <v>22</v>
      </c>
      <c r="K1424" s="5" t="s">
        <v>23</v>
      </c>
      <c r="L1424" s="5" t="s">
        <v>31</v>
      </c>
      <c r="M1424" s="5" t="s">
        <v>284</v>
      </c>
      <c r="N1424" s="5" t="s">
        <v>53</v>
      </c>
      <c r="O1424" s="5">
        <v>128</v>
      </c>
      <c r="P1424" s="5"/>
      <c r="Q1424" s="5"/>
      <c r="R1424" s="8">
        <v>8.1018518518518516E-5</v>
      </c>
      <c r="S1424" s="5" t="s">
        <v>37</v>
      </c>
      <c r="T1424" t="str">
        <f>IF(Tabela1[[#This Row],[STATUS_NEGOCIO]]="Enviar E-mail",1,"")</f>
        <v/>
      </c>
      <c r="U1424" t="str">
        <f>TEXT(Tabela1[[#This Row],[DATA]],"dd/mm/aaaa")</f>
        <v>22/04/2026</v>
      </c>
    </row>
    <row r="1425" spans="1:21" x14ac:dyDescent="0.25">
      <c r="A1425" s="4">
        <v>46134.663368055553</v>
      </c>
      <c r="B1425" s="5" t="s">
        <v>19</v>
      </c>
      <c r="C1425" s="5" t="s">
        <v>27</v>
      </c>
      <c r="D1425" s="5">
        <v>323</v>
      </c>
      <c r="E1425" s="6">
        <v>29627007000110</v>
      </c>
      <c r="F1425" s="5">
        <v>323</v>
      </c>
      <c r="G1425" s="7">
        <v>177688411570781</v>
      </c>
      <c r="H1425" s="5" t="s">
        <v>485</v>
      </c>
      <c r="I1425" s="5">
        <v>3003</v>
      </c>
      <c r="J1425" s="5" t="s">
        <v>22</v>
      </c>
      <c r="K1425" s="5" t="s">
        <v>23</v>
      </c>
      <c r="L1425" s="5" t="s">
        <v>40</v>
      </c>
      <c r="M1425" s="5" t="s">
        <v>284</v>
      </c>
      <c r="N1425" s="5" t="s">
        <v>26</v>
      </c>
      <c r="O1425" s="5">
        <v>16</v>
      </c>
      <c r="P1425" s="5"/>
      <c r="Q1425" s="5"/>
      <c r="R1425" s="8">
        <v>1.5509259259259259E-3</v>
      </c>
      <c r="S1425" s="8">
        <v>1.4930555555555556E-3</v>
      </c>
      <c r="T1425">
        <f>IF(Tabela1[[#This Row],[STATUS_NEGOCIO]]="Enviar E-mail",1,"")</f>
        <v>1</v>
      </c>
      <c r="U1425" t="str">
        <f>TEXT(Tabela1[[#This Row],[DATA]],"dd/mm/aaaa")</f>
        <v>22/04/2026</v>
      </c>
    </row>
    <row r="1426" spans="1:21" x14ac:dyDescent="0.25">
      <c r="A1426" s="4">
        <v>46134.663472222222</v>
      </c>
      <c r="B1426" s="5" t="s">
        <v>19</v>
      </c>
      <c r="C1426" s="5" t="s">
        <v>37</v>
      </c>
      <c r="D1426" s="5">
        <v>325</v>
      </c>
      <c r="E1426" s="6">
        <v>29654365000111</v>
      </c>
      <c r="F1426" s="5">
        <v>325</v>
      </c>
      <c r="G1426" s="7">
        <v>177688412470801</v>
      </c>
      <c r="H1426" s="5" t="s">
        <v>487</v>
      </c>
      <c r="I1426" s="5">
        <v>3003</v>
      </c>
      <c r="J1426" s="5" t="s">
        <v>22</v>
      </c>
      <c r="K1426" s="5" t="s">
        <v>23</v>
      </c>
      <c r="L1426" s="5" t="s">
        <v>31</v>
      </c>
      <c r="M1426" s="5" t="s">
        <v>284</v>
      </c>
      <c r="N1426" s="5" t="s">
        <v>53</v>
      </c>
      <c r="O1426" s="5">
        <v>128</v>
      </c>
      <c r="P1426" s="5"/>
      <c r="Q1426" s="5"/>
      <c r="R1426" s="8">
        <v>8.1018518518518516E-5</v>
      </c>
      <c r="S1426" s="5" t="s">
        <v>37</v>
      </c>
      <c r="T1426" t="str">
        <f>IF(Tabela1[[#This Row],[STATUS_NEGOCIO]]="Enviar E-mail",1,"")</f>
        <v/>
      </c>
      <c r="U1426" t="str">
        <f>TEXT(Tabela1[[#This Row],[DATA]],"dd/mm/aaaa")</f>
        <v>22/04/2026</v>
      </c>
    </row>
    <row r="1427" spans="1:21" x14ac:dyDescent="0.25">
      <c r="A1427" s="4">
        <v>46134.663530092592</v>
      </c>
      <c r="B1427" s="5" t="s">
        <v>19</v>
      </c>
      <c r="C1427" s="5" t="s">
        <v>37</v>
      </c>
      <c r="D1427" s="5">
        <v>326</v>
      </c>
      <c r="E1427" s="6">
        <v>29688710000138</v>
      </c>
      <c r="F1427" s="5">
        <v>326</v>
      </c>
      <c r="G1427" s="7">
        <v>177688412970831</v>
      </c>
      <c r="H1427" s="5" t="s">
        <v>169</v>
      </c>
      <c r="I1427" s="5">
        <v>3003</v>
      </c>
      <c r="J1427" s="5" t="s">
        <v>22</v>
      </c>
      <c r="K1427" s="5" t="s">
        <v>23</v>
      </c>
      <c r="L1427" s="5" t="s">
        <v>31</v>
      </c>
      <c r="M1427" s="5" t="s">
        <v>284</v>
      </c>
      <c r="N1427" s="5" t="s">
        <v>53</v>
      </c>
      <c r="O1427" s="5">
        <v>128</v>
      </c>
      <c r="P1427" s="5"/>
      <c r="Q1427" s="5"/>
      <c r="R1427" s="8">
        <v>8.1018518518518516E-5</v>
      </c>
      <c r="S1427" s="5" t="s">
        <v>37</v>
      </c>
      <c r="T1427" t="str">
        <f>IF(Tabela1[[#This Row],[STATUS_NEGOCIO]]="Enviar E-mail",1,"")</f>
        <v/>
      </c>
      <c r="U1427" t="str">
        <f>TEXT(Tabela1[[#This Row],[DATA]],"dd/mm/aaaa")</f>
        <v>22/04/2026</v>
      </c>
    </row>
    <row r="1428" spans="1:21" x14ac:dyDescent="0.25">
      <c r="A1428" s="4">
        <v>46134.663564814815</v>
      </c>
      <c r="B1428" s="5" t="s">
        <v>19</v>
      </c>
      <c r="C1428" s="5" t="s">
        <v>37</v>
      </c>
      <c r="D1428" s="5">
        <v>327</v>
      </c>
      <c r="E1428" s="6">
        <v>29732268000108</v>
      </c>
      <c r="F1428" s="5">
        <v>327</v>
      </c>
      <c r="G1428" s="7">
        <v>177688413270861</v>
      </c>
      <c r="H1428" s="5" t="s">
        <v>71</v>
      </c>
      <c r="I1428" s="5" t="s">
        <v>52</v>
      </c>
      <c r="J1428" s="5" t="s">
        <v>22</v>
      </c>
      <c r="K1428" s="5" t="s">
        <v>36</v>
      </c>
      <c r="L1428" s="5" t="s">
        <v>36</v>
      </c>
      <c r="M1428" s="5" t="s">
        <v>284</v>
      </c>
      <c r="N1428" s="5" t="s">
        <v>53</v>
      </c>
      <c r="O1428" s="5">
        <v>19</v>
      </c>
      <c r="P1428" s="5"/>
      <c r="Q1428" s="5"/>
      <c r="R1428" s="8">
        <v>0</v>
      </c>
      <c r="S1428" s="5" t="s">
        <v>37</v>
      </c>
      <c r="T1428" t="str">
        <f>IF(Tabela1[[#This Row],[STATUS_NEGOCIO]]="Enviar E-mail",1,"")</f>
        <v/>
      </c>
      <c r="U1428" t="str">
        <f>TEXT(Tabela1[[#This Row],[DATA]],"dd/mm/aaaa")</f>
        <v>22/04/2026</v>
      </c>
    </row>
    <row r="1429" spans="1:21" x14ac:dyDescent="0.25">
      <c r="A1429" s="4">
        <v>46134.663599537038</v>
      </c>
      <c r="B1429" s="5" t="s">
        <v>19</v>
      </c>
      <c r="C1429" s="5" t="s">
        <v>37</v>
      </c>
      <c r="D1429" s="5">
        <v>328</v>
      </c>
      <c r="E1429" s="6">
        <v>29762098000104</v>
      </c>
      <c r="F1429" s="5">
        <v>328</v>
      </c>
      <c r="G1429" s="7">
        <v>177688413570881</v>
      </c>
      <c r="H1429" s="5" t="s">
        <v>488</v>
      </c>
      <c r="I1429" s="5" t="s">
        <v>52</v>
      </c>
      <c r="J1429" s="5" t="s">
        <v>22</v>
      </c>
      <c r="K1429" s="5" t="s">
        <v>36</v>
      </c>
      <c r="L1429" s="5" t="s">
        <v>36</v>
      </c>
      <c r="M1429" s="5" t="s">
        <v>284</v>
      </c>
      <c r="N1429" s="5" t="s">
        <v>53</v>
      </c>
      <c r="O1429" s="5">
        <v>34</v>
      </c>
      <c r="P1429" s="5"/>
      <c r="Q1429" s="5"/>
      <c r="R1429" s="8">
        <v>0</v>
      </c>
      <c r="S1429" s="5" t="s">
        <v>37</v>
      </c>
      <c r="T1429" t="str">
        <f>IF(Tabela1[[#This Row],[STATUS_NEGOCIO]]="Enviar E-mail",1,"")</f>
        <v/>
      </c>
      <c r="U1429" t="str">
        <f>TEXT(Tabela1[[#This Row],[DATA]],"dd/mm/aaaa")</f>
        <v>22/04/2026</v>
      </c>
    </row>
    <row r="1430" spans="1:21" x14ac:dyDescent="0.25">
      <c r="A1430" s="4">
        <v>46134.663773148146</v>
      </c>
      <c r="B1430" s="5" t="s">
        <v>19</v>
      </c>
      <c r="C1430" s="5" t="s">
        <v>37</v>
      </c>
      <c r="D1430" s="5">
        <v>322</v>
      </c>
      <c r="E1430" s="6">
        <v>29549276000105</v>
      </c>
      <c r="F1430" s="5">
        <v>322</v>
      </c>
      <c r="G1430" s="7">
        <v>177688411570771</v>
      </c>
      <c r="H1430" s="5" t="s">
        <v>484</v>
      </c>
      <c r="I1430" s="5">
        <v>3003</v>
      </c>
      <c r="J1430" s="5" t="s">
        <v>22</v>
      </c>
      <c r="K1430" s="5" t="s">
        <v>23</v>
      </c>
      <c r="L1430" s="5" t="s">
        <v>31</v>
      </c>
      <c r="M1430" s="5" t="s">
        <v>284</v>
      </c>
      <c r="N1430" s="5" t="s">
        <v>26</v>
      </c>
      <c r="O1430" s="5">
        <v>131</v>
      </c>
      <c r="P1430" s="5"/>
      <c r="Q1430" s="5"/>
      <c r="R1430" s="8">
        <v>3.3564814814814812E-4</v>
      </c>
      <c r="S1430" s="5" t="s">
        <v>37</v>
      </c>
      <c r="T1430" t="str">
        <f>IF(Tabela1[[#This Row],[STATUS_NEGOCIO]]="Enviar E-mail",1,"")</f>
        <v/>
      </c>
      <c r="U1430" t="str">
        <f>TEXT(Tabela1[[#This Row],[DATA]],"dd/mm/aaaa")</f>
        <v>22/04/2026</v>
      </c>
    </row>
    <row r="1431" spans="1:21" x14ac:dyDescent="0.25">
      <c r="A1431" s="4">
        <v>46134.663993055554</v>
      </c>
      <c r="B1431" s="5" t="s">
        <v>19</v>
      </c>
      <c r="C1431" s="5" t="s">
        <v>37</v>
      </c>
      <c r="D1431" s="5">
        <v>329</v>
      </c>
      <c r="E1431" s="6">
        <v>29763215000146</v>
      </c>
      <c r="F1431" s="5">
        <v>329</v>
      </c>
      <c r="G1431" s="7">
        <v>177688416971001</v>
      </c>
      <c r="H1431" s="5" t="s">
        <v>489</v>
      </c>
      <c r="I1431" s="5">
        <v>3003</v>
      </c>
      <c r="J1431" s="5" t="s">
        <v>22</v>
      </c>
      <c r="K1431" s="5" t="s">
        <v>23</v>
      </c>
      <c r="L1431" s="5" t="s">
        <v>31</v>
      </c>
      <c r="M1431" s="5" t="s">
        <v>284</v>
      </c>
      <c r="N1431" s="5" t="s">
        <v>53</v>
      </c>
      <c r="O1431" s="5">
        <v>128</v>
      </c>
      <c r="P1431" s="5"/>
      <c r="Q1431" s="5"/>
      <c r="R1431" s="8">
        <v>6.9444444444444444E-5</v>
      </c>
      <c r="S1431" s="5" t="s">
        <v>37</v>
      </c>
      <c r="T1431" t="str">
        <f>IF(Tabela1[[#This Row],[STATUS_NEGOCIO]]="Enviar E-mail",1,"")</f>
        <v/>
      </c>
      <c r="U1431" t="str">
        <f>TEXT(Tabela1[[#This Row],[DATA]],"dd/mm/aaaa")</f>
        <v>22/04/2026</v>
      </c>
    </row>
    <row r="1432" spans="1:21" x14ac:dyDescent="0.25">
      <c r="A1432" s="4">
        <v>46134.663993055554</v>
      </c>
      <c r="B1432" s="5" t="s">
        <v>19</v>
      </c>
      <c r="C1432" s="5" t="s">
        <v>37</v>
      </c>
      <c r="D1432" s="5">
        <v>330</v>
      </c>
      <c r="E1432" s="6">
        <v>29804549000110</v>
      </c>
      <c r="F1432" s="5">
        <v>330</v>
      </c>
      <c r="G1432" s="7">
        <v>177688416971011</v>
      </c>
      <c r="H1432" s="5" t="s">
        <v>186</v>
      </c>
      <c r="I1432" s="5">
        <v>3003</v>
      </c>
      <c r="J1432" s="5" t="s">
        <v>22</v>
      </c>
      <c r="K1432" s="5" t="s">
        <v>23</v>
      </c>
      <c r="L1432" s="5" t="s">
        <v>31</v>
      </c>
      <c r="M1432" s="5" t="s">
        <v>284</v>
      </c>
      <c r="N1432" s="5" t="s">
        <v>53</v>
      </c>
      <c r="O1432" s="5">
        <v>128</v>
      </c>
      <c r="P1432" s="5"/>
      <c r="Q1432" s="5"/>
      <c r="R1432" s="8">
        <v>8.1018518518518516E-5</v>
      </c>
      <c r="S1432" s="5" t="s">
        <v>37</v>
      </c>
      <c r="T1432" t="str">
        <f>IF(Tabela1[[#This Row],[STATUS_NEGOCIO]]="Enviar E-mail",1,"")</f>
        <v/>
      </c>
      <c r="U1432" t="str">
        <f>TEXT(Tabela1[[#This Row],[DATA]],"dd/mm/aaaa")</f>
        <v>22/04/2026</v>
      </c>
    </row>
    <row r="1433" spans="1:21" x14ac:dyDescent="0.25">
      <c r="A1433" s="4">
        <v>46134.663993055554</v>
      </c>
      <c r="B1433" s="5" t="s">
        <v>19</v>
      </c>
      <c r="C1433" s="5" t="s">
        <v>37</v>
      </c>
      <c r="D1433" s="5">
        <v>331</v>
      </c>
      <c r="E1433" s="6">
        <v>29971512000187</v>
      </c>
      <c r="F1433" s="5">
        <v>331</v>
      </c>
      <c r="G1433" s="7">
        <v>177688416971021</v>
      </c>
      <c r="H1433" s="5" t="s">
        <v>490</v>
      </c>
      <c r="I1433" s="5">
        <v>3003</v>
      </c>
      <c r="J1433" s="5" t="s">
        <v>22</v>
      </c>
      <c r="K1433" s="5" t="s">
        <v>23</v>
      </c>
      <c r="L1433" s="5" t="s">
        <v>31</v>
      </c>
      <c r="M1433" s="5" t="s">
        <v>284</v>
      </c>
      <c r="N1433" s="5" t="s">
        <v>53</v>
      </c>
      <c r="O1433" s="5">
        <v>128</v>
      </c>
      <c r="P1433" s="5"/>
      <c r="Q1433" s="5"/>
      <c r="R1433" s="8">
        <v>8.1018518518518516E-5</v>
      </c>
      <c r="S1433" s="5" t="s">
        <v>37</v>
      </c>
      <c r="T1433" t="str">
        <f>IF(Tabela1[[#This Row],[STATUS_NEGOCIO]]="Enviar E-mail",1,"")</f>
        <v/>
      </c>
      <c r="U1433" t="str">
        <f>TEXT(Tabela1[[#This Row],[DATA]],"dd/mm/aaaa")</f>
        <v>22/04/2026</v>
      </c>
    </row>
    <row r="1434" spans="1:21" x14ac:dyDescent="0.25">
      <c r="A1434" s="4">
        <v>46134.664004629631</v>
      </c>
      <c r="B1434" s="5" t="s">
        <v>19</v>
      </c>
      <c r="C1434" s="5" t="s">
        <v>37</v>
      </c>
      <c r="D1434" s="5">
        <v>332</v>
      </c>
      <c r="E1434" s="6">
        <v>29976990000180</v>
      </c>
      <c r="F1434" s="5">
        <v>332</v>
      </c>
      <c r="G1434" s="7">
        <v>177688417071031</v>
      </c>
      <c r="H1434" s="5" t="s">
        <v>491</v>
      </c>
      <c r="I1434" s="5">
        <v>3003</v>
      </c>
      <c r="J1434" s="5" t="s">
        <v>22</v>
      </c>
      <c r="K1434" s="5" t="s">
        <v>23</v>
      </c>
      <c r="L1434" s="5" t="s">
        <v>31</v>
      </c>
      <c r="M1434" s="5" t="s">
        <v>284</v>
      </c>
      <c r="N1434" s="5" t="s">
        <v>53</v>
      </c>
      <c r="O1434" s="5">
        <v>128</v>
      </c>
      <c r="P1434" s="5"/>
      <c r="Q1434" s="5"/>
      <c r="R1434" s="8">
        <v>8.1018518518518516E-5</v>
      </c>
      <c r="S1434" s="5" t="s">
        <v>37</v>
      </c>
      <c r="T1434" t="str">
        <f>IF(Tabela1[[#This Row],[STATUS_NEGOCIO]]="Enviar E-mail",1,"")</f>
        <v/>
      </c>
      <c r="U1434" t="str">
        <f>TEXT(Tabela1[[#This Row],[DATA]],"dd/mm/aaaa")</f>
        <v>22/04/2026</v>
      </c>
    </row>
    <row r="1435" spans="1:21" x14ac:dyDescent="0.25">
      <c r="A1435" s="4">
        <v>46134.664050925923</v>
      </c>
      <c r="B1435" s="5" t="s">
        <v>19</v>
      </c>
      <c r="C1435" s="5" t="s">
        <v>37</v>
      </c>
      <c r="D1435" s="5">
        <v>333</v>
      </c>
      <c r="E1435" s="6">
        <v>30116263000121</v>
      </c>
      <c r="F1435" s="5">
        <v>333</v>
      </c>
      <c r="G1435" s="7">
        <v>177688417471081</v>
      </c>
      <c r="H1435" s="5" t="s">
        <v>492</v>
      </c>
      <c r="I1435" s="5" t="s">
        <v>52</v>
      </c>
      <c r="J1435" s="5" t="s">
        <v>22</v>
      </c>
      <c r="K1435" s="5" t="s">
        <v>36</v>
      </c>
      <c r="L1435" s="5" t="s">
        <v>36</v>
      </c>
      <c r="M1435" s="5" t="s">
        <v>284</v>
      </c>
      <c r="N1435" s="5" t="s">
        <v>53</v>
      </c>
      <c r="O1435" s="5">
        <v>19</v>
      </c>
      <c r="P1435" s="5"/>
      <c r="Q1435" s="5"/>
      <c r="R1435" s="8">
        <v>0</v>
      </c>
      <c r="S1435" s="5" t="s">
        <v>37</v>
      </c>
      <c r="T1435" t="str">
        <f>IF(Tabela1[[#This Row],[STATUS_NEGOCIO]]="Enviar E-mail",1,"")</f>
        <v/>
      </c>
      <c r="U1435" t="str">
        <f>TEXT(Tabela1[[#This Row],[DATA]],"dd/mm/aaaa")</f>
        <v>22/04/2026</v>
      </c>
    </row>
    <row r="1436" spans="1:21" x14ac:dyDescent="0.25">
      <c r="A1436" s="4">
        <v>46134.6640625</v>
      </c>
      <c r="B1436" s="5" t="s">
        <v>19</v>
      </c>
      <c r="C1436" s="5" t="s">
        <v>37</v>
      </c>
      <c r="D1436" s="5">
        <v>334</v>
      </c>
      <c r="E1436" s="6">
        <v>30162531000141</v>
      </c>
      <c r="F1436" s="5">
        <v>334</v>
      </c>
      <c r="G1436" s="7">
        <v>177688417571141</v>
      </c>
      <c r="H1436" s="5" t="s">
        <v>167</v>
      </c>
      <c r="I1436" s="5">
        <v>3003</v>
      </c>
      <c r="J1436" s="5" t="s">
        <v>22</v>
      </c>
      <c r="K1436" s="5" t="s">
        <v>23</v>
      </c>
      <c r="L1436" s="5" t="s">
        <v>31</v>
      </c>
      <c r="M1436" s="5" t="s">
        <v>284</v>
      </c>
      <c r="N1436" s="5" t="s">
        <v>53</v>
      </c>
      <c r="O1436" s="5">
        <v>128</v>
      </c>
      <c r="P1436" s="5"/>
      <c r="Q1436" s="5"/>
      <c r="R1436" s="8">
        <v>8.1018518518518516E-5</v>
      </c>
      <c r="S1436" s="5" t="s">
        <v>37</v>
      </c>
      <c r="T1436" t="str">
        <f>IF(Tabela1[[#This Row],[STATUS_NEGOCIO]]="Enviar E-mail",1,"")</f>
        <v/>
      </c>
      <c r="U1436" t="str">
        <f>TEXT(Tabela1[[#This Row],[DATA]],"dd/mm/aaaa")</f>
        <v>22/04/2026</v>
      </c>
    </row>
    <row r="1437" spans="1:21" x14ac:dyDescent="0.25">
      <c r="A1437" s="4">
        <v>46134.664120370369</v>
      </c>
      <c r="B1437" s="5" t="s">
        <v>19</v>
      </c>
      <c r="C1437" s="5" t="s">
        <v>37</v>
      </c>
      <c r="D1437" s="5">
        <v>335</v>
      </c>
      <c r="E1437" s="6">
        <v>30165203000107</v>
      </c>
      <c r="F1437" s="5">
        <v>335</v>
      </c>
      <c r="G1437" s="7">
        <v>177688418071201</v>
      </c>
      <c r="H1437" s="5" t="s">
        <v>89</v>
      </c>
      <c r="I1437" s="5">
        <v>3003</v>
      </c>
      <c r="J1437" s="5" t="s">
        <v>22</v>
      </c>
      <c r="K1437" s="5" t="s">
        <v>23</v>
      </c>
      <c r="L1437" s="5" t="s">
        <v>31</v>
      </c>
      <c r="M1437" s="5" t="s">
        <v>284</v>
      </c>
      <c r="N1437" s="5" t="s">
        <v>53</v>
      </c>
      <c r="O1437" s="5">
        <v>128</v>
      </c>
      <c r="P1437" s="5"/>
      <c r="Q1437" s="5"/>
      <c r="R1437" s="8">
        <v>8.1018518518518516E-5</v>
      </c>
      <c r="S1437" s="5" t="s">
        <v>37</v>
      </c>
      <c r="T1437" t="str">
        <f>IF(Tabela1[[#This Row],[STATUS_NEGOCIO]]="Enviar E-mail",1,"")</f>
        <v/>
      </c>
      <c r="U1437" t="str">
        <f>TEXT(Tabela1[[#This Row],[DATA]],"dd/mm/aaaa")</f>
        <v>22/04/2026</v>
      </c>
    </row>
    <row r="1438" spans="1:21" x14ac:dyDescent="0.25">
      <c r="A1438" s="4">
        <v>46134.664131944446</v>
      </c>
      <c r="B1438" s="5" t="s">
        <v>19</v>
      </c>
      <c r="C1438" s="5" t="s">
        <v>37</v>
      </c>
      <c r="D1438" s="5">
        <v>336</v>
      </c>
      <c r="E1438" s="6">
        <v>30168759000149</v>
      </c>
      <c r="F1438" s="5">
        <v>336</v>
      </c>
      <c r="G1438" s="7">
        <v>177688418171211</v>
      </c>
      <c r="H1438" s="5" t="s">
        <v>493</v>
      </c>
      <c r="I1438" s="5" t="s">
        <v>52</v>
      </c>
      <c r="J1438" s="5" t="s">
        <v>22</v>
      </c>
      <c r="K1438" s="5" t="s">
        <v>36</v>
      </c>
      <c r="L1438" s="5" t="s">
        <v>36</v>
      </c>
      <c r="M1438" s="5" t="s">
        <v>284</v>
      </c>
      <c r="N1438" s="5" t="s">
        <v>53</v>
      </c>
      <c r="O1438" s="5">
        <v>1</v>
      </c>
      <c r="P1438" s="5"/>
      <c r="Q1438" s="5"/>
      <c r="R1438" s="8">
        <v>0</v>
      </c>
      <c r="S1438" s="5" t="s">
        <v>37</v>
      </c>
      <c r="T1438" t="str">
        <f>IF(Tabela1[[#This Row],[STATUS_NEGOCIO]]="Enviar E-mail",1,"")</f>
        <v/>
      </c>
      <c r="U1438" t="str">
        <f>TEXT(Tabela1[[#This Row],[DATA]],"dd/mm/aaaa")</f>
        <v>22/04/2026</v>
      </c>
    </row>
    <row r="1439" spans="1:21" x14ac:dyDescent="0.25">
      <c r="A1439" s="4">
        <v>46134.664143518516</v>
      </c>
      <c r="B1439" s="5" t="s">
        <v>19</v>
      </c>
      <c r="C1439" s="5" t="s">
        <v>37</v>
      </c>
      <c r="D1439" s="5">
        <v>337</v>
      </c>
      <c r="E1439" s="6">
        <v>30182814000155</v>
      </c>
      <c r="F1439" s="5">
        <v>337</v>
      </c>
      <c r="G1439" s="7">
        <v>177688418271221</v>
      </c>
      <c r="H1439" s="5" t="s">
        <v>494</v>
      </c>
      <c r="I1439" s="5">
        <v>3003</v>
      </c>
      <c r="J1439" s="5" t="s">
        <v>22</v>
      </c>
      <c r="K1439" s="5" t="s">
        <v>23</v>
      </c>
      <c r="L1439" s="5" t="s">
        <v>31</v>
      </c>
      <c r="M1439" s="5" t="s">
        <v>284</v>
      </c>
      <c r="N1439" s="5" t="s">
        <v>53</v>
      </c>
      <c r="O1439" s="5">
        <v>128</v>
      </c>
      <c r="P1439" s="5"/>
      <c r="Q1439" s="5"/>
      <c r="R1439" s="8">
        <v>8.1018518518518516E-5</v>
      </c>
      <c r="S1439" s="5" t="s">
        <v>37</v>
      </c>
      <c r="T1439" t="str">
        <f>IF(Tabela1[[#This Row],[STATUS_NEGOCIO]]="Enviar E-mail",1,"")</f>
        <v/>
      </c>
      <c r="U1439" t="str">
        <f>TEXT(Tabela1[[#This Row],[DATA]],"dd/mm/aaaa")</f>
        <v>22/04/2026</v>
      </c>
    </row>
    <row r="1440" spans="1:21" x14ac:dyDescent="0.25">
      <c r="A1440" s="4">
        <v>46134.664189814815</v>
      </c>
      <c r="B1440" s="5" t="s">
        <v>19</v>
      </c>
      <c r="C1440" s="5" t="s">
        <v>37</v>
      </c>
      <c r="D1440" s="5">
        <v>338</v>
      </c>
      <c r="E1440" s="6">
        <v>30220686000197</v>
      </c>
      <c r="F1440" s="5">
        <v>338</v>
      </c>
      <c r="G1440" s="7">
        <v>177688418671241</v>
      </c>
      <c r="H1440" s="5" t="s">
        <v>495</v>
      </c>
      <c r="I1440" s="5">
        <v>3003</v>
      </c>
      <c r="J1440" s="5" t="s">
        <v>22</v>
      </c>
      <c r="K1440" s="5" t="s">
        <v>23</v>
      </c>
      <c r="L1440" s="5" t="s">
        <v>31</v>
      </c>
      <c r="M1440" s="5" t="s">
        <v>284</v>
      </c>
      <c r="N1440" s="5" t="s">
        <v>53</v>
      </c>
      <c r="O1440" s="5">
        <v>128</v>
      </c>
      <c r="P1440" s="5"/>
      <c r="Q1440" s="5"/>
      <c r="R1440" s="8">
        <v>8.1018518518518516E-5</v>
      </c>
      <c r="S1440" s="5" t="s">
        <v>37</v>
      </c>
      <c r="T1440" t="str">
        <f>IF(Tabela1[[#This Row],[STATUS_NEGOCIO]]="Enviar E-mail",1,"")</f>
        <v/>
      </c>
      <c r="U1440" t="str">
        <f>TEXT(Tabela1[[#This Row],[DATA]],"dd/mm/aaaa")</f>
        <v>22/04/2026</v>
      </c>
    </row>
    <row r="1441" spans="1:21" x14ac:dyDescent="0.25">
      <c r="A1441" s="4">
        <v>46134.664351851854</v>
      </c>
      <c r="B1441" s="5" t="s">
        <v>19</v>
      </c>
      <c r="C1441" s="5" t="s">
        <v>37</v>
      </c>
      <c r="D1441" s="5">
        <v>340</v>
      </c>
      <c r="E1441" s="6">
        <v>30301105000141</v>
      </c>
      <c r="F1441" s="5">
        <v>340</v>
      </c>
      <c r="G1441" s="7">
        <v>177688420071261</v>
      </c>
      <c r="H1441" s="5" t="s">
        <v>496</v>
      </c>
      <c r="I1441" s="5">
        <v>3003</v>
      </c>
      <c r="J1441" s="5" t="s">
        <v>22</v>
      </c>
      <c r="K1441" s="5" t="s">
        <v>23</v>
      </c>
      <c r="L1441" s="5" t="s">
        <v>31</v>
      </c>
      <c r="M1441" s="5" t="s">
        <v>284</v>
      </c>
      <c r="N1441" s="5" t="s">
        <v>53</v>
      </c>
      <c r="O1441" s="5">
        <v>128</v>
      </c>
      <c r="P1441" s="5"/>
      <c r="Q1441" s="5"/>
      <c r="R1441" s="8">
        <v>8.1018518518518516E-5</v>
      </c>
      <c r="S1441" s="5" t="s">
        <v>37</v>
      </c>
      <c r="T1441" t="str">
        <f>IF(Tabela1[[#This Row],[STATUS_NEGOCIO]]="Enviar E-mail",1,"")</f>
        <v/>
      </c>
      <c r="U1441" t="str">
        <f>TEXT(Tabela1[[#This Row],[DATA]],"dd/mm/aaaa")</f>
        <v>22/04/2026</v>
      </c>
    </row>
    <row r="1442" spans="1:21" x14ac:dyDescent="0.25">
      <c r="A1442" s="4">
        <v>46134.664363425924</v>
      </c>
      <c r="B1442" s="5" t="s">
        <v>19</v>
      </c>
      <c r="C1442" s="5" t="s">
        <v>20</v>
      </c>
      <c r="D1442" s="5">
        <v>341</v>
      </c>
      <c r="E1442" s="6">
        <v>30410728000152</v>
      </c>
      <c r="F1442" s="5">
        <v>341</v>
      </c>
      <c r="G1442" s="7">
        <v>177688420171281</v>
      </c>
      <c r="H1442" s="5" t="s">
        <v>184</v>
      </c>
      <c r="I1442" s="5">
        <v>3003</v>
      </c>
      <c r="J1442" s="5" t="s">
        <v>22</v>
      </c>
      <c r="K1442" s="5" t="s">
        <v>23</v>
      </c>
      <c r="L1442" s="5" t="s">
        <v>40</v>
      </c>
      <c r="M1442" s="5" t="s">
        <v>284</v>
      </c>
      <c r="N1442" s="5" t="s">
        <v>32</v>
      </c>
      <c r="O1442" s="5">
        <v>16</v>
      </c>
      <c r="P1442" s="5"/>
      <c r="Q1442" s="5"/>
      <c r="R1442" s="8">
        <v>2.0370370370370369E-3</v>
      </c>
      <c r="S1442" s="8">
        <v>1.9907407407407408E-3</v>
      </c>
      <c r="T1442">
        <f>IF(Tabela1[[#This Row],[STATUS_NEGOCIO]]="Enviar E-mail",1,"")</f>
        <v>1</v>
      </c>
      <c r="U1442" t="str">
        <f>TEXT(Tabela1[[#This Row],[DATA]],"dd/mm/aaaa")</f>
        <v>22/04/2026</v>
      </c>
    </row>
    <row r="1443" spans="1:21" x14ac:dyDescent="0.25">
      <c r="A1443" s="4">
        <v>46134.664398148147</v>
      </c>
      <c r="B1443" s="5" t="s">
        <v>19</v>
      </c>
      <c r="C1443" s="5" t="s">
        <v>37</v>
      </c>
      <c r="D1443" s="5">
        <v>342</v>
      </c>
      <c r="E1443" s="6">
        <v>30540991000166</v>
      </c>
      <c r="F1443" s="5">
        <v>342</v>
      </c>
      <c r="G1443" s="7">
        <v>177688420471301</v>
      </c>
      <c r="H1443" s="5" t="s">
        <v>497</v>
      </c>
      <c r="I1443" s="5">
        <v>3003</v>
      </c>
      <c r="J1443" s="5" t="s">
        <v>22</v>
      </c>
      <c r="K1443" s="5" t="s">
        <v>23</v>
      </c>
      <c r="L1443" s="5" t="s">
        <v>31</v>
      </c>
      <c r="M1443" s="5" t="s">
        <v>284</v>
      </c>
      <c r="N1443" s="5" t="s">
        <v>53</v>
      </c>
      <c r="O1443" s="5">
        <v>128</v>
      </c>
      <c r="P1443" s="5"/>
      <c r="Q1443" s="5"/>
      <c r="R1443" s="8">
        <v>8.1018518518518516E-5</v>
      </c>
      <c r="S1443" s="5" t="s">
        <v>37</v>
      </c>
      <c r="T1443" t="str">
        <f>IF(Tabela1[[#This Row],[STATUS_NEGOCIO]]="Enviar E-mail",1,"")</f>
        <v/>
      </c>
      <c r="U1443" t="str">
        <f>TEXT(Tabela1[[#This Row],[DATA]],"dd/mm/aaaa")</f>
        <v>22/04/2026</v>
      </c>
    </row>
    <row r="1444" spans="1:21" x14ac:dyDescent="0.25">
      <c r="A1444" s="4">
        <v>46134.664456018516</v>
      </c>
      <c r="B1444" s="5" t="s">
        <v>19</v>
      </c>
      <c r="C1444" s="5" t="s">
        <v>37</v>
      </c>
      <c r="D1444" s="5">
        <v>343</v>
      </c>
      <c r="E1444" s="6">
        <v>30546429000140</v>
      </c>
      <c r="F1444" s="5">
        <v>343</v>
      </c>
      <c r="G1444" s="7">
        <v>177688420971321</v>
      </c>
      <c r="H1444" s="5" t="s">
        <v>498</v>
      </c>
      <c r="I1444" s="5">
        <v>3003</v>
      </c>
      <c r="J1444" s="5" t="s">
        <v>22</v>
      </c>
      <c r="K1444" s="5" t="s">
        <v>23</v>
      </c>
      <c r="L1444" s="5" t="s">
        <v>31</v>
      </c>
      <c r="M1444" s="5" t="s">
        <v>284</v>
      </c>
      <c r="N1444" s="5" t="s">
        <v>53</v>
      </c>
      <c r="O1444" s="5">
        <v>128</v>
      </c>
      <c r="P1444" s="5"/>
      <c r="Q1444" s="5"/>
      <c r="R1444" s="8">
        <v>8.1018518518518516E-5</v>
      </c>
      <c r="S1444" s="5" t="s">
        <v>37</v>
      </c>
      <c r="T1444" t="str">
        <f>IF(Tabela1[[#This Row],[STATUS_NEGOCIO]]="Enviar E-mail",1,"")</f>
        <v/>
      </c>
      <c r="U1444" t="str">
        <f>TEXT(Tabela1[[#This Row],[DATA]],"dd/mm/aaaa")</f>
        <v>22/04/2026</v>
      </c>
    </row>
    <row r="1445" spans="1:21" x14ac:dyDescent="0.25">
      <c r="A1445" s="4">
        <v>46134.664513888885</v>
      </c>
      <c r="B1445" s="5" t="s">
        <v>19</v>
      </c>
      <c r="C1445" s="5" t="s">
        <v>37</v>
      </c>
      <c r="D1445" s="5">
        <v>344</v>
      </c>
      <c r="E1445" s="6">
        <v>30548467000131</v>
      </c>
      <c r="F1445" s="5">
        <v>344</v>
      </c>
      <c r="G1445" s="7">
        <v>177688421471341</v>
      </c>
      <c r="H1445" s="5" t="s">
        <v>499</v>
      </c>
      <c r="I1445" s="5" t="s">
        <v>52</v>
      </c>
      <c r="J1445" s="5" t="s">
        <v>22</v>
      </c>
      <c r="K1445" s="5" t="s">
        <v>36</v>
      </c>
      <c r="L1445" s="5" t="s">
        <v>36</v>
      </c>
      <c r="M1445" s="5" t="s">
        <v>284</v>
      </c>
      <c r="N1445" s="5" t="s">
        <v>53</v>
      </c>
      <c r="O1445" s="5">
        <v>1</v>
      </c>
      <c r="P1445" s="5"/>
      <c r="Q1445" s="5"/>
      <c r="R1445" s="8">
        <v>0</v>
      </c>
      <c r="S1445" s="5" t="s">
        <v>37</v>
      </c>
      <c r="T1445" t="str">
        <f>IF(Tabela1[[#This Row],[STATUS_NEGOCIO]]="Enviar E-mail",1,"")</f>
        <v/>
      </c>
      <c r="U1445" t="str">
        <f>TEXT(Tabela1[[#This Row],[DATA]],"dd/mm/aaaa")</f>
        <v>22/04/2026</v>
      </c>
    </row>
    <row r="1446" spans="1:21" x14ac:dyDescent="0.25">
      <c r="A1446" s="4">
        <v>46134.664537037039</v>
      </c>
      <c r="B1446" s="5" t="s">
        <v>19</v>
      </c>
      <c r="C1446" s="5" t="s">
        <v>37</v>
      </c>
      <c r="D1446" s="5">
        <v>345</v>
      </c>
      <c r="E1446" s="6">
        <v>30603615000173</v>
      </c>
      <c r="F1446" s="5">
        <v>345</v>
      </c>
      <c r="G1446" s="7">
        <v>177688421671361</v>
      </c>
      <c r="H1446" s="5" t="s">
        <v>500</v>
      </c>
      <c r="I1446" s="5">
        <v>3003</v>
      </c>
      <c r="J1446" s="5" t="s">
        <v>22</v>
      </c>
      <c r="K1446" s="5" t="s">
        <v>23</v>
      </c>
      <c r="L1446" s="5" t="s">
        <v>31</v>
      </c>
      <c r="M1446" s="5" t="s">
        <v>284</v>
      </c>
      <c r="N1446" s="5" t="s">
        <v>53</v>
      </c>
      <c r="O1446" s="5">
        <v>128</v>
      </c>
      <c r="P1446" s="5"/>
      <c r="Q1446" s="5"/>
      <c r="R1446" s="8">
        <v>8.1018518518518516E-5</v>
      </c>
      <c r="S1446" s="5" t="s">
        <v>37</v>
      </c>
      <c r="T1446" t="str">
        <f>IF(Tabela1[[#This Row],[STATUS_NEGOCIO]]="Enviar E-mail",1,"")</f>
        <v/>
      </c>
      <c r="U1446" t="str">
        <f>TEXT(Tabela1[[#This Row],[DATA]],"dd/mm/aaaa")</f>
        <v>22/04/2026</v>
      </c>
    </row>
    <row r="1447" spans="1:21" x14ac:dyDescent="0.25">
      <c r="A1447" s="4">
        <v>46134.664571759262</v>
      </c>
      <c r="B1447" s="5" t="s">
        <v>19</v>
      </c>
      <c r="C1447" s="5" t="s">
        <v>37</v>
      </c>
      <c r="D1447" s="5">
        <v>346</v>
      </c>
      <c r="E1447" s="6">
        <v>30704910000116</v>
      </c>
      <c r="F1447" s="5">
        <v>346</v>
      </c>
      <c r="G1447" s="7">
        <v>177688421971381</v>
      </c>
      <c r="H1447" s="5" t="s">
        <v>501</v>
      </c>
      <c r="I1447" s="5">
        <v>3003</v>
      </c>
      <c r="J1447" s="5" t="s">
        <v>22</v>
      </c>
      <c r="K1447" s="5" t="s">
        <v>23</v>
      </c>
      <c r="L1447" s="5" t="s">
        <v>31</v>
      </c>
      <c r="M1447" s="5" t="s">
        <v>284</v>
      </c>
      <c r="N1447" s="5" t="s">
        <v>53</v>
      </c>
      <c r="O1447" s="5">
        <v>128</v>
      </c>
      <c r="P1447" s="5"/>
      <c r="Q1447" s="5"/>
      <c r="R1447" s="8">
        <v>8.1018518518518516E-5</v>
      </c>
      <c r="S1447" s="5" t="s">
        <v>37</v>
      </c>
      <c r="T1447" t="str">
        <f>IF(Tabela1[[#This Row],[STATUS_NEGOCIO]]="Enviar E-mail",1,"")</f>
        <v/>
      </c>
      <c r="U1447" t="str">
        <f>TEXT(Tabela1[[#This Row],[DATA]],"dd/mm/aaaa")</f>
        <v>22/04/2026</v>
      </c>
    </row>
    <row r="1448" spans="1:21" x14ac:dyDescent="0.25">
      <c r="A1448" s="4">
        <v>46134.664583333331</v>
      </c>
      <c r="B1448" s="5" t="s">
        <v>19</v>
      </c>
      <c r="C1448" s="5" t="s">
        <v>37</v>
      </c>
      <c r="D1448" s="5">
        <v>347</v>
      </c>
      <c r="E1448" s="6">
        <v>30780625000184</v>
      </c>
      <c r="F1448" s="5">
        <v>347</v>
      </c>
      <c r="G1448" s="7">
        <v>177688422071401</v>
      </c>
      <c r="H1448" s="5" t="s">
        <v>502</v>
      </c>
      <c r="I1448" s="5">
        <v>3003</v>
      </c>
      <c r="J1448" s="5" t="s">
        <v>22</v>
      </c>
      <c r="K1448" s="5" t="s">
        <v>23</v>
      </c>
      <c r="L1448" s="5" t="s">
        <v>31</v>
      </c>
      <c r="M1448" s="5" t="s">
        <v>284</v>
      </c>
      <c r="N1448" s="5" t="s">
        <v>53</v>
      </c>
      <c r="O1448" s="5">
        <v>128</v>
      </c>
      <c r="P1448" s="5"/>
      <c r="Q1448" s="5"/>
      <c r="R1448" s="8">
        <v>6.9444444444444444E-5</v>
      </c>
      <c r="S1448" s="5" t="s">
        <v>37</v>
      </c>
      <c r="T1448" t="str">
        <f>IF(Tabela1[[#This Row],[STATUS_NEGOCIO]]="Enviar E-mail",1,"")</f>
        <v/>
      </c>
      <c r="U1448" t="str">
        <f>TEXT(Tabela1[[#This Row],[DATA]],"dd/mm/aaaa")</f>
        <v>22/04/2026</v>
      </c>
    </row>
    <row r="1449" spans="1:21" x14ac:dyDescent="0.25">
      <c r="A1449" s="4">
        <v>46134.664710648147</v>
      </c>
      <c r="B1449" s="5" t="s">
        <v>19</v>
      </c>
      <c r="C1449" s="5" t="s">
        <v>37</v>
      </c>
      <c r="D1449" s="5">
        <v>348</v>
      </c>
      <c r="E1449" s="6">
        <v>30828743000115</v>
      </c>
      <c r="F1449" s="5">
        <v>348</v>
      </c>
      <c r="G1449" s="7">
        <v>177688423171501</v>
      </c>
      <c r="H1449" s="5" t="s">
        <v>503</v>
      </c>
      <c r="I1449" s="5">
        <v>3003</v>
      </c>
      <c r="J1449" s="5" t="s">
        <v>22</v>
      </c>
      <c r="K1449" s="5" t="s">
        <v>23</v>
      </c>
      <c r="L1449" s="5" t="s">
        <v>31</v>
      </c>
      <c r="M1449" s="5" t="s">
        <v>284</v>
      </c>
      <c r="N1449" s="5" t="s">
        <v>53</v>
      </c>
      <c r="O1449" s="5">
        <v>147</v>
      </c>
      <c r="P1449" s="5"/>
      <c r="Q1449" s="5"/>
      <c r="R1449" s="8">
        <v>8.1018518518518516E-5</v>
      </c>
      <c r="S1449" s="5" t="s">
        <v>37</v>
      </c>
      <c r="T1449" t="str">
        <f>IF(Tabela1[[#This Row],[STATUS_NEGOCIO]]="Enviar E-mail",1,"")</f>
        <v/>
      </c>
      <c r="U1449" t="str">
        <f>TEXT(Tabela1[[#This Row],[DATA]],"dd/mm/aaaa")</f>
        <v>22/04/2026</v>
      </c>
    </row>
    <row r="1450" spans="1:21" x14ac:dyDescent="0.25">
      <c r="A1450" s="4">
        <v>46134.664710648147</v>
      </c>
      <c r="B1450" s="5" t="s">
        <v>19</v>
      </c>
      <c r="C1450" s="5" t="s">
        <v>37</v>
      </c>
      <c r="D1450" s="5">
        <v>349</v>
      </c>
      <c r="E1450" s="6">
        <v>30905379000140</v>
      </c>
      <c r="F1450" s="5">
        <v>349</v>
      </c>
      <c r="G1450" s="7">
        <v>177688423171521</v>
      </c>
      <c r="H1450" s="5" t="s">
        <v>108</v>
      </c>
      <c r="I1450" s="5">
        <v>3003</v>
      </c>
      <c r="J1450" s="5" t="s">
        <v>22</v>
      </c>
      <c r="K1450" s="5" t="s">
        <v>23</v>
      </c>
      <c r="L1450" s="5" t="s">
        <v>31</v>
      </c>
      <c r="M1450" s="5" t="s">
        <v>284</v>
      </c>
      <c r="N1450" s="5" t="s">
        <v>53</v>
      </c>
      <c r="O1450" s="5">
        <v>128</v>
      </c>
      <c r="P1450" s="5"/>
      <c r="Q1450" s="5"/>
      <c r="R1450" s="8">
        <v>8.1018518518518516E-5</v>
      </c>
      <c r="S1450" s="5" t="s">
        <v>37</v>
      </c>
      <c r="T1450" t="str">
        <f>IF(Tabela1[[#This Row],[STATUS_NEGOCIO]]="Enviar E-mail",1,"")</f>
        <v/>
      </c>
      <c r="U1450" t="str">
        <f>TEXT(Tabela1[[#This Row],[DATA]],"dd/mm/aaaa")</f>
        <v>22/04/2026</v>
      </c>
    </row>
    <row r="1451" spans="1:21" x14ac:dyDescent="0.25">
      <c r="A1451" s="4">
        <v>46134.664722222224</v>
      </c>
      <c r="B1451" s="5" t="s">
        <v>19</v>
      </c>
      <c r="C1451" s="5" t="s">
        <v>37</v>
      </c>
      <c r="D1451" s="5">
        <v>350</v>
      </c>
      <c r="E1451" s="6">
        <v>31084270000151</v>
      </c>
      <c r="F1451" s="5">
        <v>350</v>
      </c>
      <c r="G1451" s="7">
        <v>177688423271541</v>
      </c>
      <c r="H1451" s="5" t="s">
        <v>146</v>
      </c>
      <c r="I1451" s="5">
        <v>3003</v>
      </c>
      <c r="J1451" s="5" t="s">
        <v>22</v>
      </c>
      <c r="K1451" s="5" t="s">
        <v>23</v>
      </c>
      <c r="L1451" s="5" t="s">
        <v>31</v>
      </c>
      <c r="M1451" s="5" t="s">
        <v>284</v>
      </c>
      <c r="N1451" s="5" t="s">
        <v>53</v>
      </c>
      <c r="O1451" s="5">
        <v>128</v>
      </c>
      <c r="P1451" s="5"/>
      <c r="Q1451" s="5"/>
      <c r="R1451" s="8">
        <v>8.1018518518518516E-5</v>
      </c>
      <c r="S1451" s="5" t="s">
        <v>37</v>
      </c>
      <c r="T1451" t="str">
        <f>IF(Tabela1[[#This Row],[STATUS_NEGOCIO]]="Enviar E-mail",1,"")</f>
        <v/>
      </c>
      <c r="U1451" t="str">
        <f>TEXT(Tabela1[[#This Row],[DATA]],"dd/mm/aaaa")</f>
        <v>22/04/2026</v>
      </c>
    </row>
    <row r="1452" spans="1:21" x14ac:dyDescent="0.25">
      <c r="A1452" s="4">
        <v>46134.66474537037</v>
      </c>
      <c r="B1452" s="5" t="s">
        <v>19</v>
      </c>
      <c r="C1452" s="5" t="s">
        <v>37</v>
      </c>
      <c r="D1452" s="5">
        <v>351</v>
      </c>
      <c r="E1452" s="6">
        <v>31086168000195</v>
      </c>
      <c r="F1452" s="5">
        <v>351</v>
      </c>
      <c r="G1452" s="7">
        <v>177688423471561</v>
      </c>
      <c r="H1452" s="5" t="s">
        <v>222</v>
      </c>
      <c r="I1452" s="5" t="s">
        <v>52</v>
      </c>
      <c r="J1452" s="5" t="s">
        <v>22</v>
      </c>
      <c r="K1452" s="5" t="s">
        <v>36</v>
      </c>
      <c r="L1452" s="5" t="s">
        <v>36</v>
      </c>
      <c r="M1452" s="5" t="s">
        <v>284</v>
      </c>
      <c r="N1452" s="5" t="s">
        <v>53</v>
      </c>
      <c r="O1452" s="5">
        <v>1</v>
      </c>
      <c r="P1452" s="5"/>
      <c r="Q1452" s="5"/>
      <c r="R1452" s="8">
        <v>0</v>
      </c>
      <c r="S1452" s="5" t="s">
        <v>37</v>
      </c>
      <c r="T1452" t="str">
        <f>IF(Tabela1[[#This Row],[STATUS_NEGOCIO]]="Enviar E-mail",1,"")</f>
        <v/>
      </c>
      <c r="U1452" t="str">
        <f>TEXT(Tabela1[[#This Row],[DATA]],"dd/mm/aaaa")</f>
        <v>22/04/2026</v>
      </c>
    </row>
    <row r="1453" spans="1:21" x14ac:dyDescent="0.25">
      <c r="A1453" s="4">
        <v>46134.66474537037</v>
      </c>
      <c r="B1453" s="5" t="s">
        <v>19</v>
      </c>
      <c r="C1453" s="5" t="s">
        <v>37</v>
      </c>
      <c r="D1453" s="5">
        <v>352</v>
      </c>
      <c r="E1453" s="6">
        <v>31131246000126</v>
      </c>
      <c r="F1453" s="5">
        <v>352</v>
      </c>
      <c r="G1453" s="7">
        <v>177688423471571</v>
      </c>
      <c r="H1453" s="5" t="s">
        <v>270</v>
      </c>
      <c r="I1453" s="5">
        <v>3003</v>
      </c>
      <c r="J1453" s="5" t="s">
        <v>22</v>
      </c>
      <c r="K1453" s="5" t="s">
        <v>23</v>
      </c>
      <c r="L1453" s="5" t="s">
        <v>31</v>
      </c>
      <c r="M1453" s="5" t="s">
        <v>284</v>
      </c>
      <c r="N1453" s="5" t="s">
        <v>53</v>
      </c>
      <c r="O1453" s="5">
        <v>128</v>
      </c>
      <c r="P1453" s="5"/>
      <c r="Q1453" s="5"/>
      <c r="R1453" s="8">
        <v>8.1018518518518516E-5</v>
      </c>
      <c r="S1453" s="5" t="s">
        <v>37</v>
      </c>
      <c r="T1453" t="str">
        <f>IF(Tabela1[[#This Row],[STATUS_NEGOCIO]]="Enviar E-mail",1,"")</f>
        <v/>
      </c>
      <c r="U1453" t="str">
        <f>TEXT(Tabela1[[#This Row],[DATA]],"dd/mm/aaaa")</f>
        <v>22/04/2026</v>
      </c>
    </row>
    <row r="1454" spans="1:21" x14ac:dyDescent="0.25">
      <c r="A1454" s="4">
        <v>46134.664849537039</v>
      </c>
      <c r="B1454" s="5" t="s">
        <v>19</v>
      </c>
      <c r="C1454" s="5" t="s">
        <v>37</v>
      </c>
      <c r="D1454" s="5">
        <v>353</v>
      </c>
      <c r="E1454" s="6">
        <v>31131998000197</v>
      </c>
      <c r="F1454" s="5">
        <v>353</v>
      </c>
      <c r="G1454" s="7">
        <v>177688424371591</v>
      </c>
      <c r="H1454" s="5" t="s">
        <v>124</v>
      </c>
      <c r="I1454" s="5">
        <v>3003</v>
      </c>
      <c r="J1454" s="5" t="s">
        <v>22</v>
      </c>
      <c r="K1454" s="5" t="s">
        <v>23</v>
      </c>
      <c r="L1454" s="5" t="s">
        <v>31</v>
      </c>
      <c r="M1454" s="5" t="s">
        <v>284</v>
      </c>
      <c r="N1454" s="5" t="s">
        <v>53</v>
      </c>
      <c r="O1454" s="5">
        <v>128</v>
      </c>
      <c r="P1454" s="5"/>
      <c r="Q1454" s="5"/>
      <c r="R1454" s="8">
        <v>8.1018518518518516E-5</v>
      </c>
      <c r="S1454" s="5" t="s">
        <v>37</v>
      </c>
      <c r="T1454" t="str">
        <f>IF(Tabela1[[#This Row],[STATUS_NEGOCIO]]="Enviar E-mail",1,"")</f>
        <v/>
      </c>
      <c r="U1454" t="str">
        <f>TEXT(Tabela1[[#This Row],[DATA]],"dd/mm/aaaa")</f>
        <v>22/04/2026</v>
      </c>
    </row>
    <row r="1455" spans="1:21" x14ac:dyDescent="0.25">
      <c r="A1455" s="4">
        <v>46134.664884259262</v>
      </c>
      <c r="B1455" s="5" t="s">
        <v>19</v>
      </c>
      <c r="C1455" s="5" t="s">
        <v>37</v>
      </c>
      <c r="D1455" s="5">
        <v>354</v>
      </c>
      <c r="E1455" s="6">
        <v>31142292000120</v>
      </c>
      <c r="F1455" s="5">
        <v>354</v>
      </c>
      <c r="G1455" s="7">
        <v>177688424671611</v>
      </c>
      <c r="H1455" s="5" t="s">
        <v>504</v>
      </c>
      <c r="I1455" s="5">
        <v>3003</v>
      </c>
      <c r="J1455" s="5" t="s">
        <v>22</v>
      </c>
      <c r="K1455" s="5" t="s">
        <v>23</v>
      </c>
      <c r="L1455" s="5" t="s">
        <v>31</v>
      </c>
      <c r="M1455" s="5" t="s">
        <v>284</v>
      </c>
      <c r="N1455" s="5" t="s">
        <v>53</v>
      </c>
      <c r="O1455" s="5">
        <v>128</v>
      </c>
      <c r="P1455" s="5"/>
      <c r="Q1455" s="5"/>
      <c r="R1455" s="8">
        <v>8.1018518518518516E-5</v>
      </c>
      <c r="S1455" s="5" t="s">
        <v>37</v>
      </c>
      <c r="T1455" t="str">
        <f>IF(Tabela1[[#This Row],[STATUS_NEGOCIO]]="Enviar E-mail",1,"")</f>
        <v/>
      </c>
      <c r="U1455" t="str">
        <f>TEXT(Tabela1[[#This Row],[DATA]],"dd/mm/aaaa")</f>
        <v>22/04/2026</v>
      </c>
    </row>
    <row r="1456" spans="1:21" x14ac:dyDescent="0.25">
      <c r="A1456" s="4">
        <v>46134.664895833332</v>
      </c>
      <c r="B1456" s="5" t="s">
        <v>19</v>
      </c>
      <c r="C1456" s="5" t="s">
        <v>37</v>
      </c>
      <c r="D1456" s="5">
        <v>355</v>
      </c>
      <c r="E1456" s="6">
        <v>31142572000139</v>
      </c>
      <c r="F1456" s="5">
        <v>355</v>
      </c>
      <c r="G1456" s="7">
        <v>177688424771631</v>
      </c>
      <c r="H1456" s="5" t="s">
        <v>505</v>
      </c>
      <c r="I1456" s="5">
        <v>3003</v>
      </c>
      <c r="J1456" s="5" t="s">
        <v>22</v>
      </c>
      <c r="K1456" s="5" t="s">
        <v>23</v>
      </c>
      <c r="L1456" s="5" t="s">
        <v>31</v>
      </c>
      <c r="M1456" s="5" t="s">
        <v>284</v>
      </c>
      <c r="N1456" s="5" t="s">
        <v>53</v>
      </c>
      <c r="O1456" s="5">
        <v>128</v>
      </c>
      <c r="P1456" s="5"/>
      <c r="Q1456" s="5"/>
      <c r="R1456" s="8">
        <v>8.1018518518518516E-5</v>
      </c>
      <c r="S1456" s="5" t="s">
        <v>37</v>
      </c>
      <c r="T1456" t="str">
        <f>IF(Tabela1[[#This Row],[STATUS_NEGOCIO]]="Enviar E-mail",1,"")</f>
        <v/>
      </c>
      <c r="U1456" t="str">
        <f>TEXT(Tabela1[[#This Row],[DATA]],"dd/mm/aaaa")</f>
        <v>22/04/2026</v>
      </c>
    </row>
    <row r="1457" spans="1:21" x14ac:dyDescent="0.25">
      <c r="A1457" s="4">
        <v>46134.664895833332</v>
      </c>
      <c r="B1457" s="5" t="s">
        <v>19</v>
      </c>
      <c r="C1457" s="5" t="s">
        <v>37</v>
      </c>
      <c r="D1457" s="5">
        <v>356</v>
      </c>
      <c r="E1457" s="6">
        <v>31301737000178</v>
      </c>
      <c r="F1457" s="5">
        <v>356</v>
      </c>
      <c r="G1457" s="7">
        <v>177688424771641</v>
      </c>
      <c r="H1457" s="5" t="s">
        <v>159</v>
      </c>
      <c r="I1457" s="5">
        <v>3003</v>
      </c>
      <c r="J1457" s="5" t="s">
        <v>22</v>
      </c>
      <c r="K1457" s="5" t="s">
        <v>23</v>
      </c>
      <c r="L1457" s="5" t="s">
        <v>31</v>
      </c>
      <c r="M1457" s="5" t="s">
        <v>284</v>
      </c>
      <c r="N1457" s="5" t="s">
        <v>53</v>
      </c>
      <c r="O1457" s="5">
        <v>128</v>
      </c>
      <c r="P1457" s="5"/>
      <c r="Q1457" s="5"/>
      <c r="R1457" s="8">
        <v>8.1018518518518516E-5</v>
      </c>
      <c r="S1457" s="5" t="s">
        <v>37</v>
      </c>
      <c r="T1457" t="str">
        <f>IF(Tabela1[[#This Row],[STATUS_NEGOCIO]]="Enviar E-mail",1,"")</f>
        <v/>
      </c>
      <c r="U1457" t="str">
        <f>TEXT(Tabela1[[#This Row],[DATA]],"dd/mm/aaaa")</f>
        <v>22/04/2026</v>
      </c>
    </row>
    <row r="1458" spans="1:21" x14ac:dyDescent="0.25">
      <c r="A1458" s="4">
        <v>46134.665000000001</v>
      </c>
      <c r="B1458" s="5" t="s">
        <v>19</v>
      </c>
      <c r="C1458" s="5" t="s">
        <v>37</v>
      </c>
      <c r="D1458" s="5">
        <v>357</v>
      </c>
      <c r="E1458" s="6">
        <v>31307787000162</v>
      </c>
      <c r="F1458" s="5">
        <v>357</v>
      </c>
      <c r="G1458" s="7">
        <v>177688425671701</v>
      </c>
      <c r="H1458" s="5" t="s">
        <v>506</v>
      </c>
      <c r="I1458" s="5">
        <v>3003</v>
      </c>
      <c r="J1458" s="5" t="s">
        <v>22</v>
      </c>
      <c r="K1458" s="5" t="s">
        <v>23</v>
      </c>
      <c r="L1458" s="5" t="s">
        <v>31</v>
      </c>
      <c r="M1458" s="5" t="s">
        <v>284</v>
      </c>
      <c r="N1458" s="5" t="s">
        <v>26</v>
      </c>
      <c r="O1458" s="5">
        <v>131</v>
      </c>
      <c r="P1458" s="5"/>
      <c r="Q1458" s="5"/>
      <c r="R1458" s="8">
        <v>8.1018518518518516E-5</v>
      </c>
      <c r="S1458" s="5" t="s">
        <v>37</v>
      </c>
      <c r="T1458" t="str">
        <f>IF(Tabela1[[#This Row],[STATUS_NEGOCIO]]="Enviar E-mail",1,"")</f>
        <v/>
      </c>
      <c r="U1458" t="str">
        <f>TEXT(Tabela1[[#This Row],[DATA]],"dd/mm/aaaa")</f>
        <v>22/04/2026</v>
      </c>
    </row>
    <row r="1459" spans="1:21" x14ac:dyDescent="0.25">
      <c r="A1459" s="4">
        <v>46134.665034722224</v>
      </c>
      <c r="B1459" s="5" t="s">
        <v>19</v>
      </c>
      <c r="C1459" s="5" t="s">
        <v>37</v>
      </c>
      <c r="D1459" s="5">
        <v>358</v>
      </c>
      <c r="E1459" s="6">
        <v>31396511000106</v>
      </c>
      <c r="F1459" s="5">
        <v>358</v>
      </c>
      <c r="G1459" s="7">
        <v>177688425971721</v>
      </c>
      <c r="H1459" s="5" t="s">
        <v>507</v>
      </c>
      <c r="I1459" s="5">
        <v>3003</v>
      </c>
      <c r="J1459" s="5" t="s">
        <v>22</v>
      </c>
      <c r="K1459" s="5" t="s">
        <v>23</v>
      </c>
      <c r="L1459" s="5" t="s">
        <v>31</v>
      </c>
      <c r="M1459" s="5" t="s">
        <v>284</v>
      </c>
      <c r="N1459" s="5" t="s">
        <v>53</v>
      </c>
      <c r="O1459" s="5">
        <v>128</v>
      </c>
      <c r="P1459" s="5"/>
      <c r="Q1459" s="5"/>
      <c r="R1459" s="8">
        <v>8.1018518518518516E-5</v>
      </c>
      <c r="S1459" s="5" t="s">
        <v>37</v>
      </c>
      <c r="T1459" t="str">
        <f>IF(Tabela1[[#This Row],[STATUS_NEGOCIO]]="Enviar E-mail",1,"")</f>
        <v/>
      </c>
      <c r="U1459" t="str">
        <f>TEXT(Tabela1[[#This Row],[DATA]],"dd/mm/aaaa")</f>
        <v>22/04/2026</v>
      </c>
    </row>
    <row r="1460" spans="1:21" x14ac:dyDescent="0.25">
      <c r="A1460" s="4">
        <v>46134.665046296293</v>
      </c>
      <c r="B1460" s="5" t="s">
        <v>19</v>
      </c>
      <c r="C1460" s="5" t="s">
        <v>37</v>
      </c>
      <c r="D1460" s="5">
        <v>359</v>
      </c>
      <c r="E1460" s="6">
        <v>31441165000122</v>
      </c>
      <c r="F1460" s="5">
        <v>359</v>
      </c>
      <c r="G1460" s="7">
        <v>177688426071741</v>
      </c>
      <c r="H1460" s="5" t="s">
        <v>508</v>
      </c>
      <c r="I1460" s="5">
        <v>3003</v>
      </c>
      <c r="J1460" s="5" t="s">
        <v>22</v>
      </c>
      <c r="K1460" s="5" t="s">
        <v>23</v>
      </c>
      <c r="L1460" s="5" t="s">
        <v>31</v>
      </c>
      <c r="M1460" s="5" t="s">
        <v>284</v>
      </c>
      <c r="N1460" s="5" t="s">
        <v>53</v>
      </c>
      <c r="O1460" s="5">
        <v>147</v>
      </c>
      <c r="P1460" s="5"/>
      <c r="Q1460" s="5"/>
      <c r="R1460" s="8">
        <v>8.1018518518518516E-5</v>
      </c>
      <c r="S1460" s="5" t="s">
        <v>37</v>
      </c>
      <c r="T1460" t="str">
        <f>IF(Tabela1[[#This Row],[STATUS_NEGOCIO]]="Enviar E-mail",1,"")</f>
        <v/>
      </c>
      <c r="U1460" t="str">
        <f>TEXT(Tabela1[[#This Row],[DATA]],"dd/mm/aaaa")</f>
        <v>22/04/2026</v>
      </c>
    </row>
    <row r="1461" spans="1:21" x14ac:dyDescent="0.25">
      <c r="A1461" s="4">
        <v>46134.665081018517</v>
      </c>
      <c r="B1461" s="5" t="s">
        <v>19</v>
      </c>
      <c r="C1461" s="5" t="s">
        <v>37</v>
      </c>
      <c r="D1461" s="5">
        <v>361</v>
      </c>
      <c r="E1461" s="6">
        <v>31591969000108</v>
      </c>
      <c r="F1461" s="5">
        <v>361</v>
      </c>
      <c r="G1461" s="7">
        <v>177688426371771</v>
      </c>
      <c r="H1461" s="5" t="s">
        <v>509</v>
      </c>
      <c r="I1461" s="5">
        <v>3003</v>
      </c>
      <c r="J1461" s="5" t="s">
        <v>22</v>
      </c>
      <c r="K1461" s="5" t="s">
        <v>23</v>
      </c>
      <c r="L1461" s="5" t="s">
        <v>31</v>
      </c>
      <c r="M1461" s="5" t="s">
        <v>284</v>
      </c>
      <c r="N1461" s="5" t="s">
        <v>53</v>
      </c>
      <c r="O1461" s="5">
        <v>128</v>
      </c>
      <c r="P1461" s="5"/>
      <c r="Q1461" s="5"/>
      <c r="R1461" s="8">
        <v>8.1018518518518516E-5</v>
      </c>
      <c r="S1461" s="5" t="s">
        <v>37</v>
      </c>
      <c r="T1461" t="str">
        <f>IF(Tabela1[[#This Row],[STATUS_NEGOCIO]]="Enviar E-mail",1,"")</f>
        <v/>
      </c>
      <c r="U1461" t="str">
        <f>TEXT(Tabela1[[#This Row],[DATA]],"dd/mm/aaaa")</f>
        <v>22/04/2026</v>
      </c>
    </row>
    <row r="1462" spans="1:21" x14ac:dyDescent="0.25">
      <c r="A1462" s="4">
        <v>46134.665081018517</v>
      </c>
      <c r="B1462" s="5" t="s">
        <v>19</v>
      </c>
      <c r="C1462" s="5" t="s">
        <v>37</v>
      </c>
      <c r="D1462" s="5">
        <v>362</v>
      </c>
      <c r="E1462" s="6">
        <v>31627306000104</v>
      </c>
      <c r="F1462" s="5">
        <v>362</v>
      </c>
      <c r="G1462" s="7">
        <v>177688426371781</v>
      </c>
      <c r="H1462" s="5" t="s">
        <v>112</v>
      </c>
      <c r="I1462" s="5">
        <v>3003</v>
      </c>
      <c r="J1462" s="5" t="s">
        <v>22</v>
      </c>
      <c r="K1462" s="5" t="s">
        <v>23</v>
      </c>
      <c r="L1462" s="5" t="s">
        <v>31</v>
      </c>
      <c r="M1462" s="5" t="s">
        <v>284</v>
      </c>
      <c r="N1462" s="5" t="s">
        <v>53</v>
      </c>
      <c r="O1462" s="5">
        <v>128</v>
      </c>
      <c r="P1462" s="5"/>
      <c r="Q1462" s="5"/>
      <c r="R1462" s="8">
        <v>8.1018518518518516E-5</v>
      </c>
      <c r="S1462" s="5" t="s">
        <v>37</v>
      </c>
      <c r="T1462" t="str">
        <f>IF(Tabela1[[#This Row],[STATUS_NEGOCIO]]="Enviar E-mail",1,"")</f>
        <v/>
      </c>
      <c r="U1462" t="str">
        <f>TEXT(Tabela1[[#This Row],[DATA]],"dd/mm/aaaa")</f>
        <v>22/04/2026</v>
      </c>
    </row>
    <row r="1463" spans="1:21" x14ac:dyDescent="0.25">
      <c r="A1463" s="4">
        <v>46134.665173611109</v>
      </c>
      <c r="B1463" s="5" t="s">
        <v>19</v>
      </c>
      <c r="C1463" s="5" t="s">
        <v>37</v>
      </c>
      <c r="D1463" s="5">
        <v>364</v>
      </c>
      <c r="E1463" s="6">
        <v>31669377000161</v>
      </c>
      <c r="F1463" s="5">
        <v>364</v>
      </c>
      <c r="G1463" s="7">
        <v>177688427171811</v>
      </c>
      <c r="H1463" s="5" t="s">
        <v>511</v>
      </c>
      <c r="I1463" s="5" t="s">
        <v>52</v>
      </c>
      <c r="J1463" s="5" t="s">
        <v>22</v>
      </c>
      <c r="K1463" s="5" t="s">
        <v>36</v>
      </c>
      <c r="L1463" s="5" t="s">
        <v>36</v>
      </c>
      <c r="M1463" s="5" t="s">
        <v>284</v>
      </c>
      <c r="N1463" s="5" t="s">
        <v>53</v>
      </c>
      <c r="O1463" s="5">
        <v>1</v>
      </c>
      <c r="P1463" s="5"/>
      <c r="Q1463" s="5"/>
      <c r="R1463" s="8">
        <v>0</v>
      </c>
      <c r="S1463" s="5" t="s">
        <v>37</v>
      </c>
      <c r="T1463" t="str">
        <f>IF(Tabela1[[#This Row],[STATUS_NEGOCIO]]="Enviar E-mail",1,"")</f>
        <v/>
      </c>
      <c r="U1463" t="str">
        <f>TEXT(Tabela1[[#This Row],[DATA]],"dd/mm/aaaa")</f>
        <v>22/04/2026</v>
      </c>
    </row>
    <row r="1464" spans="1:21" x14ac:dyDescent="0.25">
      <c r="A1464" s="4">
        <v>46134.665196759262</v>
      </c>
      <c r="B1464" s="5" t="s">
        <v>19</v>
      </c>
      <c r="C1464" s="5" t="s">
        <v>37</v>
      </c>
      <c r="D1464" s="5">
        <v>365</v>
      </c>
      <c r="E1464" s="6">
        <v>31865488000143</v>
      </c>
      <c r="F1464" s="5">
        <v>365</v>
      </c>
      <c r="G1464" s="7">
        <v>177688427371821</v>
      </c>
      <c r="H1464" s="5" t="s">
        <v>512</v>
      </c>
      <c r="I1464" s="5">
        <v>3003</v>
      </c>
      <c r="J1464" s="5" t="s">
        <v>22</v>
      </c>
      <c r="K1464" s="5" t="s">
        <v>23</v>
      </c>
      <c r="L1464" s="5" t="s">
        <v>31</v>
      </c>
      <c r="M1464" s="5" t="s">
        <v>284</v>
      </c>
      <c r="N1464" s="5" t="s">
        <v>53</v>
      </c>
      <c r="O1464" s="5">
        <v>128</v>
      </c>
      <c r="P1464" s="5"/>
      <c r="Q1464" s="5"/>
      <c r="R1464" s="8">
        <v>8.1018518518518516E-5</v>
      </c>
      <c r="S1464" s="5" t="s">
        <v>37</v>
      </c>
      <c r="T1464" t="str">
        <f>IF(Tabela1[[#This Row],[STATUS_NEGOCIO]]="Enviar E-mail",1,"")</f>
        <v/>
      </c>
      <c r="U1464" t="str">
        <f>TEXT(Tabela1[[#This Row],[DATA]],"dd/mm/aaaa")</f>
        <v>22/04/2026</v>
      </c>
    </row>
    <row r="1465" spans="1:21" x14ac:dyDescent="0.25">
      <c r="A1465" s="4">
        <v>46134.665219907409</v>
      </c>
      <c r="B1465" s="5" t="s">
        <v>19</v>
      </c>
      <c r="C1465" s="5" t="s">
        <v>37</v>
      </c>
      <c r="D1465" s="5">
        <v>366</v>
      </c>
      <c r="E1465" s="6">
        <v>31967201000196</v>
      </c>
      <c r="F1465" s="5">
        <v>366</v>
      </c>
      <c r="G1465" s="7">
        <v>177688427571881</v>
      </c>
      <c r="H1465" s="5" t="s">
        <v>513</v>
      </c>
      <c r="I1465" s="5">
        <v>3003</v>
      </c>
      <c r="J1465" s="5" t="s">
        <v>22</v>
      </c>
      <c r="K1465" s="5" t="s">
        <v>23</v>
      </c>
      <c r="L1465" s="5" t="s">
        <v>31</v>
      </c>
      <c r="M1465" s="5" t="s">
        <v>284</v>
      </c>
      <c r="N1465" s="5" t="s">
        <v>53</v>
      </c>
      <c r="O1465" s="5">
        <v>128</v>
      </c>
      <c r="P1465" s="5"/>
      <c r="Q1465" s="5"/>
      <c r="R1465" s="8">
        <v>8.1018518518518516E-5</v>
      </c>
      <c r="S1465" s="5" t="s">
        <v>37</v>
      </c>
      <c r="T1465" t="str">
        <f>IF(Tabela1[[#This Row],[STATUS_NEGOCIO]]="Enviar E-mail",1,"")</f>
        <v/>
      </c>
      <c r="U1465" t="str">
        <f>TEXT(Tabela1[[#This Row],[DATA]],"dd/mm/aaaa")</f>
        <v>22/04/2026</v>
      </c>
    </row>
    <row r="1466" spans="1:21" x14ac:dyDescent="0.25">
      <c r="A1466" s="4">
        <v>46134.665231481478</v>
      </c>
      <c r="B1466" s="5" t="s">
        <v>19</v>
      </c>
      <c r="C1466" s="5" t="s">
        <v>37</v>
      </c>
      <c r="D1466" s="5">
        <v>367</v>
      </c>
      <c r="E1466" s="6">
        <v>31969017000185</v>
      </c>
      <c r="F1466" s="5">
        <v>367</v>
      </c>
      <c r="G1466" s="7">
        <v>177688427671921</v>
      </c>
      <c r="H1466" s="5" t="s">
        <v>116</v>
      </c>
      <c r="I1466" s="5">
        <v>3003</v>
      </c>
      <c r="J1466" s="5" t="s">
        <v>22</v>
      </c>
      <c r="K1466" s="5" t="s">
        <v>23</v>
      </c>
      <c r="L1466" s="5" t="s">
        <v>31</v>
      </c>
      <c r="M1466" s="5" t="s">
        <v>284</v>
      </c>
      <c r="N1466" s="5" t="s">
        <v>53</v>
      </c>
      <c r="O1466" s="5">
        <v>128</v>
      </c>
      <c r="P1466" s="5"/>
      <c r="Q1466" s="5"/>
      <c r="R1466" s="8">
        <v>8.1018518518518516E-5</v>
      </c>
      <c r="S1466" s="5" t="s">
        <v>37</v>
      </c>
      <c r="T1466" t="str">
        <f>IF(Tabela1[[#This Row],[STATUS_NEGOCIO]]="Enviar E-mail",1,"")</f>
        <v/>
      </c>
      <c r="U1466" t="str">
        <f>TEXT(Tabela1[[#This Row],[DATA]],"dd/mm/aaaa")</f>
        <v>22/04/2026</v>
      </c>
    </row>
    <row r="1467" spans="1:21" x14ac:dyDescent="0.25">
      <c r="A1467" s="4">
        <v>46134.665231481478</v>
      </c>
      <c r="B1467" s="5" t="s">
        <v>19</v>
      </c>
      <c r="C1467" s="5" t="s">
        <v>37</v>
      </c>
      <c r="D1467" s="5">
        <v>369</v>
      </c>
      <c r="E1467" s="6">
        <v>32121837000185</v>
      </c>
      <c r="F1467" s="5">
        <v>369</v>
      </c>
      <c r="G1467" s="7">
        <v>177688427671931</v>
      </c>
      <c r="H1467" s="5" t="s">
        <v>515</v>
      </c>
      <c r="I1467" s="5">
        <v>3003</v>
      </c>
      <c r="J1467" s="5" t="s">
        <v>22</v>
      </c>
      <c r="K1467" s="5" t="s">
        <v>23</v>
      </c>
      <c r="L1467" s="5" t="s">
        <v>31</v>
      </c>
      <c r="M1467" s="5" t="s">
        <v>284</v>
      </c>
      <c r="N1467" s="5" t="s">
        <v>26</v>
      </c>
      <c r="O1467" s="5">
        <v>131</v>
      </c>
      <c r="P1467" s="5"/>
      <c r="Q1467" s="5"/>
      <c r="R1467" s="8">
        <v>8.1018518518518516E-5</v>
      </c>
      <c r="S1467" s="5" t="s">
        <v>37</v>
      </c>
      <c r="T1467" t="str">
        <f>IF(Tabela1[[#This Row],[STATUS_NEGOCIO]]="Enviar E-mail",1,"")</f>
        <v/>
      </c>
      <c r="U1467" t="str">
        <f>TEXT(Tabela1[[#This Row],[DATA]],"dd/mm/aaaa")</f>
        <v>22/04/2026</v>
      </c>
    </row>
    <row r="1468" spans="1:21" x14ac:dyDescent="0.25">
      <c r="A1468" s="4">
        <v>46134.665231481478</v>
      </c>
      <c r="B1468" s="5" t="s">
        <v>19</v>
      </c>
      <c r="C1468" s="5" t="s">
        <v>37</v>
      </c>
      <c r="D1468" s="5">
        <v>370</v>
      </c>
      <c r="E1468" s="6">
        <v>32256448000167</v>
      </c>
      <c r="F1468" s="5">
        <v>370</v>
      </c>
      <c r="G1468" s="7">
        <v>177688427671941</v>
      </c>
      <c r="H1468" s="5" t="s">
        <v>516</v>
      </c>
      <c r="I1468" s="5">
        <v>3003</v>
      </c>
      <c r="J1468" s="5" t="s">
        <v>22</v>
      </c>
      <c r="K1468" s="5" t="s">
        <v>23</v>
      </c>
      <c r="L1468" s="5" t="s">
        <v>31</v>
      </c>
      <c r="M1468" s="5" t="s">
        <v>284</v>
      </c>
      <c r="N1468" s="5" t="s">
        <v>53</v>
      </c>
      <c r="O1468" s="5">
        <v>128</v>
      </c>
      <c r="P1468" s="5"/>
      <c r="Q1468" s="5"/>
      <c r="R1468" s="8">
        <v>8.1018518518518516E-5</v>
      </c>
      <c r="S1468" s="5" t="s">
        <v>37</v>
      </c>
      <c r="T1468" t="str">
        <f>IF(Tabela1[[#This Row],[STATUS_NEGOCIO]]="Enviar E-mail",1,"")</f>
        <v/>
      </c>
      <c r="U1468" t="str">
        <f>TEXT(Tabela1[[#This Row],[DATA]],"dd/mm/aaaa")</f>
        <v>22/04/2026</v>
      </c>
    </row>
    <row r="1469" spans="1:21" x14ac:dyDescent="0.25">
      <c r="A1469" s="4">
        <v>46134.665231481478</v>
      </c>
      <c r="B1469" s="5" t="s">
        <v>19</v>
      </c>
      <c r="C1469" s="5" t="s">
        <v>37</v>
      </c>
      <c r="D1469" s="5">
        <v>371</v>
      </c>
      <c r="E1469" s="6">
        <v>32258196000105</v>
      </c>
      <c r="F1469" s="5">
        <v>371</v>
      </c>
      <c r="G1469" s="7">
        <v>177688427671951</v>
      </c>
      <c r="H1469" s="5" t="s">
        <v>517</v>
      </c>
      <c r="I1469" s="5">
        <v>3003</v>
      </c>
      <c r="J1469" s="5" t="s">
        <v>22</v>
      </c>
      <c r="K1469" s="5" t="s">
        <v>23</v>
      </c>
      <c r="L1469" s="5" t="s">
        <v>31</v>
      </c>
      <c r="M1469" s="5" t="s">
        <v>284</v>
      </c>
      <c r="N1469" s="5" t="s">
        <v>26</v>
      </c>
      <c r="O1469" s="5">
        <v>131</v>
      </c>
      <c r="P1469" s="5"/>
      <c r="Q1469" s="5"/>
      <c r="R1469" s="8">
        <v>1.273148148148148E-4</v>
      </c>
      <c r="S1469" s="5" t="s">
        <v>37</v>
      </c>
      <c r="T1469" t="str">
        <f>IF(Tabela1[[#This Row],[STATUS_NEGOCIO]]="Enviar E-mail",1,"")</f>
        <v/>
      </c>
      <c r="U1469" t="str">
        <f>TEXT(Tabela1[[#This Row],[DATA]],"dd/mm/aaaa")</f>
        <v>22/04/2026</v>
      </c>
    </row>
    <row r="1470" spans="1:21" x14ac:dyDescent="0.25">
      <c r="A1470" s="4">
        <v>46134.665347222224</v>
      </c>
      <c r="B1470" s="5" t="s">
        <v>19</v>
      </c>
      <c r="C1470" s="5" t="s">
        <v>37</v>
      </c>
      <c r="D1470" s="5">
        <v>372</v>
      </c>
      <c r="E1470" s="6">
        <v>32303404000140</v>
      </c>
      <c r="F1470" s="5">
        <v>372</v>
      </c>
      <c r="G1470" s="7">
        <v>177688428672101</v>
      </c>
      <c r="H1470" s="5" t="s">
        <v>518</v>
      </c>
      <c r="I1470" s="5">
        <v>3003</v>
      </c>
      <c r="J1470" s="5" t="s">
        <v>22</v>
      </c>
      <c r="K1470" s="5" t="s">
        <v>23</v>
      </c>
      <c r="L1470" s="5" t="s">
        <v>31</v>
      </c>
      <c r="M1470" s="5" t="s">
        <v>284</v>
      </c>
      <c r="N1470" s="5" t="s">
        <v>53</v>
      </c>
      <c r="O1470" s="5">
        <v>128</v>
      </c>
      <c r="P1470" s="5"/>
      <c r="Q1470" s="5"/>
      <c r="R1470" s="8">
        <v>8.1018518518518516E-5</v>
      </c>
      <c r="S1470" s="5" t="s">
        <v>37</v>
      </c>
      <c r="T1470" t="str">
        <f>IF(Tabela1[[#This Row],[STATUS_NEGOCIO]]="Enviar E-mail",1,"")</f>
        <v/>
      </c>
      <c r="U1470" t="str">
        <f>TEXT(Tabela1[[#This Row],[DATA]],"dd/mm/aaaa")</f>
        <v>22/04/2026</v>
      </c>
    </row>
    <row r="1471" spans="1:21" x14ac:dyDescent="0.25">
      <c r="A1471" s="4">
        <v>46134.665358796294</v>
      </c>
      <c r="B1471" s="5" t="s">
        <v>19</v>
      </c>
      <c r="C1471" s="5" t="s">
        <v>37</v>
      </c>
      <c r="D1471" s="5">
        <v>373</v>
      </c>
      <c r="E1471" s="6">
        <v>32333337000107</v>
      </c>
      <c r="F1471" s="5">
        <v>373</v>
      </c>
      <c r="G1471" s="7">
        <v>177688428772111</v>
      </c>
      <c r="H1471" s="5" t="s">
        <v>38</v>
      </c>
      <c r="I1471" s="5">
        <v>3003</v>
      </c>
      <c r="J1471" s="5" t="s">
        <v>22</v>
      </c>
      <c r="K1471" s="5" t="s">
        <v>23</v>
      </c>
      <c r="L1471" s="5" t="s">
        <v>31</v>
      </c>
      <c r="M1471" s="5" t="s">
        <v>284</v>
      </c>
      <c r="N1471" s="5" t="s">
        <v>53</v>
      </c>
      <c r="O1471" s="5">
        <v>128</v>
      </c>
      <c r="P1471" s="5"/>
      <c r="Q1471" s="5"/>
      <c r="R1471" s="8">
        <v>6.9444444444444444E-5</v>
      </c>
      <c r="S1471" s="5" t="s">
        <v>37</v>
      </c>
      <c r="T1471" t="str">
        <f>IF(Tabela1[[#This Row],[STATUS_NEGOCIO]]="Enviar E-mail",1,"")</f>
        <v/>
      </c>
      <c r="U1471" t="str">
        <f>TEXT(Tabela1[[#This Row],[DATA]],"dd/mm/aaaa")</f>
        <v>22/04/2026</v>
      </c>
    </row>
    <row r="1472" spans="1:21" x14ac:dyDescent="0.25">
      <c r="A1472" s="4">
        <v>46134.665381944447</v>
      </c>
      <c r="B1472" s="5" t="s">
        <v>19</v>
      </c>
      <c r="C1472" s="5" t="s">
        <v>37</v>
      </c>
      <c r="D1472" s="5">
        <v>374</v>
      </c>
      <c r="E1472" s="6">
        <v>32514234000143</v>
      </c>
      <c r="F1472" s="5">
        <v>374</v>
      </c>
      <c r="G1472" s="7">
        <v>177688428972141</v>
      </c>
      <c r="H1472" s="5" t="s">
        <v>278</v>
      </c>
      <c r="I1472" s="5">
        <v>3003</v>
      </c>
      <c r="J1472" s="5" t="s">
        <v>22</v>
      </c>
      <c r="K1472" s="5" t="s">
        <v>23</v>
      </c>
      <c r="L1472" s="5" t="s">
        <v>31</v>
      </c>
      <c r="M1472" s="5" t="s">
        <v>284</v>
      </c>
      <c r="N1472" s="5" t="s">
        <v>53</v>
      </c>
      <c r="O1472" s="5">
        <v>128</v>
      </c>
      <c r="P1472" s="5"/>
      <c r="Q1472" s="5"/>
      <c r="R1472" s="8">
        <v>6.9444444444444444E-5</v>
      </c>
      <c r="S1472" s="5" t="s">
        <v>37</v>
      </c>
      <c r="T1472" t="str">
        <f>IF(Tabela1[[#This Row],[STATUS_NEGOCIO]]="Enviar E-mail",1,"")</f>
        <v/>
      </c>
      <c r="U1472" t="str">
        <f>TEXT(Tabela1[[#This Row],[DATA]],"dd/mm/aaaa")</f>
        <v>22/04/2026</v>
      </c>
    </row>
    <row r="1473" spans="1:21" x14ac:dyDescent="0.25">
      <c r="A1473" s="4">
        <v>46134.665416666663</v>
      </c>
      <c r="B1473" s="5" t="s">
        <v>19</v>
      </c>
      <c r="C1473" s="5" t="s">
        <v>37</v>
      </c>
      <c r="D1473" s="5">
        <v>375</v>
      </c>
      <c r="E1473" s="6">
        <v>32579807000117</v>
      </c>
      <c r="F1473" s="5">
        <v>375</v>
      </c>
      <c r="G1473" s="7">
        <v>177688429272161</v>
      </c>
      <c r="H1473" s="5" t="s">
        <v>519</v>
      </c>
      <c r="I1473" s="5">
        <v>3003</v>
      </c>
      <c r="J1473" s="5" t="s">
        <v>22</v>
      </c>
      <c r="K1473" s="5" t="s">
        <v>23</v>
      </c>
      <c r="L1473" s="5" t="s">
        <v>31</v>
      </c>
      <c r="M1473" s="5" t="s">
        <v>284</v>
      </c>
      <c r="N1473" s="5" t="s">
        <v>53</v>
      </c>
      <c r="O1473" s="5">
        <v>128</v>
      </c>
      <c r="P1473" s="5"/>
      <c r="Q1473" s="5"/>
      <c r="R1473" s="8">
        <v>6.9444444444444444E-5</v>
      </c>
      <c r="S1473" s="5" t="s">
        <v>37</v>
      </c>
      <c r="T1473" t="str">
        <f>IF(Tabela1[[#This Row],[STATUS_NEGOCIO]]="Enviar E-mail",1,"")</f>
        <v/>
      </c>
      <c r="U1473" t="str">
        <f>TEXT(Tabela1[[#This Row],[DATA]],"dd/mm/aaaa")</f>
        <v>22/04/2026</v>
      </c>
    </row>
    <row r="1474" spans="1:21" x14ac:dyDescent="0.25">
      <c r="A1474" s="4">
        <v>46134.66547453704</v>
      </c>
      <c r="B1474" s="5" t="s">
        <v>19</v>
      </c>
      <c r="C1474" s="5" t="s">
        <v>37</v>
      </c>
      <c r="D1474" s="5">
        <v>376</v>
      </c>
      <c r="E1474" s="6">
        <v>32599342000166</v>
      </c>
      <c r="F1474" s="5">
        <v>376</v>
      </c>
      <c r="G1474" s="7">
        <v>177688429772181</v>
      </c>
      <c r="H1474" s="5" t="s">
        <v>520</v>
      </c>
      <c r="I1474" s="5">
        <v>3003</v>
      </c>
      <c r="J1474" s="5" t="s">
        <v>22</v>
      </c>
      <c r="K1474" s="5" t="s">
        <v>23</v>
      </c>
      <c r="L1474" s="5" t="s">
        <v>31</v>
      </c>
      <c r="M1474" s="5" t="s">
        <v>284</v>
      </c>
      <c r="N1474" s="5" t="s">
        <v>53</v>
      </c>
      <c r="O1474" s="5">
        <v>128</v>
      </c>
      <c r="P1474" s="5"/>
      <c r="Q1474" s="5"/>
      <c r="R1474" s="8">
        <v>6.9444444444444444E-5</v>
      </c>
      <c r="S1474" s="5" t="s">
        <v>37</v>
      </c>
      <c r="T1474" t="str">
        <f>IF(Tabela1[[#This Row],[STATUS_NEGOCIO]]="Enviar E-mail",1,"")</f>
        <v/>
      </c>
      <c r="U1474" t="str">
        <f>TEXT(Tabela1[[#This Row],[DATA]],"dd/mm/aaaa")</f>
        <v>22/04/2026</v>
      </c>
    </row>
    <row r="1475" spans="1:21" x14ac:dyDescent="0.25">
      <c r="A1475" s="4">
        <v>46134.665659722225</v>
      </c>
      <c r="B1475" s="5" t="s">
        <v>19</v>
      </c>
      <c r="C1475" s="5" t="s">
        <v>37</v>
      </c>
      <c r="D1475" s="5">
        <v>377</v>
      </c>
      <c r="E1475" s="6">
        <v>32956821000192</v>
      </c>
      <c r="F1475" s="5">
        <v>377</v>
      </c>
      <c r="G1475" s="7">
        <v>177688431372261</v>
      </c>
      <c r="H1475" s="5" t="s">
        <v>521</v>
      </c>
      <c r="I1475" s="5">
        <v>3003</v>
      </c>
      <c r="J1475" s="5" t="s">
        <v>22</v>
      </c>
      <c r="K1475" s="5" t="s">
        <v>23</v>
      </c>
      <c r="L1475" s="5" t="s">
        <v>31</v>
      </c>
      <c r="M1475" s="5" t="s">
        <v>284</v>
      </c>
      <c r="N1475" s="5" t="s">
        <v>53</v>
      </c>
      <c r="O1475" s="5">
        <v>147</v>
      </c>
      <c r="P1475" s="5"/>
      <c r="Q1475" s="5"/>
      <c r="R1475" s="8">
        <v>6.9444444444444444E-5</v>
      </c>
      <c r="S1475" s="5" t="s">
        <v>37</v>
      </c>
      <c r="T1475" t="str">
        <f>IF(Tabela1[[#This Row],[STATUS_NEGOCIO]]="Enviar E-mail",1,"")</f>
        <v/>
      </c>
      <c r="U1475" t="str">
        <f>TEXT(Tabela1[[#This Row],[DATA]],"dd/mm/aaaa")</f>
        <v>22/04/2026</v>
      </c>
    </row>
    <row r="1476" spans="1:21" x14ac:dyDescent="0.25">
      <c r="A1476" s="4">
        <v>46134.665659722225</v>
      </c>
      <c r="B1476" s="5" t="s">
        <v>19</v>
      </c>
      <c r="C1476" s="5" t="s">
        <v>37</v>
      </c>
      <c r="D1476" s="5">
        <v>378</v>
      </c>
      <c r="E1476" s="6">
        <v>32968396000151</v>
      </c>
      <c r="F1476" s="5">
        <v>378</v>
      </c>
      <c r="G1476" s="7">
        <v>177688431372271</v>
      </c>
      <c r="H1476" s="5" t="s">
        <v>522</v>
      </c>
      <c r="I1476" s="5">
        <v>3003</v>
      </c>
      <c r="J1476" s="5" t="s">
        <v>22</v>
      </c>
      <c r="K1476" s="5" t="s">
        <v>23</v>
      </c>
      <c r="L1476" s="5" t="s">
        <v>31</v>
      </c>
      <c r="M1476" s="5" t="s">
        <v>284</v>
      </c>
      <c r="N1476" s="5" t="s">
        <v>53</v>
      </c>
      <c r="O1476" s="5">
        <v>128</v>
      </c>
      <c r="P1476" s="5"/>
      <c r="Q1476" s="5"/>
      <c r="R1476" s="8">
        <v>8.1018518518518516E-5</v>
      </c>
      <c r="S1476" s="5" t="s">
        <v>37</v>
      </c>
      <c r="T1476" t="str">
        <f>IF(Tabela1[[#This Row],[STATUS_NEGOCIO]]="Enviar E-mail",1,"")</f>
        <v/>
      </c>
      <c r="U1476" t="str">
        <f>TEXT(Tabela1[[#This Row],[DATA]],"dd/mm/aaaa")</f>
        <v>22/04/2026</v>
      </c>
    </row>
    <row r="1477" spans="1:21" x14ac:dyDescent="0.25">
      <c r="A1477" s="4">
        <v>46134.665659722225</v>
      </c>
      <c r="B1477" s="5" t="s">
        <v>19</v>
      </c>
      <c r="C1477" s="5" t="s">
        <v>37</v>
      </c>
      <c r="D1477" s="5">
        <v>380</v>
      </c>
      <c r="E1477" s="6">
        <v>33117243000163</v>
      </c>
      <c r="F1477" s="5">
        <v>380</v>
      </c>
      <c r="G1477" s="7">
        <v>177688431372281</v>
      </c>
      <c r="H1477" s="5" t="s">
        <v>276</v>
      </c>
      <c r="I1477" s="5">
        <v>3003</v>
      </c>
      <c r="J1477" s="5" t="s">
        <v>22</v>
      </c>
      <c r="K1477" s="5" t="s">
        <v>23</v>
      </c>
      <c r="L1477" s="5" t="s">
        <v>31</v>
      </c>
      <c r="M1477" s="5" t="s">
        <v>284</v>
      </c>
      <c r="N1477" s="5" t="s">
        <v>53</v>
      </c>
      <c r="O1477" s="5">
        <v>128</v>
      </c>
      <c r="P1477" s="5"/>
      <c r="Q1477" s="5"/>
      <c r="R1477" s="8">
        <v>8.1018518518518516E-5</v>
      </c>
      <c r="S1477" s="5" t="s">
        <v>37</v>
      </c>
      <c r="T1477" t="str">
        <f>IF(Tabela1[[#This Row],[STATUS_NEGOCIO]]="Enviar E-mail",1,"")</f>
        <v/>
      </c>
      <c r="U1477" t="str">
        <f>TEXT(Tabela1[[#This Row],[DATA]],"dd/mm/aaaa")</f>
        <v>22/04/2026</v>
      </c>
    </row>
    <row r="1478" spans="1:21" x14ac:dyDescent="0.25">
      <c r="A1478" s="4">
        <v>46134.665659722225</v>
      </c>
      <c r="B1478" s="5" t="s">
        <v>19</v>
      </c>
      <c r="C1478" s="5" t="s">
        <v>37</v>
      </c>
      <c r="D1478" s="5">
        <v>381</v>
      </c>
      <c r="E1478" s="6">
        <v>33208034000125</v>
      </c>
      <c r="F1478" s="5">
        <v>381</v>
      </c>
      <c r="G1478" s="7">
        <v>177688431372291</v>
      </c>
      <c r="H1478" s="5" t="s">
        <v>524</v>
      </c>
      <c r="I1478" s="5">
        <v>3003</v>
      </c>
      <c r="J1478" s="5" t="s">
        <v>22</v>
      </c>
      <c r="K1478" s="5" t="s">
        <v>23</v>
      </c>
      <c r="L1478" s="5" t="s">
        <v>31</v>
      </c>
      <c r="M1478" s="5" t="s">
        <v>284</v>
      </c>
      <c r="N1478" s="5" t="s">
        <v>53</v>
      </c>
      <c r="O1478" s="5">
        <v>147</v>
      </c>
      <c r="P1478" s="5"/>
      <c r="Q1478" s="5"/>
      <c r="R1478" s="8">
        <v>8.1018518518518516E-5</v>
      </c>
      <c r="S1478" s="5" t="s">
        <v>37</v>
      </c>
      <c r="T1478" t="str">
        <f>IF(Tabela1[[#This Row],[STATUS_NEGOCIO]]="Enviar E-mail",1,"")</f>
        <v/>
      </c>
      <c r="U1478" t="str">
        <f>TEXT(Tabela1[[#This Row],[DATA]],"dd/mm/aaaa")</f>
        <v>22/04/2026</v>
      </c>
    </row>
    <row r="1479" spans="1:21" x14ac:dyDescent="0.25">
      <c r="A1479" s="4">
        <v>46134.665659722225</v>
      </c>
      <c r="B1479" s="5" t="s">
        <v>19</v>
      </c>
      <c r="C1479" s="5" t="s">
        <v>37</v>
      </c>
      <c r="D1479" s="5">
        <v>382</v>
      </c>
      <c r="E1479" s="6">
        <v>33208174000101</v>
      </c>
      <c r="F1479" s="5">
        <v>382</v>
      </c>
      <c r="G1479" s="7">
        <v>177688431372301</v>
      </c>
      <c r="H1479" s="5" t="s">
        <v>525</v>
      </c>
      <c r="I1479" s="5">
        <v>3003</v>
      </c>
      <c r="J1479" s="5" t="s">
        <v>22</v>
      </c>
      <c r="K1479" s="5" t="s">
        <v>23</v>
      </c>
      <c r="L1479" s="5" t="s">
        <v>31</v>
      </c>
      <c r="M1479" s="5" t="s">
        <v>284</v>
      </c>
      <c r="N1479" s="5" t="s">
        <v>53</v>
      </c>
      <c r="O1479" s="5">
        <v>128</v>
      </c>
      <c r="P1479" s="5"/>
      <c r="Q1479" s="5"/>
      <c r="R1479" s="8">
        <v>8.1018518518518516E-5</v>
      </c>
      <c r="S1479" s="5" t="s">
        <v>37</v>
      </c>
      <c r="T1479" t="str">
        <f>IF(Tabela1[[#This Row],[STATUS_NEGOCIO]]="Enviar E-mail",1,"")</f>
        <v/>
      </c>
      <c r="U1479" t="str">
        <f>TEXT(Tabela1[[#This Row],[DATA]],"dd/mm/aaaa")</f>
        <v>22/04/2026</v>
      </c>
    </row>
    <row r="1480" spans="1:21" x14ac:dyDescent="0.25">
      <c r="A1480" s="4">
        <v>46134.665844907409</v>
      </c>
      <c r="B1480" s="5" t="s">
        <v>19</v>
      </c>
      <c r="C1480" s="5" t="s">
        <v>37</v>
      </c>
      <c r="D1480" s="5">
        <v>383</v>
      </c>
      <c r="E1480" s="6">
        <v>33242199000113</v>
      </c>
      <c r="F1480" s="5">
        <v>383</v>
      </c>
      <c r="G1480" s="7">
        <v>177688432972321</v>
      </c>
      <c r="H1480" s="5" t="s">
        <v>526</v>
      </c>
      <c r="I1480" s="5">
        <v>3003</v>
      </c>
      <c r="J1480" s="5" t="s">
        <v>22</v>
      </c>
      <c r="K1480" s="5" t="s">
        <v>23</v>
      </c>
      <c r="L1480" s="5" t="s">
        <v>31</v>
      </c>
      <c r="M1480" s="5" t="s">
        <v>284</v>
      </c>
      <c r="N1480" s="5" t="s">
        <v>53</v>
      </c>
      <c r="O1480" s="5">
        <v>128</v>
      </c>
      <c r="P1480" s="5"/>
      <c r="Q1480" s="5"/>
      <c r="R1480" s="8">
        <v>8.1018518518518516E-5</v>
      </c>
      <c r="S1480" s="5" t="s">
        <v>37</v>
      </c>
      <c r="T1480" t="str">
        <f>IF(Tabela1[[#This Row],[STATUS_NEGOCIO]]="Enviar E-mail",1,"")</f>
        <v/>
      </c>
      <c r="U1480" t="str">
        <f>TEXT(Tabela1[[#This Row],[DATA]],"dd/mm/aaaa")</f>
        <v>22/04/2026</v>
      </c>
    </row>
    <row r="1481" spans="1:21" x14ac:dyDescent="0.25">
      <c r="A1481" s="4">
        <v>46134.665856481479</v>
      </c>
      <c r="B1481" s="5" t="s">
        <v>19</v>
      </c>
      <c r="C1481" s="5" t="s">
        <v>37</v>
      </c>
      <c r="D1481" s="5">
        <v>384</v>
      </c>
      <c r="E1481" s="6">
        <v>33262916000179</v>
      </c>
      <c r="F1481" s="5">
        <v>384</v>
      </c>
      <c r="G1481" s="7">
        <v>177688433072351</v>
      </c>
      <c r="H1481" s="5" t="s">
        <v>244</v>
      </c>
      <c r="I1481" s="5">
        <v>3003</v>
      </c>
      <c r="J1481" s="5" t="s">
        <v>22</v>
      </c>
      <c r="K1481" s="5" t="s">
        <v>23</v>
      </c>
      <c r="L1481" s="5" t="s">
        <v>31</v>
      </c>
      <c r="M1481" s="5" t="s">
        <v>284</v>
      </c>
      <c r="N1481" s="5" t="s">
        <v>53</v>
      </c>
      <c r="O1481" s="5">
        <v>128</v>
      </c>
      <c r="P1481" s="5"/>
      <c r="Q1481" s="5"/>
      <c r="R1481" s="8">
        <v>8.1018518518518516E-5</v>
      </c>
      <c r="S1481" s="5" t="s">
        <v>37</v>
      </c>
      <c r="T1481" t="str">
        <f>IF(Tabela1[[#This Row],[STATUS_NEGOCIO]]="Enviar E-mail",1,"")</f>
        <v/>
      </c>
      <c r="U1481" t="str">
        <f>TEXT(Tabela1[[#This Row],[DATA]],"dd/mm/aaaa")</f>
        <v>22/04/2026</v>
      </c>
    </row>
    <row r="1482" spans="1:21" x14ac:dyDescent="0.25">
      <c r="A1482" s="4">
        <v>46134.665856481479</v>
      </c>
      <c r="B1482" s="5" t="s">
        <v>19</v>
      </c>
      <c r="C1482" s="5" t="s">
        <v>37</v>
      </c>
      <c r="D1482" s="5">
        <v>385</v>
      </c>
      <c r="E1482" s="6">
        <v>33472846000183</v>
      </c>
      <c r="F1482" s="5">
        <v>385</v>
      </c>
      <c r="G1482" s="7">
        <v>177688433072361</v>
      </c>
      <c r="H1482" s="5" t="s">
        <v>527</v>
      </c>
      <c r="I1482" s="5" t="s">
        <v>52</v>
      </c>
      <c r="J1482" s="5" t="s">
        <v>22</v>
      </c>
      <c r="K1482" s="5" t="s">
        <v>36</v>
      </c>
      <c r="L1482" s="5" t="s">
        <v>36</v>
      </c>
      <c r="M1482" s="5" t="s">
        <v>284</v>
      </c>
      <c r="N1482" s="5" t="s">
        <v>53</v>
      </c>
      <c r="O1482" s="5">
        <v>34</v>
      </c>
      <c r="P1482" s="5"/>
      <c r="Q1482" s="5"/>
      <c r="R1482" s="8">
        <v>0</v>
      </c>
      <c r="S1482" s="5" t="s">
        <v>37</v>
      </c>
      <c r="T1482" t="str">
        <f>IF(Tabela1[[#This Row],[STATUS_NEGOCIO]]="Enviar E-mail",1,"")</f>
        <v/>
      </c>
      <c r="U1482" t="str">
        <f>TEXT(Tabela1[[#This Row],[DATA]],"dd/mm/aaaa")</f>
        <v>22/04/2026</v>
      </c>
    </row>
    <row r="1483" spans="1:21" x14ac:dyDescent="0.25">
      <c r="A1483" s="4">
        <v>46134.665914351855</v>
      </c>
      <c r="B1483" s="5" t="s">
        <v>19</v>
      </c>
      <c r="C1483" s="5" t="s">
        <v>37</v>
      </c>
      <c r="D1483" s="5">
        <v>386</v>
      </c>
      <c r="E1483" s="6">
        <v>33524117000123</v>
      </c>
      <c r="F1483" s="5">
        <v>386</v>
      </c>
      <c r="G1483" s="7">
        <v>177688433572441</v>
      </c>
      <c r="H1483" s="5" t="s">
        <v>168</v>
      </c>
      <c r="I1483" s="5">
        <v>3003</v>
      </c>
      <c r="J1483" s="5" t="s">
        <v>22</v>
      </c>
      <c r="K1483" s="5" t="s">
        <v>23</v>
      </c>
      <c r="L1483" s="5" t="s">
        <v>31</v>
      </c>
      <c r="M1483" s="5" t="s">
        <v>284</v>
      </c>
      <c r="N1483" s="5" t="s">
        <v>53</v>
      </c>
      <c r="O1483" s="5">
        <v>128</v>
      </c>
      <c r="P1483" s="5"/>
      <c r="Q1483" s="5"/>
      <c r="R1483" s="8">
        <v>6.9444444444444444E-5</v>
      </c>
      <c r="S1483" s="5" t="s">
        <v>37</v>
      </c>
      <c r="T1483" t="str">
        <f>IF(Tabela1[[#This Row],[STATUS_NEGOCIO]]="Enviar E-mail",1,"")</f>
        <v/>
      </c>
      <c r="U1483" t="str">
        <f>TEXT(Tabela1[[#This Row],[DATA]],"dd/mm/aaaa")</f>
        <v>22/04/2026</v>
      </c>
    </row>
    <row r="1484" spans="1:21" x14ac:dyDescent="0.25">
      <c r="A1484" s="4">
        <v>46134.665914351855</v>
      </c>
      <c r="B1484" s="5" t="s">
        <v>19</v>
      </c>
      <c r="C1484" s="5" t="s">
        <v>37</v>
      </c>
      <c r="D1484" s="5">
        <v>387</v>
      </c>
      <c r="E1484" s="6">
        <v>33524950000174</v>
      </c>
      <c r="F1484" s="5">
        <v>387</v>
      </c>
      <c r="G1484" s="7">
        <v>177688433572461</v>
      </c>
      <c r="H1484" s="5" t="s">
        <v>104</v>
      </c>
      <c r="I1484" s="5">
        <v>3003</v>
      </c>
      <c r="J1484" s="5" t="s">
        <v>22</v>
      </c>
      <c r="K1484" s="5" t="s">
        <v>23</v>
      </c>
      <c r="L1484" s="5" t="s">
        <v>31</v>
      </c>
      <c r="M1484" s="5" t="s">
        <v>284</v>
      </c>
      <c r="N1484" s="5" t="s">
        <v>53</v>
      </c>
      <c r="O1484" s="5">
        <v>128</v>
      </c>
      <c r="P1484" s="5"/>
      <c r="Q1484" s="5"/>
      <c r="R1484" s="8">
        <v>8.1018518518518516E-5</v>
      </c>
      <c r="S1484" s="5" t="s">
        <v>37</v>
      </c>
      <c r="T1484" t="str">
        <f>IF(Tabela1[[#This Row],[STATUS_NEGOCIO]]="Enviar E-mail",1,"")</f>
        <v/>
      </c>
      <c r="U1484" t="str">
        <f>TEXT(Tabela1[[#This Row],[DATA]],"dd/mm/aaaa")</f>
        <v>22/04/2026</v>
      </c>
    </row>
    <row r="1485" spans="1:21" x14ac:dyDescent="0.25">
      <c r="A1485" s="4">
        <v>46134.66609953704</v>
      </c>
      <c r="B1485" s="5" t="s">
        <v>19</v>
      </c>
      <c r="C1485" s="5" t="s">
        <v>37</v>
      </c>
      <c r="D1485" s="5">
        <v>388</v>
      </c>
      <c r="E1485" s="6">
        <v>33833660000102</v>
      </c>
      <c r="F1485" s="5">
        <v>388</v>
      </c>
      <c r="G1485" s="7">
        <v>177688435172621</v>
      </c>
      <c r="H1485" s="5" t="s">
        <v>155</v>
      </c>
      <c r="I1485" s="5">
        <v>3003</v>
      </c>
      <c r="J1485" s="5" t="s">
        <v>22</v>
      </c>
      <c r="K1485" s="5" t="s">
        <v>23</v>
      </c>
      <c r="L1485" s="5" t="s">
        <v>31</v>
      </c>
      <c r="M1485" s="5" t="s">
        <v>284</v>
      </c>
      <c r="N1485" s="5" t="s">
        <v>53</v>
      </c>
      <c r="O1485" s="5">
        <v>128</v>
      </c>
      <c r="P1485" s="5"/>
      <c r="Q1485" s="5"/>
      <c r="R1485" s="8">
        <v>8.1018518518518516E-5</v>
      </c>
      <c r="S1485" s="5" t="s">
        <v>37</v>
      </c>
      <c r="T1485" t="str">
        <f>IF(Tabela1[[#This Row],[STATUS_NEGOCIO]]="Enviar E-mail",1,"")</f>
        <v/>
      </c>
      <c r="U1485" t="str">
        <f>TEXT(Tabela1[[#This Row],[DATA]],"dd/mm/aaaa")</f>
        <v>22/04/2026</v>
      </c>
    </row>
    <row r="1486" spans="1:21" x14ac:dyDescent="0.25">
      <c r="A1486" s="4">
        <v>46134.66611111111</v>
      </c>
      <c r="B1486" s="5" t="s">
        <v>19</v>
      </c>
      <c r="C1486" s="5" t="s">
        <v>37</v>
      </c>
      <c r="D1486" s="5">
        <v>389</v>
      </c>
      <c r="E1486" s="6">
        <v>33863778000183</v>
      </c>
      <c r="F1486" s="5">
        <v>389</v>
      </c>
      <c r="G1486" s="7">
        <v>177688435172631</v>
      </c>
      <c r="H1486" s="5" t="s">
        <v>528</v>
      </c>
      <c r="I1486" s="5">
        <v>3003</v>
      </c>
      <c r="J1486" s="5" t="s">
        <v>22</v>
      </c>
      <c r="K1486" s="5" t="s">
        <v>23</v>
      </c>
      <c r="L1486" s="5" t="s">
        <v>31</v>
      </c>
      <c r="M1486" s="5" t="s">
        <v>284</v>
      </c>
      <c r="N1486" s="5" t="s">
        <v>53</v>
      </c>
      <c r="O1486" s="5">
        <v>128</v>
      </c>
      <c r="P1486" s="5"/>
      <c r="Q1486" s="5"/>
      <c r="R1486" s="8">
        <v>8.1018518518518516E-5</v>
      </c>
      <c r="S1486" s="5" t="s">
        <v>37</v>
      </c>
      <c r="T1486" t="str">
        <f>IF(Tabela1[[#This Row],[STATUS_NEGOCIO]]="Enviar E-mail",1,"")</f>
        <v/>
      </c>
      <c r="U1486" t="str">
        <f>TEXT(Tabela1[[#This Row],[DATA]],"dd/mm/aaaa")</f>
        <v>22/04/2026</v>
      </c>
    </row>
    <row r="1487" spans="1:21" x14ac:dyDescent="0.25">
      <c r="A1487" s="4">
        <v>46134.66611111111</v>
      </c>
      <c r="B1487" s="5" t="s">
        <v>19</v>
      </c>
      <c r="C1487" s="5" t="s">
        <v>27</v>
      </c>
      <c r="D1487" s="5">
        <v>390</v>
      </c>
      <c r="E1487" s="6">
        <v>33880863000150</v>
      </c>
      <c r="F1487" s="5">
        <v>390</v>
      </c>
      <c r="G1487" s="7">
        <v>177688435272641</v>
      </c>
      <c r="H1487" s="5" t="s">
        <v>153</v>
      </c>
      <c r="I1487" s="5">
        <v>3003</v>
      </c>
      <c r="J1487" s="5" t="s">
        <v>22</v>
      </c>
      <c r="K1487" s="5" t="s">
        <v>23</v>
      </c>
      <c r="L1487" s="5" t="s">
        <v>265</v>
      </c>
      <c r="M1487" s="5" t="s">
        <v>284</v>
      </c>
      <c r="N1487" s="5" t="s">
        <v>26</v>
      </c>
      <c r="O1487" s="5">
        <v>16</v>
      </c>
      <c r="P1487" s="5"/>
      <c r="Q1487" s="5"/>
      <c r="R1487" s="8">
        <v>1.7361111111111112E-4</v>
      </c>
      <c r="S1487" s="8">
        <v>1.0416666666666667E-4</v>
      </c>
      <c r="T1487" t="str">
        <f>IF(Tabela1[[#This Row],[STATUS_NEGOCIO]]="Enviar E-mail",1,"")</f>
        <v/>
      </c>
      <c r="U1487" t="str">
        <f>TEXT(Tabela1[[#This Row],[DATA]],"dd/mm/aaaa")</f>
        <v>22/04/2026</v>
      </c>
    </row>
    <row r="1488" spans="1:21" x14ac:dyDescent="0.25">
      <c r="A1488" s="4">
        <v>46134.66611111111</v>
      </c>
      <c r="B1488" s="5" t="s">
        <v>19</v>
      </c>
      <c r="C1488" s="5" t="s">
        <v>37</v>
      </c>
      <c r="D1488" s="5">
        <v>391</v>
      </c>
      <c r="E1488" s="6">
        <v>33889341000119</v>
      </c>
      <c r="F1488" s="5">
        <v>391</v>
      </c>
      <c r="G1488" s="7">
        <v>177688435272651</v>
      </c>
      <c r="H1488" s="5" t="s">
        <v>200</v>
      </c>
      <c r="I1488" s="5">
        <v>3003</v>
      </c>
      <c r="J1488" s="5" t="s">
        <v>22</v>
      </c>
      <c r="K1488" s="5" t="s">
        <v>23</v>
      </c>
      <c r="L1488" s="5" t="s">
        <v>31</v>
      </c>
      <c r="M1488" s="5" t="s">
        <v>284</v>
      </c>
      <c r="N1488" s="5" t="s">
        <v>53</v>
      </c>
      <c r="O1488" s="5">
        <v>128</v>
      </c>
      <c r="P1488" s="5"/>
      <c r="Q1488" s="5"/>
      <c r="R1488" s="8">
        <v>8.1018518518518516E-5</v>
      </c>
      <c r="S1488" s="5" t="s">
        <v>37</v>
      </c>
      <c r="T1488" t="str">
        <f>IF(Tabela1[[#This Row],[STATUS_NEGOCIO]]="Enviar E-mail",1,"")</f>
        <v/>
      </c>
      <c r="U1488" t="str">
        <f>TEXT(Tabela1[[#This Row],[DATA]],"dd/mm/aaaa")</f>
        <v>22/04/2026</v>
      </c>
    </row>
    <row r="1489" spans="1:21" x14ac:dyDescent="0.25">
      <c r="A1489" s="4">
        <v>46134.666180555556</v>
      </c>
      <c r="B1489" s="5" t="s">
        <v>19</v>
      </c>
      <c r="C1489" s="5" t="s">
        <v>37</v>
      </c>
      <c r="D1489" s="5">
        <v>392</v>
      </c>
      <c r="E1489" s="6">
        <v>33979964000182</v>
      </c>
      <c r="F1489" s="5">
        <v>392</v>
      </c>
      <c r="G1489" s="7">
        <v>177688435872701</v>
      </c>
      <c r="H1489" s="5" t="s">
        <v>529</v>
      </c>
      <c r="I1489" s="5">
        <v>3003</v>
      </c>
      <c r="J1489" s="5" t="s">
        <v>22</v>
      </c>
      <c r="K1489" s="5" t="s">
        <v>23</v>
      </c>
      <c r="L1489" s="5" t="s">
        <v>31</v>
      </c>
      <c r="M1489" s="5" t="s">
        <v>284</v>
      </c>
      <c r="N1489" s="5" t="s">
        <v>53</v>
      </c>
      <c r="O1489" s="5">
        <v>128</v>
      </c>
      <c r="P1489" s="5"/>
      <c r="Q1489" s="5"/>
      <c r="R1489" s="8">
        <v>8.1018518518518516E-5</v>
      </c>
      <c r="S1489" s="5" t="s">
        <v>37</v>
      </c>
      <c r="T1489" t="str">
        <f>IF(Tabela1[[#This Row],[STATUS_NEGOCIO]]="Enviar E-mail",1,"")</f>
        <v/>
      </c>
      <c r="U1489" t="str">
        <f>TEXT(Tabela1[[#This Row],[DATA]],"dd/mm/aaaa")</f>
        <v>22/04/2026</v>
      </c>
    </row>
    <row r="1490" spans="1:21" x14ac:dyDescent="0.25">
      <c r="A1490" s="4">
        <v>46134.666215277779</v>
      </c>
      <c r="B1490" s="5" t="s">
        <v>19</v>
      </c>
      <c r="C1490" s="5" t="s">
        <v>37</v>
      </c>
      <c r="D1490" s="5">
        <v>393</v>
      </c>
      <c r="E1490" s="6">
        <v>34005108000199</v>
      </c>
      <c r="F1490" s="5">
        <v>393</v>
      </c>
      <c r="G1490" s="7">
        <v>177688436172751</v>
      </c>
      <c r="H1490" s="5" t="s">
        <v>530</v>
      </c>
      <c r="I1490" s="5">
        <v>3003</v>
      </c>
      <c r="J1490" s="5" t="s">
        <v>22</v>
      </c>
      <c r="K1490" s="5" t="s">
        <v>23</v>
      </c>
      <c r="L1490" s="5" t="s">
        <v>31</v>
      </c>
      <c r="M1490" s="5" t="s">
        <v>284</v>
      </c>
      <c r="N1490" s="5" t="s">
        <v>53</v>
      </c>
      <c r="O1490" s="5">
        <v>128</v>
      </c>
      <c r="P1490" s="5"/>
      <c r="Q1490" s="5"/>
      <c r="R1490" s="8">
        <v>8.1018518518518516E-5</v>
      </c>
      <c r="S1490" s="5" t="s">
        <v>37</v>
      </c>
      <c r="T1490" t="str">
        <f>IF(Tabela1[[#This Row],[STATUS_NEGOCIO]]="Enviar E-mail",1,"")</f>
        <v/>
      </c>
      <c r="U1490" t="str">
        <f>TEXT(Tabela1[[#This Row],[DATA]],"dd/mm/aaaa")</f>
        <v>22/04/2026</v>
      </c>
    </row>
    <row r="1491" spans="1:21" x14ac:dyDescent="0.25">
      <c r="A1491" s="4">
        <v>46134.666238425925</v>
      </c>
      <c r="B1491" s="5" t="s">
        <v>19</v>
      </c>
      <c r="C1491" s="5" t="s">
        <v>37</v>
      </c>
      <c r="D1491" s="5">
        <v>394</v>
      </c>
      <c r="E1491" s="6">
        <v>34050567000194</v>
      </c>
      <c r="F1491" s="5">
        <v>394</v>
      </c>
      <c r="G1491" s="7">
        <v>177688436372771</v>
      </c>
      <c r="H1491" s="5" t="s">
        <v>531</v>
      </c>
      <c r="I1491" s="5">
        <v>3003</v>
      </c>
      <c r="J1491" s="5" t="s">
        <v>22</v>
      </c>
      <c r="K1491" s="5" t="s">
        <v>23</v>
      </c>
      <c r="L1491" s="5" t="s">
        <v>31</v>
      </c>
      <c r="M1491" s="5" t="s">
        <v>284</v>
      </c>
      <c r="N1491" s="5" t="s">
        <v>53</v>
      </c>
      <c r="O1491" s="5">
        <v>128</v>
      </c>
      <c r="P1491" s="5"/>
      <c r="Q1491" s="5"/>
      <c r="R1491" s="8">
        <v>8.1018518518518516E-5</v>
      </c>
      <c r="S1491" s="5" t="s">
        <v>37</v>
      </c>
      <c r="T1491" t="str">
        <f>IF(Tabela1[[#This Row],[STATUS_NEGOCIO]]="Enviar E-mail",1,"")</f>
        <v/>
      </c>
      <c r="U1491" t="str">
        <f>TEXT(Tabela1[[#This Row],[DATA]],"dd/mm/aaaa")</f>
        <v>22/04/2026</v>
      </c>
    </row>
    <row r="1492" spans="1:21" x14ac:dyDescent="0.25">
      <c r="A1492" s="4">
        <v>46134.666238425925</v>
      </c>
      <c r="B1492" s="5" t="s">
        <v>19</v>
      </c>
      <c r="C1492" s="5" t="s">
        <v>37</v>
      </c>
      <c r="D1492" s="5">
        <v>395</v>
      </c>
      <c r="E1492" s="6">
        <v>34058701000101</v>
      </c>
      <c r="F1492" s="5">
        <v>395</v>
      </c>
      <c r="G1492" s="7">
        <v>177688436372781</v>
      </c>
      <c r="H1492" s="5" t="s">
        <v>532</v>
      </c>
      <c r="I1492" s="5">
        <v>3003</v>
      </c>
      <c r="J1492" s="5" t="s">
        <v>22</v>
      </c>
      <c r="K1492" s="5" t="s">
        <v>23</v>
      </c>
      <c r="L1492" s="5" t="s">
        <v>31</v>
      </c>
      <c r="M1492" s="5" t="s">
        <v>284</v>
      </c>
      <c r="N1492" s="5" t="s">
        <v>53</v>
      </c>
      <c r="O1492" s="5">
        <v>128</v>
      </c>
      <c r="P1492" s="5"/>
      <c r="Q1492" s="5"/>
      <c r="R1492" s="8">
        <v>8.1018518518518516E-5</v>
      </c>
      <c r="S1492" s="5" t="s">
        <v>37</v>
      </c>
      <c r="T1492" t="str">
        <f>IF(Tabela1[[#This Row],[STATUS_NEGOCIO]]="Enviar E-mail",1,"")</f>
        <v/>
      </c>
      <c r="U1492" t="str">
        <f>TEXT(Tabela1[[#This Row],[DATA]],"dd/mm/aaaa")</f>
        <v>22/04/2026</v>
      </c>
    </row>
    <row r="1493" spans="1:21" x14ac:dyDescent="0.25">
      <c r="A1493" s="4">
        <v>46134.666319444441</v>
      </c>
      <c r="B1493" s="5" t="s">
        <v>19</v>
      </c>
      <c r="C1493" s="5" t="s">
        <v>37</v>
      </c>
      <c r="D1493" s="5">
        <v>396</v>
      </c>
      <c r="E1493" s="6">
        <v>34413663000150</v>
      </c>
      <c r="F1493" s="5">
        <v>396</v>
      </c>
      <c r="G1493" s="7">
        <v>177688437072831</v>
      </c>
      <c r="H1493" s="5" t="s">
        <v>45</v>
      </c>
      <c r="I1493" s="5">
        <v>3003</v>
      </c>
      <c r="J1493" s="5" t="s">
        <v>22</v>
      </c>
      <c r="K1493" s="5" t="s">
        <v>23</v>
      </c>
      <c r="L1493" s="5" t="s">
        <v>31</v>
      </c>
      <c r="M1493" s="5" t="s">
        <v>284</v>
      </c>
      <c r="N1493" s="5" t="s">
        <v>53</v>
      </c>
      <c r="O1493" s="5">
        <v>128</v>
      </c>
      <c r="P1493" s="5"/>
      <c r="Q1493" s="5"/>
      <c r="R1493" s="8">
        <v>8.1018518518518516E-5</v>
      </c>
      <c r="S1493" s="5" t="s">
        <v>37</v>
      </c>
      <c r="T1493" t="str">
        <f>IF(Tabela1[[#This Row],[STATUS_NEGOCIO]]="Enviar E-mail",1,"")</f>
        <v/>
      </c>
      <c r="U1493" t="str">
        <f>TEXT(Tabela1[[#This Row],[DATA]],"dd/mm/aaaa")</f>
        <v>22/04/2026</v>
      </c>
    </row>
    <row r="1494" spans="1:21" x14ac:dyDescent="0.25">
      <c r="A1494" s="4">
        <v>46134.666354166664</v>
      </c>
      <c r="B1494" s="5" t="s">
        <v>19</v>
      </c>
      <c r="C1494" s="5" t="s">
        <v>37</v>
      </c>
      <c r="D1494" s="5">
        <v>397</v>
      </c>
      <c r="E1494" s="6">
        <v>34484975000154</v>
      </c>
      <c r="F1494" s="5">
        <v>397</v>
      </c>
      <c r="G1494" s="7">
        <v>177688437372901</v>
      </c>
      <c r="H1494" s="5" t="s">
        <v>173</v>
      </c>
      <c r="I1494" s="5">
        <v>3003</v>
      </c>
      <c r="J1494" s="5" t="s">
        <v>22</v>
      </c>
      <c r="K1494" s="5" t="s">
        <v>23</v>
      </c>
      <c r="L1494" s="5" t="s">
        <v>31</v>
      </c>
      <c r="M1494" s="5" t="s">
        <v>284</v>
      </c>
      <c r="N1494" s="5" t="s">
        <v>53</v>
      </c>
      <c r="O1494" s="5">
        <v>128</v>
      </c>
      <c r="P1494" s="5"/>
      <c r="Q1494" s="5"/>
      <c r="R1494" s="8">
        <v>8.1018518518518516E-5</v>
      </c>
      <c r="S1494" s="5" t="s">
        <v>37</v>
      </c>
      <c r="T1494" t="str">
        <f>IF(Tabela1[[#This Row],[STATUS_NEGOCIO]]="Enviar E-mail",1,"")</f>
        <v/>
      </c>
      <c r="U1494" t="str">
        <f>TEXT(Tabela1[[#This Row],[DATA]],"dd/mm/aaaa")</f>
        <v>22/04/2026</v>
      </c>
    </row>
    <row r="1495" spans="1:21" x14ac:dyDescent="0.25">
      <c r="A1495" s="4">
        <v>46134.66646990741</v>
      </c>
      <c r="B1495" s="5" t="s">
        <v>19</v>
      </c>
      <c r="C1495" s="5" t="s">
        <v>37</v>
      </c>
      <c r="D1495" s="5">
        <v>398</v>
      </c>
      <c r="E1495" s="6">
        <v>34851161000100</v>
      </c>
      <c r="F1495" s="5">
        <v>398</v>
      </c>
      <c r="G1495" s="7">
        <v>177688438372941</v>
      </c>
      <c r="H1495" s="5" t="s">
        <v>533</v>
      </c>
      <c r="I1495" s="5" t="s">
        <v>52</v>
      </c>
      <c r="J1495" s="5" t="s">
        <v>22</v>
      </c>
      <c r="K1495" s="5" t="s">
        <v>36</v>
      </c>
      <c r="L1495" s="5" t="s">
        <v>36</v>
      </c>
      <c r="M1495" s="5" t="s">
        <v>284</v>
      </c>
      <c r="N1495" s="5" t="s">
        <v>53</v>
      </c>
      <c r="O1495" s="5">
        <v>34</v>
      </c>
      <c r="P1495" s="5"/>
      <c r="Q1495" s="5"/>
      <c r="R1495" s="8">
        <v>0</v>
      </c>
      <c r="S1495" s="5" t="s">
        <v>37</v>
      </c>
      <c r="T1495" t="str">
        <f>IF(Tabela1[[#This Row],[STATUS_NEGOCIO]]="Enviar E-mail",1,"")</f>
        <v/>
      </c>
      <c r="U1495" t="str">
        <f>TEXT(Tabela1[[#This Row],[DATA]],"dd/mm/aaaa")</f>
        <v>22/04/2026</v>
      </c>
    </row>
    <row r="1496" spans="1:21" x14ac:dyDescent="0.25">
      <c r="A1496" s="4">
        <v>46134.666481481479</v>
      </c>
      <c r="B1496" s="5" t="s">
        <v>19</v>
      </c>
      <c r="C1496" s="5" t="s">
        <v>37</v>
      </c>
      <c r="D1496" s="5">
        <v>399</v>
      </c>
      <c r="E1496" s="6">
        <v>34978275000116</v>
      </c>
      <c r="F1496" s="5">
        <v>399</v>
      </c>
      <c r="G1496" s="7">
        <v>177688438472951</v>
      </c>
      <c r="H1496" s="5" t="s">
        <v>77</v>
      </c>
      <c r="I1496" s="5">
        <v>3003</v>
      </c>
      <c r="J1496" s="5" t="s">
        <v>22</v>
      </c>
      <c r="K1496" s="5" t="s">
        <v>23</v>
      </c>
      <c r="L1496" s="5" t="s">
        <v>31</v>
      </c>
      <c r="M1496" s="5" t="s">
        <v>284</v>
      </c>
      <c r="N1496" s="5" t="s">
        <v>53</v>
      </c>
      <c r="O1496" s="5">
        <v>128</v>
      </c>
      <c r="P1496" s="5"/>
      <c r="Q1496" s="5"/>
      <c r="R1496" s="8">
        <v>8.1018518518518516E-5</v>
      </c>
      <c r="S1496" s="5" t="s">
        <v>37</v>
      </c>
      <c r="T1496" t="str">
        <f>IF(Tabela1[[#This Row],[STATUS_NEGOCIO]]="Enviar E-mail",1,"")</f>
        <v/>
      </c>
      <c r="U1496" t="str">
        <f>TEXT(Tabela1[[#This Row],[DATA]],"dd/mm/aaaa")</f>
        <v>22/04/2026</v>
      </c>
    </row>
    <row r="1497" spans="1:21" x14ac:dyDescent="0.25">
      <c r="A1497" s="4">
        <v>46134.666481481479</v>
      </c>
      <c r="B1497" s="5" t="s">
        <v>19</v>
      </c>
      <c r="C1497" s="5" t="s">
        <v>37</v>
      </c>
      <c r="D1497" s="5">
        <v>400</v>
      </c>
      <c r="E1497" s="6">
        <v>35055430000195</v>
      </c>
      <c r="F1497" s="5">
        <v>400</v>
      </c>
      <c r="G1497" s="7">
        <v>177688438472971</v>
      </c>
      <c r="H1497" s="5" t="s">
        <v>534</v>
      </c>
      <c r="I1497" s="5">
        <v>3003</v>
      </c>
      <c r="J1497" s="5" t="s">
        <v>22</v>
      </c>
      <c r="K1497" s="5" t="s">
        <v>23</v>
      </c>
      <c r="L1497" s="5" t="s">
        <v>31</v>
      </c>
      <c r="M1497" s="5" t="s">
        <v>284</v>
      </c>
      <c r="N1497" s="5" t="s">
        <v>53</v>
      </c>
      <c r="O1497" s="5">
        <v>128</v>
      </c>
      <c r="P1497" s="5"/>
      <c r="Q1497" s="5"/>
      <c r="R1497" s="8">
        <v>8.1018518518518516E-5</v>
      </c>
      <c r="S1497" s="5" t="s">
        <v>37</v>
      </c>
      <c r="T1497" t="str">
        <f>IF(Tabela1[[#This Row],[STATUS_NEGOCIO]]="Enviar E-mail",1,"")</f>
        <v/>
      </c>
      <c r="U1497" t="str">
        <f>TEXT(Tabela1[[#This Row],[DATA]],"dd/mm/aaaa")</f>
        <v>22/04/2026</v>
      </c>
    </row>
    <row r="1498" spans="1:21" x14ac:dyDescent="0.25">
      <c r="A1498" s="4">
        <v>46134.666550925926</v>
      </c>
      <c r="B1498" s="5" t="s">
        <v>19</v>
      </c>
      <c r="C1498" s="5" t="s">
        <v>37</v>
      </c>
      <c r="D1498" s="5">
        <v>402</v>
      </c>
      <c r="E1498" s="6">
        <v>35700816000102</v>
      </c>
      <c r="F1498" s="5">
        <v>402</v>
      </c>
      <c r="G1498" s="7">
        <v>177688439072991</v>
      </c>
      <c r="H1498" s="5" t="s">
        <v>535</v>
      </c>
      <c r="I1498" s="5" t="s">
        <v>52</v>
      </c>
      <c r="J1498" s="5" t="s">
        <v>22</v>
      </c>
      <c r="K1498" s="5" t="s">
        <v>36</v>
      </c>
      <c r="L1498" s="5" t="s">
        <v>36</v>
      </c>
      <c r="M1498" s="5" t="s">
        <v>284</v>
      </c>
      <c r="N1498" s="5" t="s">
        <v>53</v>
      </c>
      <c r="O1498" s="5">
        <v>19</v>
      </c>
      <c r="P1498" s="5"/>
      <c r="Q1498" s="5"/>
      <c r="R1498" s="8">
        <v>0</v>
      </c>
      <c r="S1498" s="5" t="s">
        <v>37</v>
      </c>
      <c r="T1498" t="str">
        <f>IF(Tabela1[[#This Row],[STATUS_NEGOCIO]]="Enviar E-mail",1,"")</f>
        <v/>
      </c>
      <c r="U1498" t="str">
        <f>TEXT(Tabela1[[#This Row],[DATA]],"dd/mm/aaaa")</f>
        <v>22/04/2026</v>
      </c>
    </row>
    <row r="1499" spans="1:21" x14ac:dyDescent="0.25">
      <c r="A1499" s="4">
        <v>46134.666574074072</v>
      </c>
      <c r="B1499" s="5" t="s">
        <v>19</v>
      </c>
      <c r="C1499" s="5" t="s">
        <v>37</v>
      </c>
      <c r="D1499" s="5">
        <v>403</v>
      </c>
      <c r="E1499" s="6">
        <v>35765734000146</v>
      </c>
      <c r="F1499" s="5">
        <v>403</v>
      </c>
      <c r="G1499" s="7">
        <v>177688439273021</v>
      </c>
      <c r="H1499" s="5" t="s">
        <v>536</v>
      </c>
      <c r="I1499" s="5" t="s">
        <v>52</v>
      </c>
      <c r="J1499" s="5" t="s">
        <v>22</v>
      </c>
      <c r="K1499" s="5" t="s">
        <v>36</v>
      </c>
      <c r="L1499" s="5" t="s">
        <v>36</v>
      </c>
      <c r="M1499" s="5" t="s">
        <v>284</v>
      </c>
      <c r="N1499" s="5" t="s">
        <v>53</v>
      </c>
      <c r="O1499" s="5">
        <v>19</v>
      </c>
      <c r="P1499" s="5"/>
      <c r="Q1499" s="5"/>
      <c r="R1499" s="8">
        <v>0</v>
      </c>
      <c r="S1499" s="5" t="s">
        <v>37</v>
      </c>
      <c r="T1499" t="str">
        <f>IF(Tabela1[[#This Row],[STATUS_NEGOCIO]]="Enviar E-mail",1,"")</f>
        <v/>
      </c>
      <c r="U1499" t="str">
        <f>TEXT(Tabela1[[#This Row],[DATA]],"dd/mm/aaaa")</f>
        <v>22/04/2026</v>
      </c>
    </row>
    <row r="1500" spans="1:21" x14ac:dyDescent="0.25">
      <c r="A1500" s="4">
        <v>46134.666631944441</v>
      </c>
      <c r="B1500" s="5" t="s">
        <v>19</v>
      </c>
      <c r="C1500" s="5" t="s">
        <v>37</v>
      </c>
      <c r="D1500" s="5">
        <v>404</v>
      </c>
      <c r="E1500" s="6">
        <v>35872118000194</v>
      </c>
      <c r="F1500" s="5">
        <v>404</v>
      </c>
      <c r="G1500" s="7">
        <v>177688439773051</v>
      </c>
      <c r="H1500" s="5" t="s">
        <v>537</v>
      </c>
      <c r="I1500" s="5">
        <v>3003</v>
      </c>
      <c r="J1500" s="5" t="s">
        <v>22</v>
      </c>
      <c r="K1500" s="5" t="s">
        <v>23</v>
      </c>
      <c r="L1500" s="5" t="s">
        <v>31</v>
      </c>
      <c r="M1500" s="5" t="s">
        <v>284</v>
      </c>
      <c r="N1500" s="5" t="s">
        <v>53</v>
      </c>
      <c r="O1500" s="5">
        <v>128</v>
      </c>
      <c r="P1500" s="5"/>
      <c r="Q1500" s="5"/>
      <c r="R1500" s="8">
        <v>8.1018518518518516E-5</v>
      </c>
      <c r="S1500" s="5" t="s">
        <v>37</v>
      </c>
      <c r="T1500" t="str">
        <f>IF(Tabela1[[#This Row],[STATUS_NEGOCIO]]="Enviar E-mail",1,"")</f>
        <v/>
      </c>
      <c r="U1500" t="str">
        <f>TEXT(Tabela1[[#This Row],[DATA]],"dd/mm/aaaa")</f>
        <v>22/04/2026</v>
      </c>
    </row>
    <row r="1501" spans="1:21" x14ac:dyDescent="0.25">
      <c r="A1501" s="4">
        <v>46134.666631944441</v>
      </c>
      <c r="B1501" s="5" t="s">
        <v>19</v>
      </c>
      <c r="C1501" s="5" t="s">
        <v>37</v>
      </c>
      <c r="D1501" s="5">
        <v>405</v>
      </c>
      <c r="E1501" s="6">
        <v>35981385000108</v>
      </c>
      <c r="F1501" s="5">
        <v>405</v>
      </c>
      <c r="G1501" s="7">
        <v>177688439773061</v>
      </c>
      <c r="H1501" s="5" t="s">
        <v>76</v>
      </c>
      <c r="I1501" s="5">
        <v>3003</v>
      </c>
      <c r="J1501" s="5" t="s">
        <v>22</v>
      </c>
      <c r="K1501" s="5" t="s">
        <v>23</v>
      </c>
      <c r="L1501" s="5" t="s">
        <v>31</v>
      </c>
      <c r="M1501" s="5" t="s">
        <v>284</v>
      </c>
      <c r="N1501" s="5" t="s">
        <v>53</v>
      </c>
      <c r="O1501" s="5">
        <v>128</v>
      </c>
      <c r="P1501" s="5"/>
      <c r="Q1501" s="5"/>
      <c r="R1501" s="8">
        <v>8.1018518518518516E-5</v>
      </c>
      <c r="S1501" s="5" t="s">
        <v>37</v>
      </c>
      <c r="T1501" t="str">
        <f>IF(Tabela1[[#This Row],[STATUS_NEGOCIO]]="Enviar E-mail",1,"")</f>
        <v/>
      </c>
      <c r="U1501" t="str">
        <f>TEXT(Tabela1[[#This Row],[DATA]],"dd/mm/aaaa")</f>
        <v>22/04/2026</v>
      </c>
    </row>
    <row r="1502" spans="1:21" x14ac:dyDescent="0.25">
      <c r="A1502" s="4">
        <v>46134.666678240741</v>
      </c>
      <c r="B1502" s="5" t="s">
        <v>19</v>
      </c>
      <c r="C1502" s="5" t="s">
        <v>37</v>
      </c>
      <c r="D1502" s="5">
        <v>406</v>
      </c>
      <c r="E1502" s="6">
        <v>35982209000182</v>
      </c>
      <c r="F1502" s="5">
        <v>406</v>
      </c>
      <c r="G1502" s="7">
        <v>177688440173081</v>
      </c>
      <c r="H1502" s="5" t="s">
        <v>204</v>
      </c>
      <c r="I1502" s="5">
        <v>3003</v>
      </c>
      <c r="J1502" s="5" t="s">
        <v>22</v>
      </c>
      <c r="K1502" s="5" t="s">
        <v>23</v>
      </c>
      <c r="L1502" s="5" t="s">
        <v>31</v>
      </c>
      <c r="M1502" s="5" t="s">
        <v>284</v>
      </c>
      <c r="N1502" s="5" t="s">
        <v>53</v>
      </c>
      <c r="O1502" s="5">
        <v>128</v>
      </c>
      <c r="P1502" s="5"/>
      <c r="Q1502" s="5"/>
      <c r="R1502" s="8">
        <v>8.1018518518518516E-5</v>
      </c>
      <c r="S1502" s="5" t="s">
        <v>37</v>
      </c>
      <c r="T1502" t="str">
        <f>IF(Tabela1[[#This Row],[STATUS_NEGOCIO]]="Enviar E-mail",1,"")</f>
        <v/>
      </c>
      <c r="U1502" t="str">
        <f>TEXT(Tabela1[[#This Row],[DATA]],"dd/mm/aaaa")</f>
        <v>22/04/2026</v>
      </c>
    </row>
    <row r="1503" spans="1:21" x14ac:dyDescent="0.25">
      <c r="A1503" s="4">
        <v>46134.666712962964</v>
      </c>
      <c r="B1503" s="5" t="s">
        <v>19</v>
      </c>
      <c r="C1503" s="5" t="s">
        <v>37</v>
      </c>
      <c r="D1503" s="5">
        <v>408</v>
      </c>
      <c r="E1503" s="6">
        <v>36085439000101</v>
      </c>
      <c r="F1503" s="5">
        <v>408</v>
      </c>
      <c r="G1503" s="7">
        <v>177688440473111</v>
      </c>
      <c r="H1503" s="5" t="s">
        <v>539</v>
      </c>
      <c r="I1503" s="5">
        <v>3003</v>
      </c>
      <c r="J1503" s="5" t="s">
        <v>22</v>
      </c>
      <c r="K1503" s="5" t="s">
        <v>23</v>
      </c>
      <c r="L1503" s="5" t="s">
        <v>31</v>
      </c>
      <c r="M1503" s="5" t="s">
        <v>284</v>
      </c>
      <c r="N1503" s="5" t="s">
        <v>53</v>
      </c>
      <c r="O1503" s="5">
        <v>128</v>
      </c>
      <c r="P1503" s="5"/>
      <c r="Q1503" s="5"/>
      <c r="R1503" s="8">
        <v>2.3148148148148147E-5</v>
      </c>
      <c r="S1503" s="5" t="s">
        <v>37</v>
      </c>
      <c r="T1503" t="str">
        <f>IF(Tabela1[[#This Row],[STATUS_NEGOCIO]]="Enviar E-mail",1,"")</f>
        <v/>
      </c>
      <c r="U1503" t="str">
        <f>TEXT(Tabela1[[#This Row],[DATA]],"dd/mm/aaaa")</f>
        <v>22/04/2026</v>
      </c>
    </row>
    <row r="1504" spans="1:21" x14ac:dyDescent="0.25">
      <c r="A1504" s="4">
        <v>46134.666712962964</v>
      </c>
      <c r="B1504" s="5" t="s">
        <v>19</v>
      </c>
      <c r="C1504" s="5" t="s">
        <v>37</v>
      </c>
      <c r="D1504" s="5">
        <v>409</v>
      </c>
      <c r="E1504" s="6">
        <v>36158632000125</v>
      </c>
      <c r="F1504" s="5">
        <v>409</v>
      </c>
      <c r="G1504" s="7">
        <v>177688440473121</v>
      </c>
      <c r="H1504" s="5" t="s">
        <v>166</v>
      </c>
      <c r="I1504" s="5">
        <v>3003</v>
      </c>
      <c r="J1504" s="5" t="s">
        <v>22</v>
      </c>
      <c r="K1504" s="5" t="s">
        <v>23</v>
      </c>
      <c r="L1504" s="5" t="s">
        <v>31</v>
      </c>
      <c r="M1504" s="5" t="s">
        <v>284</v>
      </c>
      <c r="N1504" s="5" t="s">
        <v>53</v>
      </c>
      <c r="O1504" s="5">
        <v>128</v>
      </c>
      <c r="P1504" s="5"/>
      <c r="Q1504" s="5"/>
      <c r="R1504" s="8">
        <v>8.1018518518518516E-5</v>
      </c>
      <c r="S1504" s="5" t="s">
        <v>37</v>
      </c>
      <c r="T1504" t="str">
        <f>IF(Tabela1[[#This Row],[STATUS_NEGOCIO]]="Enviar E-mail",1,"")</f>
        <v/>
      </c>
      <c r="U1504" t="str">
        <f>TEXT(Tabela1[[#This Row],[DATA]],"dd/mm/aaaa")</f>
        <v>22/04/2026</v>
      </c>
    </row>
    <row r="1505" spans="1:21" x14ac:dyDescent="0.25">
      <c r="A1505" s="4">
        <v>46134.666770833333</v>
      </c>
      <c r="B1505" s="5" t="s">
        <v>19</v>
      </c>
      <c r="C1505" s="5" t="s">
        <v>37</v>
      </c>
      <c r="D1505" s="5">
        <v>410</v>
      </c>
      <c r="E1505" s="6">
        <v>36204923000102</v>
      </c>
      <c r="F1505" s="5">
        <v>410</v>
      </c>
      <c r="G1505" s="7">
        <v>177688440973191</v>
      </c>
      <c r="H1505" s="5" t="s">
        <v>540</v>
      </c>
      <c r="I1505" s="5">
        <v>3003</v>
      </c>
      <c r="J1505" s="5" t="s">
        <v>22</v>
      </c>
      <c r="K1505" s="5" t="s">
        <v>23</v>
      </c>
      <c r="L1505" s="5" t="s">
        <v>31</v>
      </c>
      <c r="M1505" s="5" t="s">
        <v>284</v>
      </c>
      <c r="N1505" s="5" t="s">
        <v>53</v>
      </c>
      <c r="O1505" s="5">
        <v>128</v>
      </c>
      <c r="P1505" s="5"/>
      <c r="Q1505" s="5"/>
      <c r="R1505" s="8">
        <v>8.1018518518518516E-5</v>
      </c>
      <c r="S1505" s="5" t="s">
        <v>37</v>
      </c>
      <c r="T1505" t="str">
        <f>IF(Tabela1[[#This Row],[STATUS_NEGOCIO]]="Enviar E-mail",1,"")</f>
        <v/>
      </c>
      <c r="U1505" t="str">
        <f>TEXT(Tabela1[[#This Row],[DATA]],"dd/mm/aaaa")</f>
        <v>22/04/2026</v>
      </c>
    </row>
    <row r="1506" spans="1:21" x14ac:dyDescent="0.25">
      <c r="A1506" s="4">
        <v>46134.666863425926</v>
      </c>
      <c r="B1506" s="5" t="s">
        <v>19</v>
      </c>
      <c r="C1506" s="5" t="s">
        <v>37</v>
      </c>
      <c r="D1506" s="5">
        <v>411</v>
      </c>
      <c r="E1506" s="6">
        <v>36264719000187</v>
      </c>
      <c r="F1506" s="5">
        <v>411</v>
      </c>
      <c r="G1506" s="7">
        <v>177688441773321</v>
      </c>
      <c r="H1506" s="5" t="s">
        <v>541</v>
      </c>
      <c r="I1506" s="5">
        <v>3003</v>
      </c>
      <c r="J1506" s="5" t="s">
        <v>22</v>
      </c>
      <c r="K1506" s="5" t="s">
        <v>23</v>
      </c>
      <c r="L1506" s="5" t="s">
        <v>31</v>
      </c>
      <c r="M1506" s="5" t="s">
        <v>284</v>
      </c>
      <c r="N1506" s="5" t="s">
        <v>53</v>
      </c>
      <c r="O1506" s="5">
        <v>128</v>
      </c>
      <c r="P1506" s="5"/>
      <c r="Q1506" s="5"/>
      <c r="R1506" s="8">
        <v>8.1018518518518516E-5</v>
      </c>
      <c r="S1506" s="5" t="s">
        <v>37</v>
      </c>
      <c r="T1506" t="str">
        <f>IF(Tabela1[[#This Row],[STATUS_NEGOCIO]]="Enviar E-mail",1,"")</f>
        <v/>
      </c>
      <c r="U1506" t="str">
        <f>TEXT(Tabela1[[#This Row],[DATA]],"dd/mm/aaaa")</f>
        <v>22/04/2026</v>
      </c>
    </row>
    <row r="1507" spans="1:21" x14ac:dyDescent="0.25">
      <c r="A1507" s="4">
        <v>46134.666875000003</v>
      </c>
      <c r="B1507" s="5" t="s">
        <v>19</v>
      </c>
      <c r="C1507" s="5" t="s">
        <v>37</v>
      </c>
      <c r="D1507" s="5">
        <v>414</v>
      </c>
      <c r="E1507" s="6">
        <v>36481984000117</v>
      </c>
      <c r="F1507" s="5">
        <v>414</v>
      </c>
      <c r="G1507" s="7">
        <v>177688441873341</v>
      </c>
      <c r="H1507" s="5" t="s">
        <v>543</v>
      </c>
      <c r="I1507" s="5">
        <v>3003</v>
      </c>
      <c r="J1507" s="5" t="s">
        <v>22</v>
      </c>
      <c r="K1507" s="5" t="s">
        <v>23</v>
      </c>
      <c r="L1507" s="5" t="s">
        <v>31</v>
      </c>
      <c r="M1507" s="5" t="s">
        <v>284</v>
      </c>
      <c r="N1507" s="5" t="s">
        <v>53</v>
      </c>
      <c r="O1507" s="5">
        <v>128</v>
      </c>
      <c r="P1507" s="5"/>
      <c r="Q1507" s="5"/>
      <c r="R1507" s="8">
        <v>6.9444444444444444E-5</v>
      </c>
      <c r="S1507" s="5" t="s">
        <v>37</v>
      </c>
      <c r="T1507" t="str">
        <f>IF(Tabela1[[#This Row],[STATUS_NEGOCIO]]="Enviar E-mail",1,"")</f>
        <v/>
      </c>
      <c r="U1507" t="str">
        <f>TEXT(Tabela1[[#This Row],[DATA]],"dd/mm/aaaa")</f>
        <v>22/04/2026</v>
      </c>
    </row>
    <row r="1508" spans="1:21" x14ac:dyDescent="0.25">
      <c r="A1508" s="4">
        <v>46134.666886574072</v>
      </c>
      <c r="B1508" s="5" t="s">
        <v>19</v>
      </c>
      <c r="C1508" s="5" t="s">
        <v>37</v>
      </c>
      <c r="D1508" s="5">
        <v>415</v>
      </c>
      <c r="E1508" s="6">
        <v>36509446000193</v>
      </c>
      <c r="F1508" s="5">
        <v>415</v>
      </c>
      <c r="G1508" s="7">
        <v>177688441973351</v>
      </c>
      <c r="H1508" s="5" t="s">
        <v>544</v>
      </c>
      <c r="I1508" s="5">
        <v>3003</v>
      </c>
      <c r="J1508" s="5" t="s">
        <v>22</v>
      </c>
      <c r="K1508" s="5" t="s">
        <v>23</v>
      </c>
      <c r="L1508" s="5" t="s">
        <v>31</v>
      </c>
      <c r="M1508" s="5" t="s">
        <v>284</v>
      </c>
      <c r="N1508" s="5" t="s">
        <v>53</v>
      </c>
      <c r="O1508" s="5">
        <v>128</v>
      </c>
      <c r="P1508" s="5"/>
      <c r="Q1508" s="5"/>
      <c r="R1508" s="8">
        <v>8.1018518518518516E-5</v>
      </c>
      <c r="S1508" s="5" t="s">
        <v>37</v>
      </c>
      <c r="T1508" t="str">
        <f>IF(Tabela1[[#This Row],[STATUS_NEGOCIO]]="Enviar E-mail",1,"")</f>
        <v/>
      </c>
      <c r="U1508" t="str">
        <f>TEXT(Tabela1[[#This Row],[DATA]],"dd/mm/aaaa")</f>
        <v>22/04/2026</v>
      </c>
    </row>
    <row r="1509" spans="1:21" x14ac:dyDescent="0.25">
      <c r="A1509" s="4">
        <v>46134.666990740741</v>
      </c>
      <c r="B1509" s="5" t="s">
        <v>19</v>
      </c>
      <c r="C1509" s="5" t="s">
        <v>37</v>
      </c>
      <c r="D1509" s="5">
        <v>416</v>
      </c>
      <c r="E1509" s="6">
        <v>36541506000155</v>
      </c>
      <c r="F1509" s="5">
        <v>416</v>
      </c>
      <c r="G1509" s="7">
        <v>177688442873371</v>
      </c>
      <c r="H1509" s="5" t="s">
        <v>227</v>
      </c>
      <c r="I1509" s="5" t="s">
        <v>52</v>
      </c>
      <c r="J1509" s="5" t="s">
        <v>22</v>
      </c>
      <c r="K1509" s="5" t="s">
        <v>36</v>
      </c>
      <c r="L1509" s="5" t="s">
        <v>36</v>
      </c>
      <c r="M1509" s="5" t="s">
        <v>284</v>
      </c>
      <c r="N1509" s="5" t="s">
        <v>53</v>
      </c>
      <c r="O1509" s="5">
        <v>1</v>
      </c>
      <c r="P1509" s="5"/>
      <c r="Q1509" s="5"/>
      <c r="R1509" s="8">
        <v>0</v>
      </c>
      <c r="S1509" s="5" t="s">
        <v>37</v>
      </c>
      <c r="T1509" t="str">
        <f>IF(Tabela1[[#This Row],[STATUS_NEGOCIO]]="Enviar E-mail",1,"")</f>
        <v/>
      </c>
      <c r="U1509" t="str">
        <f>TEXT(Tabela1[[#This Row],[DATA]],"dd/mm/aaaa")</f>
        <v>22/04/2026</v>
      </c>
    </row>
    <row r="1510" spans="1:21" x14ac:dyDescent="0.25">
      <c r="A1510" s="4">
        <v>46134.666990740741</v>
      </c>
      <c r="B1510" s="5" t="s">
        <v>19</v>
      </c>
      <c r="C1510" s="5" t="s">
        <v>37</v>
      </c>
      <c r="D1510" s="5">
        <v>417</v>
      </c>
      <c r="E1510" s="6">
        <v>36565794000188</v>
      </c>
      <c r="F1510" s="5">
        <v>417</v>
      </c>
      <c r="G1510" s="7">
        <v>177688442873381</v>
      </c>
      <c r="H1510" s="5" t="s">
        <v>545</v>
      </c>
      <c r="I1510" s="5">
        <v>3003</v>
      </c>
      <c r="J1510" s="5" t="s">
        <v>22</v>
      </c>
      <c r="K1510" s="5" t="s">
        <v>23</v>
      </c>
      <c r="L1510" s="5" t="s">
        <v>31</v>
      </c>
      <c r="M1510" s="5" t="s">
        <v>284</v>
      </c>
      <c r="N1510" s="5" t="s">
        <v>53</v>
      </c>
      <c r="O1510" s="5">
        <v>128</v>
      </c>
      <c r="P1510" s="5"/>
      <c r="Q1510" s="5"/>
      <c r="R1510" s="8">
        <v>6.9444444444444444E-5</v>
      </c>
      <c r="S1510" s="5" t="s">
        <v>37</v>
      </c>
      <c r="T1510" t="str">
        <f>IF(Tabela1[[#This Row],[STATUS_NEGOCIO]]="Enviar E-mail",1,"")</f>
        <v/>
      </c>
      <c r="U1510" t="str">
        <f>TEXT(Tabela1[[#This Row],[DATA]],"dd/mm/aaaa")</f>
        <v>22/04/2026</v>
      </c>
    </row>
    <row r="1511" spans="1:21" x14ac:dyDescent="0.25">
      <c r="A1511" s="4">
        <v>46134.667060185187</v>
      </c>
      <c r="B1511" s="5" t="s">
        <v>19</v>
      </c>
      <c r="C1511" s="5" t="s">
        <v>37</v>
      </c>
      <c r="D1511" s="5">
        <v>418</v>
      </c>
      <c r="E1511" s="6">
        <v>36567717000167</v>
      </c>
      <c r="F1511" s="5">
        <v>418</v>
      </c>
      <c r="G1511" s="7">
        <v>177688443473411</v>
      </c>
      <c r="H1511" s="5" t="s">
        <v>546</v>
      </c>
      <c r="I1511" s="5">
        <v>3003</v>
      </c>
      <c r="J1511" s="5" t="s">
        <v>22</v>
      </c>
      <c r="K1511" s="5" t="s">
        <v>23</v>
      </c>
      <c r="L1511" s="5" t="s">
        <v>31</v>
      </c>
      <c r="M1511" s="5" t="s">
        <v>284</v>
      </c>
      <c r="N1511" s="5" t="s">
        <v>53</v>
      </c>
      <c r="O1511" s="5">
        <v>128</v>
      </c>
      <c r="P1511" s="5"/>
      <c r="Q1511" s="5"/>
      <c r="R1511" s="8">
        <v>8.1018518518518516E-5</v>
      </c>
      <c r="S1511" s="5" t="s">
        <v>37</v>
      </c>
      <c r="T1511" t="str">
        <f>IF(Tabela1[[#This Row],[STATUS_NEGOCIO]]="Enviar E-mail",1,"")</f>
        <v/>
      </c>
      <c r="U1511" t="str">
        <f>TEXT(Tabela1[[#This Row],[DATA]],"dd/mm/aaaa")</f>
        <v>22/04/2026</v>
      </c>
    </row>
    <row r="1512" spans="1:21" x14ac:dyDescent="0.25">
      <c r="A1512" s="4">
        <v>46134.667071759257</v>
      </c>
      <c r="B1512" s="5" t="s">
        <v>19</v>
      </c>
      <c r="C1512" s="5" t="s">
        <v>37</v>
      </c>
      <c r="D1512" s="5">
        <v>419</v>
      </c>
      <c r="E1512" s="6">
        <v>36572501000190</v>
      </c>
      <c r="F1512" s="5">
        <v>419</v>
      </c>
      <c r="G1512" s="7">
        <v>177688443573431</v>
      </c>
      <c r="H1512" s="5" t="s">
        <v>547</v>
      </c>
      <c r="I1512" s="5">
        <v>3003</v>
      </c>
      <c r="J1512" s="5" t="s">
        <v>22</v>
      </c>
      <c r="K1512" s="5" t="s">
        <v>23</v>
      </c>
      <c r="L1512" s="5" t="s">
        <v>31</v>
      </c>
      <c r="M1512" s="5" t="s">
        <v>284</v>
      </c>
      <c r="N1512" s="5" t="s">
        <v>53</v>
      </c>
      <c r="O1512" s="5">
        <v>128</v>
      </c>
      <c r="P1512" s="5"/>
      <c r="Q1512" s="5"/>
      <c r="R1512" s="8">
        <v>8.1018518518518516E-5</v>
      </c>
      <c r="S1512" s="5" t="s">
        <v>37</v>
      </c>
      <c r="T1512" t="str">
        <f>IF(Tabela1[[#This Row],[STATUS_NEGOCIO]]="Enviar E-mail",1,"")</f>
        <v/>
      </c>
      <c r="U1512" t="str">
        <f>TEXT(Tabela1[[#This Row],[DATA]],"dd/mm/aaaa")</f>
        <v>22/04/2026</v>
      </c>
    </row>
    <row r="1513" spans="1:21" x14ac:dyDescent="0.25">
      <c r="A1513" s="4">
        <v>46134.667118055557</v>
      </c>
      <c r="B1513" s="5" t="s">
        <v>19</v>
      </c>
      <c r="C1513" s="5" t="s">
        <v>37</v>
      </c>
      <c r="D1513" s="5">
        <v>420</v>
      </c>
      <c r="E1513" s="6">
        <v>36936004000123</v>
      </c>
      <c r="F1513" s="5">
        <v>420</v>
      </c>
      <c r="G1513" s="7">
        <v>177688443973451</v>
      </c>
      <c r="H1513" s="5" t="s">
        <v>548</v>
      </c>
      <c r="I1513" s="5">
        <v>3003</v>
      </c>
      <c r="J1513" s="5" t="s">
        <v>22</v>
      </c>
      <c r="K1513" s="5" t="s">
        <v>23</v>
      </c>
      <c r="L1513" s="5" t="s">
        <v>31</v>
      </c>
      <c r="M1513" s="5" t="s">
        <v>284</v>
      </c>
      <c r="N1513" s="5" t="s">
        <v>53</v>
      </c>
      <c r="O1513" s="5">
        <v>128</v>
      </c>
      <c r="P1513" s="5"/>
      <c r="Q1513" s="5"/>
      <c r="R1513" s="8">
        <v>8.1018518518518516E-5</v>
      </c>
      <c r="S1513" s="5" t="s">
        <v>37</v>
      </c>
      <c r="T1513" t="str">
        <f>IF(Tabela1[[#This Row],[STATUS_NEGOCIO]]="Enviar E-mail",1,"")</f>
        <v/>
      </c>
      <c r="U1513" t="str">
        <f>TEXT(Tabela1[[#This Row],[DATA]],"dd/mm/aaaa")</f>
        <v>22/04/2026</v>
      </c>
    </row>
    <row r="1514" spans="1:21" x14ac:dyDescent="0.25">
      <c r="A1514" s="4">
        <v>46134.667361111111</v>
      </c>
      <c r="B1514" s="5" t="s">
        <v>19</v>
      </c>
      <c r="C1514" s="5" t="s">
        <v>37</v>
      </c>
      <c r="D1514" s="5">
        <v>421</v>
      </c>
      <c r="E1514" s="6">
        <v>37285492000119</v>
      </c>
      <c r="F1514" s="5">
        <v>421</v>
      </c>
      <c r="G1514" s="7">
        <v>177688446073551</v>
      </c>
      <c r="H1514" s="5" t="s">
        <v>275</v>
      </c>
      <c r="I1514" s="5">
        <v>3003</v>
      </c>
      <c r="J1514" s="5" t="s">
        <v>22</v>
      </c>
      <c r="K1514" s="5" t="s">
        <v>23</v>
      </c>
      <c r="L1514" s="5" t="s">
        <v>31</v>
      </c>
      <c r="M1514" s="5" t="s">
        <v>284</v>
      </c>
      <c r="N1514" s="5" t="s">
        <v>53</v>
      </c>
      <c r="O1514" s="5">
        <v>128</v>
      </c>
      <c r="P1514" s="5"/>
      <c r="Q1514" s="5"/>
      <c r="R1514" s="8">
        <v>8.1018518518518516E-5</v>
      </c>
      <c r="S1514" s="5" t="s">
        <v>37</v>
      </c>
      <c r="T1514" t="str">
        <f>IF(Tabela1[[#This Row],[STATUS_NEGOCIO]]="Enviar E-mail",1,"")</f>
        <v/>
      </c>
      <c r="U1514" t="str">
        <f>TEXT(Tabela1[[#This Row],[DATA]],"dd/mm/aaaa")</f>
        <v>22/04/2026</v>
      </c>
    </row>
    <row r="1515" spans="1:21" x14ac:dyDescent="0.25">
      <c r="A1515" s="4">
        <v>46134.667488425926</v>
      </c>
      <c r="B1515" s="5" t="s">
        <v>19</v>
      </c>
      <c r="C1515" s="5" t="s">
        <v>37</v>
      </c>
      <c r="D1515" s="5">
        <v>422</v>
      </c>
      <c r="E1515" s="6">
        <v>37407191000110</v>
      </c>
      <c r="F1515" s="5">
        <v>422</v>
      </c>
      <c r="G1515" s="7">
        <v>177688447173571</v>
      </c>
      <c r="H1515" s="5" t="s">
        <v>549</v>
      </c>
      <c r="I1515" s="5" t="s">
        <v>52</v>
      </c>
      <c r="J1515" s="5" t="s">
        <v>22</v>
      </c>
      <c r="K1515" s="5" t="s">
        <v>36</v>
      </c>
      <c r="L1515" s="5" t="s">
        <v>36</v>
      </c>
      <c r="M1515" s="5" t="s">
        <v>284</v>
      </c>
      <c r="N1515" s="5" t="s">
        <v>53</v>
      </c>
      <c r="O1515" s="5">
        <v>19</v>
      </c>
      <c r="P1515" s="5"/>
      <c r="Q1515" s="5"/>
      <c r="R1515" s="8">
        <v>0</v>
      </c>
      <c r="S1515" s="5" t="s">
        <v>37</v>
      </c>
      <c r="T1515" t="str">
        <f>IF(Tabela1[[#This Row],[STATUS_NEGOCIO]]="Enviar E-mail",1,"")</f>
        <v/>
      </c>
      <c r="U1515" t="str">
        <f>TEXT(Tabela1[[#This Row],[DATA]],"dd/mm/aaaa")</f>
        <v>22/04/2026</v>
      </c>
    </row>
    <row r="1516" spans="1:21" x14ac:dyDescent="0.25">
      <c r="A1516" s="4">
        <v>46134.667511574073</v>
      </c>
      <c r="B1516" s="5" t="s">
        <v>19</v>
      </c>
      <c r="C1516" s="5" t="s">
        <v>37</v>
      </c>
      <c r="D1516" s="5">
        <v>424</v>
      </c>
      <c r="E1516" s="6">
        <v>37676685000109</v>
      </c>
      <c r="F1516" s="5">
        <v>424</v>
      </c>
      <c r="G1516" s="7">
        <v>177688447373591</v>
      </c>
      <c r="H1516" s="5" t="s">
        <v>551</v>
      </c>
      <c r="I1516" s="5">
        <v>3003</v>
      </c>
      <c r="J1516" s="5" t="s">
        <v>22</v>
      </c>
      <c r="K1516" s="5" t="s">
        <v>23</v>
      </c>
      <c r="L1516" s="5" t="s">
        <v>31</v>
      </c>
      <c r="M1516" s="5" t="s">
        <v>284</v>
      </c>
      <c r="N1516" s="5" t="s">
        <v>53</v>
      </c>
      <c r="O1516" s="5">
        <v>128</v>
      </c>
      <c r="P1516" s="5"/>
      <c r="Q1516" s="5"/>
      <c r="R1516" s="8">
        <v>8.1018518518518516E-5</v>
      </c>
      <c r="S1516" s="5" t="s">
        <v>37</v>
      </c>
      <c r="T1516" t="str">
        <f>IF(Tabela1[[#This Row],[STATUS_NEGOCIO]]="Enviar E-mail",1,"")</f>
        <v/>
      </c>
      <c r="U1516" t="str">
        <f>TEXT(Tabela1[[#This Row],[DATA]],"dd/mm/aaaa")</f>
        <v>22/04/2026</v>
      </c>
    </row>
    <row r="1517" spans="1:21" x14ac:dyDescent="0.25">
      <c r="A1517" s="4">
        <v>46134.667581018519</v>
      </c>
      <c r="B1517" s="5" t="s">
        <v>19</v>
      </c>
      <c r="C1517" s="5" t="s">
        <v>37</v>
      </c>
      <c r="D1517" s="5">
        <v>425</v>
      </c>
      <c r="E1517" s="6">
        <v>37785014000178</v>
      </c>
      <c r="F1517" s="5">
        <v>425</v>
      </c>
      <c r="G1517" s="7">
        <v>177688447973611</v>
      </c>
      <c r="H1517" s="5" t="s">
        <v>552</v>
      </c>
      <c r="I1517" s="5">
        <v>3003</v>
      </c>
      <c r="J1517" s="5" t="s">
        <v>22</v>
      </c>
      <c r="K1517" s="5" t="s">
        <v>23</v>
      </c>
      <c r="L1517" s="5" t="s">
        <v>31</v>
      </c>
      <c r="M1517" s="5" t="s">
        <v>284</v>
      </c>
      <c r="N1517" s="5" t="s">
        <v>53</v>
      </c>
      <c r="O1517" s="5">
        <v>128</v>
      </c>
      <c r="P1517" s="5"/>
      <c r="Q1517" s="5"/>
      <c r="R1517" s="8">
        <v>6.9444444444444444E-5</v>
      </c>
      <c r="S1517" s="5" t="s">
        <v>37</v>
      </c>
      <c r="T1517" t="str">
        <f>IF(Tabela1[[#This Row],[STATUS_NEGOCIO]]="Enviar E-mail",1,"")</f>
        <v/>
      </c>
      <c r="U1517" t="str">
        <f>TEXT(Tabela1[[#This Row],[DATA]],"dd/mm/aaaa")</f>
        <v>22/04/2026</v>
      </c>
    </row>
    <row r="1518" spans="1:21" x14ac:dyDescent="0.25">
      <c r="A1518" s="4">
        <v>46134.667708333334</v>
      </c>
      <c r="B1518" s="5" t="s">
        <v>19</v>
      </c>
      <c r="C1518" s="5" t="s">
        <v>37</v>
      </c>
      <c r="D1518" s="5">
        <v>426</v>
      </c>
      <c r="E1518" s="6">
        <v>37961934000108</v>
      </c>
      <c r="F1518" s="5">
        <v>426</v>
      </c>
      <c r="G1518" s="7">
        <v>177688449073641</v>
      </c>
      <c r="H1518" s="5" t="s">
        <v>553</v>
      </c>
      <c r="I1518" s="5">
        <v>3003</v>
      </c>
      <c r="J1518" s="5" t="s">
        <v>22</v>
      </c>
      <c r="K1518" s="5" t="s">
        <v>23</v>
      </c>
      <c r="L1518" s="5" t="s">
        <v>31</v>
      </c>
      <c r="M1518" s="5" t="s">
        <v>284</v>
      </c>
      <c r="N1518" s="5" t="s">
        <v>53</v>
      </c>
      <c r="O1518" s="5">
        <v>128</v>
      </c>
      <c r="P1518" s="5"/>
      <c r="Q1518" s="5"/>
      <c r="R1518" s="8">
        <v>8.1018518518518516E-5</v>
      </c>
      <c r="S1518" s="5" t="s">
        <v>37</v>
      </c>
      <c r="T1518" t="str">
        <f>IF(Tabela1[[#This Row],[STATUS_NEGOCIO]]="Enviar E-mail",1,"")</f>
        <v/>
      </c>
      <c r="U1518" t="str">
        <f>TEXT(Tabela1[[#This Row],[DATA]],"dd/mm/aaaa")</f>
        <v>22/04/2026</v>
      </c>
    </row>
    <row r="1519" spans="1:21" x14ac:dyDescent="0.25">
      <c r="A1519" s="4">
        <v>46134.667708333334</v>
      </c>
      <c r="B1519" s="5" t="s">
        <v>19</v>
      </c>
      <c r="C1519" s="5" t="s">
        <v>37</v>
      </c>
      <c r="D1519" s="5">
        <v>427</v>
      </c>
      <c r="E1519" s="6">
        <v>38253250000106</v>
      </c>
      <c r="F1519" s="5">
        <v>427</v>
      </c>
      <c r="G1519" s="7">
        <v>177688449073651</v>
      </c>
      <c r="H1519" s="5" t="s">
        <v>199</v>
      </c>
      <c r="I1519" s="5">
        <v>3003</v>
      </c>
      <c r="J1519" s="5" t="s">
        <v>22</v>
      </c>
      <c r="K1519" s="5" t="s">
        <v>23</v>
      </c>
      <c r="L1519" s="5" t="s">
        <v>31</v>
      </c>
      <c r="M1519" s="5" t="s">
        <v>284</v>
      </c>
      <c r="N1519" s="5" t="s">
        <v>53</v>
      </c>
      <c r="O1519" s="5">
        <v>147</v>
      </c>
      <c r="P1519" s="5"/>
      <c r="Q1519" s="5"/>
      <c r="R1519" s="8">
        <v>8.1018518518518516E-5</v>
      </c>
      <c r="S1519" s="5" t="s">
        <v>37</v>
      </c>
      <c r="T1519" t="str">
        <f>IF(Tabela1[[#This Row],[STATUS_NEGOCIO]]="Enviar E-mail",1,"")</f>
        <v/>
      </c>
      <c r="U1519" t="str">
        <f>TEXT(Tabela1[[#This Row],[DATA]],"dd/mm/aaaa")</f>
        <v>22/04/2026</v>
      </c>
    </row>
    <row r="1520" spans="1:21" x14ac:dyDescent="0.25">
      <c r="A1520" s="4">
        <v>46134.667731481481</v>
      </c>
      <c r="B1520" s="5" t="s">
        <v>19</v>
      </c>
      <c r="C1520" s="5" t="s">
        <v>37</v>
      </c>
      <c r="D1520" s="5">
        <v>428</v>
      </c>
      <c r="E1520" s="6">
        <v>38327906000198</v>
      </c>
      <c r="F1520" s="5">
        <v>428</v>
      </c>
      <c r="G1520" s="7">
        <v>177688449273671</v>
      </c>
      <c r="H1520" s="5" t="s">
        <v>554</v>
      </c>
      <c r="I1520" s="5">
        <v>3003</v>
      </c>
      <c r="J1520" s="5" t="s">
        <v>22</v>
      </c>
      <c r="K1520" s="5" t="s">
        <v>23</v>
      </c>
      <c r="L1520" s="5" t="s">
        <v>31</v>
      </c>
      <c r="M1520" s="5" t="s">
        <v>284</v>
      </c>
      <c r="N1520" s="5" t="s">
        <v>53</v>
      </c>
      <c r="O1520" s="5">
        <v>128</v>
      </c>
      <c r="P1520" s="5"/>
      <c r="Q1520" s="5"/>
      <c r="R1520" s="8">
        <v>8.1018518518518516E-5</v>
      </c>
      <c r="S1520" s="5" t="s">
        <v>37</v>
      </c>
      <c r="T1520" t="str">
        <f>IF(Tabela1[[#This Row],[STATUS_NEGOCIO]]="Enviar E-mail",1,"")</f>
        <v/>
      </c>
      <c r="U1520" t="str">
        <f>TEXT(Tabela1[[#This Row],[DATA]],"dd/mm/aaaa")</f>
        <v>22/04/2026</v>
      </c>
    </row>
    <row r="1521" spans="1:21" x14ac:dyDescent="0.25">
      <c r="A1521" s="4">
        <v>46134.667881944442</v>
      </c>
      <c r="B1521" s="5" t="s">
        <v>19</v>
      </c>
      <c r="C1521" s="5" t="s">
        <v>37</v>
      </c>
      <c r="D1521" s="5">
        <v>429</v>
      </c>
      <c r="E1521" s="6">
        <v>38456890000113</v>
      </c>
      <c r="F1521" s="5">
        <v>429</v>
      </c>
      <c r="G1521" s="7">
        <v>177688450573761</v>
      </c>
      <c r="H1521" s="5" t="s">
        <v>555</v>
      </c>
      <c r="I1521" s="5">
        <v>3003</v>
      </c>
      <c r="J1521" s="5" t="s">
        <v>22</v>
      </c>
      <c r="K1521" s="5" t="s">
        <v>23</v>
      </c>
      <c r="L1521" s="5" t="s">
        <v>31</v>
      </c>
      <c r="M1521" s="5" t="s">
        <v>284</v>
      </c>
      <c r="N1521" s="5" t="s">
        <v>53</v>
      </c>
      <c r="O1521" s="5">
        <v>128</v>
      </c>
      <c r="P1521" s="5"/>
      <c r="Q1521" s="5"/>
      <c r="R1521" s="8">
        <v>8.1018518518518516E-5</v>
      </c>
      <c r="S1521" s="5" t="s">
        <v>37</v>
      </c>
      <c r="T1521" t="str">
        <f>IF(Tabela1[[#This Row],[STATUS_NEGOCIO]]="Enviar E-mail",1,"")</f>
        <v/>
      </c>
      <c r="U1521" t="str">
        <f>TEXT(Tabela1[[#This Row],[DATA]],"dd/mm/aaaa")</f>
        <v>22/04/2026</v>
      </c>
    </row>
    <row r="1522" spans="1:21" x14ac:dyDescent="0.25">
      <c r="A1522" s="4">
        <v>46134.667893518519</v>
      </c>
      <c r="B1522" s="5" t="s">
        <v>19</v>
      </c>
      <c r="C1522" s="5" t="s">
        <v>37</v>
      </c>
      <c r="D1522" s="5">
        <v>430</v>
      </c>
      <c r="E1522" s="6">
        <v>39210513000162</v>
      </c>
      <c r="F1522" s="5">
        <v>430</v>
      </c>
      <c r="G1522" s="7">
        <v>177688450673791</v>
      </c>
      <c r="H1522" s="5" t="s">
        <v>556</v>
      </c>
      <c r="I1522" s="5" t="s">
        <v>52</v>
      </c>
      <c r="J1522" s="5" t="s">
        <v>22</v>
      </c>
      <c r="K1522" s="5" t="s">
        <v>36</v>
      </c>
      <c r="L1522" s="5" t="s">
        <v>36</v>
      </c>
      <c r="M1522" s="5" t="s">
        <v>284</v>
      </c>
      <c r="N1522" s="5" t="s">
        <v>53</v>
      </c>
      <c r="O1522" s="5">
        <v>19</v>
      </c>
      <c r="P1522" s="5"/>
      <c r="Q1522" s="5"/>
      <c r="R1522" s="8">
        <v>0</v>
      </c>
      <c r="S1522" s="5" t="s">
        <v>37</v>
      </c>
      <c r="T1522" t="str">
        <f>IF(Tabela1[[#This Row],[STATUS_NEGOCIO]]="Enviar E-mail",1,"")</f>
        <v/>
      </c>
      <c r="U1522" t="str">
        <f>TEXT(Tabela1[[#This Row],[DATA]],"dd/mm/aaaa")</f>
        <v>22/04/2026</v>
      </c>
    </row>
    <row r="1523" spans="1:21" x14ac:dyDescent="0.25">
      <c r="A1523" s="4">
        <v>46134.668055555558</v>
      </c>
      <c r="B1523" s="5" t="s">
        <v>19</v>
      </c>
      <c r="C1523" s="5" t="s">
        <v>37</v>
      </c>
      <c r="D1523" s="5">
        <v>431</v>
      </c>
      <c r="E1523" s="6">
        <v>39214150000133</v>
      </c>
      <c r="F1523" s="5">
        <v>431</v>
      </c>
      <c r="G1523" s="7">
        <v>177688452073811</v>
      </c>
      <c r="H1523" s="5" t="s">
        <v>557</v>
      </c>
      <c r="I1523" s="5" t="s">
        <v>52</v>
      </c>
      <c r="J1523" s="5" t="s">
        <v>22</v>
      </c>
      <c r="K1523" s="5" t="s">
        <v>36</v>
      </c>
      <c r="L1523" s="5" t="s">
        <v>36</v>
      </c>
      <c r="M1523" s="5" t="s">
        <v>284</v>
      </c>
      <c r="N1523" s="5" t="s">
        <v>53</v>
      </c>
      <c r="O1523" s="5">
        <v>19</v>
      </c>
      <c r="P1523" s="5"/>
      <c r="Q1523" s="5"/>
      <c r="R1523" s="8">
        <v>0</v>
      </c>
      <c r="S1523" s="5" t="s">
        <v>37</v>
      </c>
      <c r="T1523" t="str">
        <f>IF(Tabela1[[#This Row],[STATUS_NEGOCIO]]="Enviar E-mail",1,"")</f>
        <v/>
      </c>
      <c r="U1523" t="str">
        <f>TEXT(Tabela1[[#This Row],[DATA]],"dd/mm/aaaa")</f>
        <v>22/04/2026</v>
      </c>
    </row>
    <row r="1524" spans="1:21" x14ac:dyDescent="0.25">
      <c r="A1524" s="4">
        <v>46134.668275462966</v>
      </c>
      <c r="B1524" s="5" t="s">
        <v>19</v>
      </c>
      <c r="C1524" s="5" t="s">
        <v>37</v>
      </c>
      <c r="D1524" s="5">
        <v>432</v>
      </c>
      <c r="E1524" s="6">
        <v>39216809000190</v>
      </c>
      <c r="F1524" s="5">
        <v>432</v>
      </c>
      <c r="G1524" s="7">
        <v>177688453973891</v>
      </c>
      <c r="H1524" s="5" t="s">
        <v>558</v>
      </c>
      <c r="I1524" s="5">
        <v>3003</v>
      </c>
      <c r="J1524" s="5" t="s">
        <v>22</v>
      </c>
      <c r="K1524" s="5" t="s">
        <v>23</v>
      </c>
      <c r="L1524" s="5" t="s">
        <v>31</v>
      </c>
      <c r="M1524" s="5" t="s">
        <v>284</v>
      </c>
      <c r="N1524" s="5" t="s">
        <v>53</v>
      </c>
      <c r="O1524" s="5">
        <v>128</v>
      </c>
      <c r="P1524" s="5"/>
      <c r="Q1524" s="5"/>
      <c r="R1524" s="8">
        <v>8.1018518518518516E-5</v>
      </c>
      <c r="S1524" s="5" t="s">
        <v>37</v>
      </c>
      <c r="T1524" t="str">
        <f>IF(Tabela1[[#This Row],[STATUS_NEGOCIO]]="Enviar E-mail",1,"")</f>
        <v/>
      </c>
      <c r="U1524" t="str">
        <f>TEXT(Tabela1[[#This Row],[DATA]],"dd/mm/aaaa")</f>
        <v>22/04/2026</v>
      </c>
    </row>
    <row r="1525" spans="1:21" x14ac:dyDescent="0.25">
      <c r="A1525" s="4">
        <v>46134.668287037035</v>
      </c>
      <c r="B1525" s="5" t="s">
        <v>19</v>
      </c>
      <c r="C1525" s="5" t="s">
        <v>37</v>
      </c>
      <c r="D1525" s="5">
        <v>433</v>
      </c>
      <c r="E1525" s="6">
        <v>39220751000159</v>
      </c>
      <c r="F1525" s="5">
        <v>433</v>
      </c>
      <c r="G1525" s="7">
        <v>177688454073911</v>
      </c>
      <c r="H1525" s="5" t="s">
        <v>546</v>
      </c>
      <c r="I1525" s="5">
        <v>3003</v>
      </c>
      <c r="J1525" s="5" t="s">
        <v>22</v>
      </c>
      <c r="K1525" s="5" t="s">
        <v>23</v>
      </c>
      <c r="L1525" s="5" t="s">
        <v>31</v>
      </c>
      <c r="M1525" s="5" t="s">
        <v>284</v>
      </c>
      <c r="N1525" s="5" t="s">
        <v>53</v>
      </c>
      <c r="O1525" s="5">
        <v>128</v>
      </c>
      <c r="P1525" s="5"/>
      <c r="Q1525" s="5"/>
      <c r="R1525" s="8">
        <v>8.1018518518518516E-5</v>
      </c>
      <c r="S1525" s="5" t="s">
        <v>37</v>
      </c>
      <c r="T1525" t="str">
        <f>IF(Tabela1[[#This Row],[STATUS_NEGOCIO]]="Enviar E-mail",1,"")</f>
        <v/>
      </c>
      <c r="U1525" t="str">
        <f>TEXT(Tabela1[[#This Row],[DATA]],"dd/mm/aaaa")</f>
        <v>22/04/2026</v>
      </c>
    </row>
    <row r="1526" spans="1:21" x14ac:dyDescent="0.25">
      <c r="A1526" s="4">
        <v>46134.668449074074</v>
      </c>
      <c r="B1526" s="5" t="s">
        <v>19</v>
      </c>
      <c r="C1526" s="5" t="s">
        <v>37</v>
      </c>
      <c r="D1526" s="5">
        <v>434</v>
      </c>
      <c r="E1526" s="6">
        <v>39227830000191</v>
      </c>
      <c r="F1526" s="5">
        <v>434</v>
      </c>
      <c r="G1526" s="7">
        <v>177688455473931</v>
      </c>
      <c r="H1526" s="5" t="s">
        <v>559</v>
      </c>
      <c r="I1526" s="5">
        <v>3003</v>
      </c>
      <c r="J1526" s="5" t="s">
        <v>22</v>
      </c>
      <c r="K1526" s="5" t="s">
        <v>23</v>
      </c>
      <c r="L1526" s="5" t="s">
        <v>31</v>
      </c>
      <c r="M1526" s="5" t="s">
        <v>284</v>
      </c>
      <c r="N1526" s="5" t="s">
        <v>53</v>
      </c>
      <c r="O1526" s="5">
        <v>128</v>
      </c>
      <c r="P1526" s="5"/>
      <c r="Q1526" s="5"/>
      <c r="R1526" s="8">
        <v>8.1018518518518516E-5</v>
      </c>
      <c r="S1526" s="5" t="s">
        <v>37</v>
      </c>
      <c r="T1526" t="str">
        <f>IF(Tabela1[[#This Row],[STATUS_NEGOCIO]]="Enviar E-mail",1,"")</f>
        <v/>
      </c>
      <c r="U1526" t="str">
        <f>TEXT(Tabela1[[#This Row],[DATA]],"dd/mm/aaaa")</f>
        <v>22/04/2026</v>
      </c>
    </row>
    <row r="1527" spans="1:21" x14ac:dyDescent="0.25">
      <c r="A1527" s="4">
        <v>46134.668483796297</v>
      </c>
      <c r="B1527" s="5" t="s">
        <v>19</v>
      </c>
      <c r="C1527" s="5" t="s">
        <v>37</v>
      </c>
      <c r="D1527" s="5">
        <v>435</v>
      </c>
      <c r="E1527" s="6">
        <v>39468257000108</v>
      </c>
      <c r="F1527" s="5">
        <v>435</v>
      </c>
      <c r="G1527" s="7">
        <v>177688455773941</v>
      </c>
      <c r="H1527" s="5" t="s">
        <v>560</v>
      </c>
      <c r="I1527" s="5">
        <v>3003</v>
      </c>
      <c r="J1527" s="5" t="s">
        <v>22</v>
      </c>
      <c r="K1527" s="5" t="s">
        <v>23</v>
      </c>
      <c r="L1527" s="5" t="s">
        <v>31</v>
      </c>
      <c r="M1527" s="5" t="s">
        <v>284</v>
      </c>
      <c r="N1527" s="5" t="s">
        <v>53</v>
      </c>
      <c r="O1527" s="5">
        <v>128</v>
      </c>
      <c r="P1527" s="5"/>
      <c r="Q1527" s="5"/>
      <c r="R1527" s="8">
        <v>6.9444444444444444E-5</v>
      </c>
      <c r="S1527" s="5" t="s">
        <v>37</v>
      </c>
      <c r="T1527" t="str">
        <f>IF(Tabela1[[#This Row],[STATUS_NEGOCIO]]="Enviar E-mail",1,"")</f>
        <v/>
      </c>
      <c r="U1527" t="str">
        <f>TEXT(Tabela1[[#This Row],[DATA]],"dd/mm/aaaa")</f>
        <v>22/04/2026</v>
      </c>
    </row>
    <row r="1528" spans="1:21" x14ac:dyDescent="0.25">
      <c r="A1528" s="4">
        <v>46134.668622685182</v>
      </c>
      <c r="B1528" s="5" t="s">
        <v>19</v>
      </c>
      <c r="C1528" s="5" t="s">
        <v>37</v>
      </c>
      <c r="D1528" s="5">
        <v>436</v>
      </c>
      <c r="E1528" s="6">
        <v>39556402000102</v>
      </c>
      <c r="F1528" s="5">
        <v>436</v>
      </c>
      <c r="G1528" s="7">
        <v>177688456973961</v>
      </c>
      <c r="H1528" s="5" t="s">
        <v>229</v>
      </c>
      <c r="I1528" s="5">
        <v>3003</v>
      </c>
      <c r="J1528" s="5" t="s">
        <v>22</v>
      </c>
      <c r="K1528" s="5" t="s">
        <v>23</v>
      </c>
      <c r="L1528" s="5" t="s">
        <v>31</v>
      </c>
      <c r="M1528" s="5" t="s">
        <v>284</v>
      </c>
      <c r="N1528" s="5" t="s">
        <v>53</v>
      </c>
      <c r="O1528" s="5">
        <v>128</v>
      </c>
      <c r="P1528" s="5"/>
      <c r="Q1528" s="5"/>
      <c r="R1528" s="8">
        <v>8.1018518518518516E-5</v>
      </c>
      <c r="S1528" s="5" t="s">
        <v>37</v>
      </c>
      <c r="T1528" t="str">
        <f>IF(Tabela1[[#This Row],[STATUS_NEGOCIO]]="Enviar E-mail",1,"")</f>
        <v/>
      </c>
      <c r="U1528" t="str">
        <f>TEXT(Tabela1[[#This Row],[DATA]],"dd/mm/aaaa")</f>
        <v>22/04/2026</v>
      </c>
    </row>
    <row r="1529" spans="1:21" x14ac:dyDescent="0.25">
      <c r="A1529" s="4">
        <v>46134.668634259258</v>
      </c>
      <c r="B1529" s="5" t="s">
        <v>19</v>
      </c>
      <c r="C1529" s="5" t="s">
        <v>37</v>
      </c>
      <c r="D1529" s="5">
        <v>437</v>
      </c>
      <c r="E1529" s="6">
        <v>39596079000109</v>
      </c>
      <c r="F1529" s="5">
        <v>437</v>
      </c>
      <c r="G1529" s="7">
        <v>177688457073971</v>
      </c>
      <c r="H1529" s="5" t="s">
        <v>141</v>
      </c>
      <c r="I1529" s="5">
        <v>3003</v>
      </c>
      <c r="J1529" s="5" t="s">
        <v>22</v>
      </c>
      <c r="K1529" s="5" t="s">
        <v>23</v>
      </c>
      <c r="L1529" s="5" t="s">
        <v>31</v>
      </c>
      <c r="M1529" s="5" t="s">
        <v>284</v>
      </c>
      <c r="N1529" s="5" t="s">
        <v>53</v>
      </c>
      <c r="O1529" s="5">
        <v>128</v>
      </c>
      <c r="P1529" s="5"/>
      <c r="Q1529" s="5"/>
      <c r="R1529" s="8">
        <v>8.1018518518518516E-5</v>
      </c>
      <c r="S1529" s="5" t="s">
        <v>37</v>
      </c>
      <c r="T1529" t="str">
        <f>IF(Tabela1[[#This Row],[STATUS_NEGOCIO]]="Enviar E-mail",1,"")</f>
        <v/>
      </c>
      <c r="U1529" t="str">
        <f>TEXT(Tabela1[[#This Row],[DATA]],"dd/mm/aaaa")</f>
        <v>22/04/2026</v>
      </c>
    </row>
    <row r="1530" spans="1:21" x14ac:dyDescent="0.25">
      <c r="A1530" s="4">
        <v>46134.668645833335</v>
      </c>
      <c r="B1530" s="5" t="s">
        <v>19</v>
      </c>
      <c r="C1530" s="5" t="s">
        <v>37</v>
      </c>
      <c r="D1530" s="5">
        <v>438</v>
      </c>
      <c r="E1530" s="6">
        <v>39929832000122</v>
      </c>
      <c r="F1530" s="5">
        <v>438</v>
      </c>
      <c r="G1530" s="7">
        <v>177688457173991</v>
      </c>
      <c r="H1530" s="5" t="s">
        <v>561</v>
      </c>
      <c r="I1530" s="5">
        <v>3003</v>
      </c>
      <c r="J1530" s="5" t="s">
        <v>22</v>
      </c>
      <c r="K1530" s="5" t="s">
        <v>23</v>
      </c>
      <c r="L1530" s="5" t="s">
        <v>31</v>
      </c>
      <c r="M1530" s="5" t="s">
        <v>284</v>
      </c>
      <c r="N1530" s="5" t="s">
        <v>53</v>
      </c>
      <c r="O1530" s="5">
        <v>128</v>
      </c>
      <c r="P1530" s="5"/>
      <c r="Q1530" s="5"/>
      <c r="R1530" s="8">
        <v>8.1018518518518516E-5</v>
      </c>
      <c r="S1530" s="5" t="s">
        <v>37</v>
      </c>
      <c r="T1530" t="str">
        <f>IF(Tabela1[[#This Row],[STATUS_NEGOCIO]]="Enviar E-mail",1,"")</f>
        <v/>
      </c>
      <c r="U1530" t="str">
        <f>TEXT(Tabela1[[#This Row],[DATA]],"dd/mm/aaaa")</f>
        <v>22/04/2026</v>
      </c>
    </row>
    <row r="1531" spans="1:21" x14ac:dyDescent="0.25">
      <c r="A1531" s="4">
        <v>46134.668726851851</v>
      </c>
      <c r="B1531" s="5" t="s">
        <v>19</v>
      </c>
      <c r="C1531" s="5" t="s">
        <v>37</v>
      </c>
      <c r="D1531" s="5">
        <v>439</v>
      </c>
      <c r="E1531" s="6">
        <v>39935945000130</v>
      </c>
      <c r="F1531" s="5">
        <v>439</v>
      </c>
      <c r="G1531" s="7">
        <v>177688457874071</v>
      </c>
      <c r="H1531" s="5" t="s">
        <v>417</v>
      </c>
      <c r="I1531" s="5">
        <v>3003</v>
      </c>
      <c r="J1531" s="5" t="s">
        <v>22</v>
      </c>
      <c r="K1531" s="5" t="s">
        <v>23</v>
      </c>
      <c r="L1531" s="5" t="s">
        <v>31</v>
      </c>
      <c r="M1531" s="5" t="s">
        <v>284</v>
      </c>
      <c r="N1531" s="5" t="s">
        <v>53</v>
      </c>
      <c r="O1531" s="5">
        <v>147</v>
      </c>
      <c r="P1531" s="5"/>
      <c r="Q1531" s="5"/>
      <c r="R1531" s="8">
        <v>8.1018518518518516E-5</v>
      </c>
      <c r="S1531" s="5" t="s">
        <v>37</v>
      </c>
      <c r="T1531" t="str">
        <f>IF(Tabela1[[#This Row],[STATUS_NEGOCIO]]="Enviar E-mail",1,"")</f>
        <v/>
      </c>
      <c r="U1531" t="str">
        <f>TEXT(Tabela1[[#This Row],[DATA]],"dd/mm/aaaa")</f>
        <v>22/04/2026</v>
      </c>
    </row>
    <row r="1532" spans="1:21" x14ac:dyDescent="0.25">
      <c r="A1532" s="4">
        <v>46134.668773148151</v>
      </c>
      <c r="B1532" s="5" t="s">
        <v>19</v>
      </c>
      <c r="C1532" s="5" t="s">
        <v>37</v>
      </c>
      <c r="D1532" s="5">
        <v>440</v>
      </c>
      <c r="E1532" s="6">
        <v>40019453000184</v>
      </c>
      <c r="F1532" s="5">
        <v>440</v>
      </c>
      <c r="G1532" s="7">
        <v>177688458274091</v>
      </c>
      <c r="H1532" s="5" t="s">
        <v>64</v>
      </c>
      <c r="I1532" s="5">
        <v>3003</v>
      </c>
      <c r="J1532" s="5" t="s">
        <v>22</v>
      </c>
      <c r="K1532" s="5" t="s">
        <v>23</v>
      </c>
      <c r="L1532" s="5" t="s">
        <v>31</v>
      </c>
      <c r="M1532" s="5" t="s">
        <v>284</v>
      </c>
      <c r="N1532" s="5" t="s">
        <v>53</v>
      </c>
      <c r="O1532" s="5">
        <v>128</v>
      </c>
      <c r="P1532" s="5"/>
      <c r="Q1532" s="5"/>
      <c r="R1532" s="8">
        <v>8.1018518518518516E-5</v>
      </c>
      <c r="S1532" s="5" t="s">
        <v>37</v>
      </c>
      <c r="T1532" t="str">
        <f>IF(Tabela1[[#This Row],[STATUS_NEGOCIO]]="Enviar E-mail",1,"")</f>
        <v/>
      </c>
      <c r="U1532" t="str">
        <f>TEXT(Tabela1[[#This Row],[DATA]],"dd/mm/aaaa")</f>
        <v>22/04/2026</v>
      </c>
    </row>
    <row r="1533" spans="1:21" x14ac:dyDescent="0.25">
      <c r="A1533" s="4">
        <v>46134.668842592589</v>
      </c>
      <c r="B1533" s="5" t="s">
        <v>19</v>
      </c>
      <c r="C1533" s="5" t="s">
        <v>37</v>
      </c>
      <c r="D1533" s="5">
        <v>441</v>
      </c>
      <c r="E1533" s="6">
        <v>40127921000134</v>
      </c>
      <c r="F1533" s="5">
        <v>441</v>
      </c>
      <c r="G1533" s="7">
        <v>177688458874111</v>
      </c>
      <c r="H1533" s="5" t="s">
        <v>110</v>
      </c>
      <c r="I1533" s="5">
        <v>3003</v>
      </c>
      <c r="J1533" s="5" t="s">
        <v>22</v>
      </c>
      <c r="K1533" s="5" t="s">
        <v>23</v>
      </c>
      <c r="L1533" s="5" t="s">
        <v>31</v>
      </c>
      <c r="M1533" s="5" t="s">
        <v>284</v>
      </c>
      <c r="N1533" s="5" t="s">
        <v>53</v>
      </c>
      <c r="O1533" s="5">
        <v>128</v>
      </c>
      <c r="P1533" s="5"/>
      <c r="Q1533" s="5"/>
      <c r="R1533" s="8">
        <v>8.1018518518518516E-5</v>
      </c>
      <c r="S1533" s="5" t="s">
        <v>37</v>
      </c>
      <c r="T1533" t="str">
        <f>IF(Tabela1[[#This Row],[STATUS_NEGOCIO]]="Enviar E-mail",1,"")</f>
        <v/>
      </c>
      <c r="U1533" t="str">
        <f>TEXT(Tabela1[[#This Row],[DATA]],"dd/mm/aaaa")</f>
        <v>22/04/2026</v>
      </c>
    </row>
    <row r="1534" spans="1:21" x14ac:dyDescent="0.25">
      <c r="A1534" s="4">
        <v>46134.668993055559</v>
      </c>
      <c r="B1534" s="5" t="s">
        <v>19</v>
      </c>
      <c r="C1534" s="5" t="s">
        <v>27</v>
      </c>
      <c r="D1534" s="5">
        <v>442</v>
      </c>
      <c r="E1534" s="6">
        <v>40144814000114</v>
      </c>
      <c r="F1534" s="5">
        <v>442</v>
      </c>
      <c r="G1534" s="7">
        <v>177688460174141</v>
      </c>
      <c r="H1534" s="5" t="s">
        <v>562</v>
      </c>
      <c r="I1534" s="5">
        <v>3003</v>
      </c>
      <c r="J1534" s="5" t="s">
        <v>22</v>
      </c>
      <c r="K1534" s="5" t="s">
        <v>23</v>
      </c>
      <c r="L1534" s="5" t="s">
        <v>40</v>
      </c>
      <c r="M1534" s="5" t="s">
        <v>284</v>
      </c>
      <c r="N1534" s="5" t="s">
        <v>26</v>
      </c>
      <c r="O1534" s="5">
        <v>16</v>
      </c>
      <c r="P1534" s="5"/>
      <c r="Q1534" s="5"/>
      <c r="R1534" s="8">
        <v>1.4236111111111112E-3</v>
      </c>
      <c r="S1534" s="8">
        <v>1.3541666666666667E-3</v>
      </c>
      <c r="T1534">
        <f>IF(Tabela1[[#This Row],[STATUS_NEGOCIO]]="Enviar E-mail",1,"")</f>
        <v>1</v>
      </c>
      <c r="U1534" t="str">
        <f>TEXT(Tabela1[[#This Row],[DATA]],"dd/mm/aaaa")</f>
        <v>22/04/2026</v>
      </c>
    </row>
    <row r="1535" spans="1:21" x14ac:dyDescent="0.25">
      <c r="A1535" s="4">
        <v>46134.668993055559</v>
      </c>
      <c r="B1535" s="5" t="s">
        <v>19</v>
      </c>
      <c r="C1535" s="5" t="s">
        <v>37</v>
      </c>
      <c r="D1535" s="5">
        <v>443</v>
      </c>
      <c r="E1535" s="6">
        <v>40159980000194</v>
      </c>
      <c r="F1535" s="5">
        <v>443</v>
      </c>
      <c r="G1535" s="7">
        <v>177688460174151</v>
      </c>
      <c r="H1535" s="5" t="s">
        <v>170</v>
      </c>
      <c r="I1535" s="5">
        <v>3003</v>
      </c>
      <c r="J1535" s="5" t="s">
        <v>22</v>
      </c>
      <c r="K1535" s="5" t="s">
        <v>23</v>
      </c>
      <c r="L1535" s="5" t="s">
        <v>31</v>
      </c>
      <c r="M1535" s="5" t="s">
        <v>284</v>
      </c>
      <c r="N1535" s="5" t="s">
        <v>53</v>
      </c>
      <c r="O1535" s="5">
        <v>128</v>
      </c>
      <c r="P1535" s="5"/>
      <c r="Q1535" s="5"/>
      <c r="R1535" s="8">
        <v>8.1018518518518516E-5</v>
      </c>
      <c r="S1535" s="5" t="s">
        <v>37</v>
      </c>
      <c r="T1535" t="str">
        <f>IF(Tabela1[[#This Row],[STATUS_NEGOCIO]]="Enviar E-mail",1,"")</f>
        <v/>
      </c>
      <c r="U1535" t="str">
        <f>TEXT(Tabela1[[#This Row],[DATA]],"dd/mm/aaaa")</f>
        <v>22/04/2026</v>
      </c>
    </row>
    <row r="1536" spans="1:21" x14ac:dyDescent="0.25">
      <c r="A1536" s="4">
        <v>46134.669016203705</v>
      </c>
      <c r="B1536" s="5" t="s">
        <v>19</v>
      </c>
      <c r="C1536" s="5" t="s">
        <v>37</v>
      </c>
      <c r="D1536" s="5">
        <v>445</v>
      </c>
      <c r="E1536" s="6">
        <v>40205791000100</v>
      </c>
      <c r="F1536" s="5">
        <v>445</v>
      </c>
      <c r="G1536" s="7">
        <v>177688460374221</v>
      </c>
      <c r="H1536" s="5" t="s">
        <v>564</v>
      </c>
      <c r="I1536" s="5">
        <v>3003</v>
      </c>
      <c r="J1536" s="5" t="s">
        <v>22</v>
      </c>
      <c r="K1536" s="5" t="s">
        <v>23</v>
      </c>
      <c r="L1536" s="5" t="s">
        <v>31</v>
      </c>
      <c r="M1536" s="5" t="s">
        <v>284</v>
      </c>
      <c r="N1536" s="5" t="s">
        <v>53</v>
      </c>
      <c r="O1536" s="5">
        <v>128</v>
      </c>
      <c r="P1536" s="5"/>
      <c r="Q1536" s="5"/>
      <c r="R1536" s="8">
        <v>8.1018518518518516E-5</v>
      </c>
      <c r="S1536" s="5" t="s">
        <v>37</v>
      </c>
      <c r="T1536" t="str">
        <f>IF(Tabela1[[#This Row],[STATUS_NEGOCIO]]="Enviar E-mail",1,"")</f>
        <v/>
      </c>
      <c r="U1536" t="str">
        <f>TEXT(Tabela1[[#This Row],[DATA]],"dd/mm/aaaa")</f>
        <v>22/04/2026</v>
      </c>
    </row>
    <row r="1537" spans="1:21" x14ac:dyDescent="0.25">
      <c r="A1537" s="4">
        <v>46134.669270833336</v>
      </c>
      <c r="B1537" s="5" t="s">
        <v>19</v>
      </c>
      <c r="C1537" s="5" t="s">
        <v>37</v>
      </c>
      <c r="D1537" s="5">
        <v>446</v>
      </c>
      <c r="E1537" s="6">
        <v>40217278000130</v>
      </c>
      <c r="F1537" s="5">
        <v>446</v>
      </c>
      <c r="G1537" s="7">
        <v>177688462574331</v>
      </c>
      <c r="H1537" s="5" t="s">
        <v>194</v>
      </c>
      <c r="I1537" s="5">
        <v>3003</v>
      </c>
      <c r="J1537" s="5" t="s">
        <v>22</v>
      </c>
      <c r="K1537" s="5" t="s">
        <v>23</v>
      </c>
      <c r="L1537" s="5" t="s">
        <v>31</v>
      </c>
      <c r="M1537" s="5" t="s">
        <v>284</v>
      </c>
      <c r="N1537" s="5" t="s">
        <v>53</v>
      </c>
      <c r="O1537" s="5">
        <v>128</v>
      </c>
      <c r="P1537" s="5"/>
      <c r="Q1537" s="5"/>
      <c r="R1537" s="8">
        <v>6.9444444444444444E-5</v>
      </c>
      <c r="S1537" s="5" t="s">
        <v>37</v>
      </c>
      <c r="T1537" t="str">
        <f>IF(Tabela1[[#This Row],[STATUS_NEGOCIO]]="Enviar E-mail",1,"")</f>
        <v/>
      </c>
      <c r="U1537" t="str">
        <f>TEXT(Tabela1[[#This Row],[DATA]],"dd/mm/aaaa")</f>
        <v>22/04/2026</v>
      </c>
    </row>
    <row r="1538" spans="1:21" x14ac:dyDescent="0.25">
      <c r="A1538" s="4">
        <v>46134.669351851851</v>
      </c>
      <c r="B1538" s="5" t="s">
        <v>19</v>
      </c>
      <c r="C1538" s="5" t="s">
        <v>37</v>
      </c>
      <c r="D1538" s="5">
        <v>447</v>
      </c>
      <c r="E1538" s="6">
        <v>40290991000109</v>
      </c>
      <c r="F1538" s="5">
        <v>447</v>
      </c>
      <c r="G1538" s="7">
        <v>177688463274411</v>
      </c>
      <c r="H1538" s="5" t="s">
        <v>565</v>
      </c>
      <c r="I1538" s="5" t="s">
        <v>52</v>
      </c>
      <c r="J1538" s="5" t="s">
        <v>22</v>
      </c>
      <c r="K1538" s="5" t="s">
        <v>36</v>
      </c>
      <c r="L1538" s="5" t="s">
        <v>36</v>
      </c>
      <c r="M1538" s="5" t="s">
        <v>284</v>
      </c>
      <c r="N1538" s="5" t="s">
        <v>53</v>
      </c>
      <c r="O1538" s="5">
        <v>1</v>
      </c>
      <c r="P1538" s="5"/>
      <c r="Q1538" s="5"/>
      <c r="R1538" s="8">
        <v>0</v>
      </c>
      <c r="S1538" s="5" t="s">
        <v>37</v>
      </c>
      <c r="T1538" t="str">
        <f>IF(Tabela1[[#This Row],[STATUS_NEGOCIO]]="Enviar E-mail",1,"")</f>
        <v/>
      </c>
      <c r="U1538" t="str">
        <f>TEXT(Tabela1[[#This Row],[DATA]],"dd/mm/aaaa")</f>
        <v>22/04/2026</v>
      </c>
    </row>
    <row r="1539" spans="1:21" x14ac:dyDescent="0.25">
      <c r="A1539" s="4">
        <v>46134.669363425928</v>
      </c>
      <c r="B1539" s="5" t="s">
        <v>19</v>
      </c>
      <c r="C1539" s="5" t="s">
        <v>37</v>
      </c>
      <c r="D1539" s="5">
        <v>448</v>
      </c>
      <c r="E1539" s="6">
        <v>40503929000158</v>
      </c>
      <c r="F1539" s="5">
        <v>448</v>
      </c>
      <c r="G1539" s="7">
        <v>177688463374421</v>
      </c>
      <c r="H1539" s="5" t="s">
        <v>566</v>
      </c>
      <c r="I1539" s="5">
        <v>3003</v>
      </c>
      <c r="J1539" s="5" t="s">
        <v>22</v>
      </c>
      <c r="K1539" s="5" t="s">
        <v>23</v>
      </c>
      <c r="L1539" s="5" t="s">
        <v>31</v>
      </c>
      <c r="M1539" s="5" t="s">
        <v>284</v>
      </c>
      <c r="N1539" s="5" t="s">
        <v>53</v>
      </c>
      <c r="O1539" s="5">
        <v>128</v>
      </c>
      <c r="P1539" s="5"/>
      <c r="Q1539" s="5"/>
      <c r="R1539" s="8">
        <v>6.9444444444444444E-5</v>
      </c>
      <c r="S1539" s="5" t="s">
        <v>37</v>
      </c>
      <c r="T1539" t="str">
        <f>IF(Tabela1[[#This Row],[STATUS_NEGOCIO]]="Enviar E-mail",1,"")</f>
        <v/>
      </c>
      <c r="U1539" t="str">
        <f>TEXT(Tabela1[[#This Row],[DATA]],"dd/mm/aaaa")</f>
        <v>22/04/2026</v>
      </c>
    </row>
    <row r="1540" spans="1:21" x14ac:dyDescent="0.25">
      <c r="A1540" s="4">
        <v>46134.669537037036</v>
      </c>
      <c r="B1540" s="5" t="s">
        <v>19</v>
      </c>
      <c r="C1540" s="5" t="s">
        <v>37</v>
      </c>
      <c r="D1540" s="5">
        <v>449</v>
      </c>
      <c r="E1540" s="6">
        <v>40687859000135</v>
      </c>
      <c r="F1540" s="5">
        <v>449</v>
      </c>
      <c r="G1540" s="7">
        <v>177688464874461</v>
      </c>
      <c r="H1540" s="5" t="s">
        <v>567</v>
      </c>
      <c r="I1540" s="5">
        <v>3003</v>
      </c>
      <c r="J1540" s="5" t="s">
        <v>22</v>
      </c>
      <c r="K1540" s="5" t="s">
        <v>23</v>
      </c>
      <c r="L1540" s="5" t="s">
        <v>31</v>
      </c>
      <c r="M1540" s="5" t="s">
        <v>284</v>
      </c>
      <c r="N1540" s="5" t="s">
        <v>53</v>
      </c>
      <c r="O1540" s="5">
        <v>128</v>
      </c>
      <c r="P1540" s="5"/>
      <c r="Q1540" s="5"/>
      <c r="R1540" s="8">
        <v>8.1018518518518516E-5</v>
      </c>
      <c r="S1540" s="5" t="s">
        <v>37</v>
      </c>
      <c r="T1540" t="str">
        <f>IF(Tabela1[[#This Row],[STATUS_NEGOCIO]]="Enviar E-mail",1,"")</f>
        <v/>
      </c>
      <c r="U1540" t="str">
        <f>TEXT(Tabela1[[#This Row],[DATA]],"dd/mm/aaaa")</f>
        <v>22/04/2026</v>
      </c>
    </row>
    <row r="1541" spans="1:21" x14ac:dyDescent="0.25">
      <c r="A1541" s="4">
        <v>46134.669548611113</v>
      </c>
      <c r="B1541" s="5" t="s">
        <v>19</v>
      </c>
      <c r="C1541" s="5" t="s">
        <v>37</v>
      </c>
      <c r="D1541" s="5">
        <v>450</v>
      </c>
      <c r="E1541" s="6">
        <v>40696152000195</v>
      </c>
      <c r="F1541" s="5">
        <v>450</v>
      </c>
      <c r="G1541" s="7">
        <v>177688464974471</v>
      </c>
      <c r="H1541" s="5" t="s">
        <v>188</v>
      </c>
      <c r="I1541" s="5">
        <v>3003</v>
      </c>
      <c r="J1541" s="5" t="s">
        <v>22</v>
      </c>
      <c r="K1541" s="5" t="s">
        <v>23</v>
      </c>
      <c r="L1541" s="5" t="s">
        <v>31</v>
      </c>
      <c r="M1541" s="5" t="s">
        <v>284</v>
      </c>
      <c r="N1541" s="5" t="s">
        <v>53</v>
      </c>
      <c r="O1541" s="5">
        <v>147</v>
      </c>
      <c r="P1541" s="5"/>
      <c r="Q1541" s="5"/>
      <c r="R1541" s="8">
        <v>6.9444444444444444E-5</v>
      </c>
      <c r="S1541" s="5" t="s">
        <v>37</v>
      </c>
      <c r="T1541" t="str">
        <f>IF(Tabela1[[#This Row],[STATUS_NEGOCIO]]="Enviar E-mail",1,"")</f>
        <v/>
      </c>
      <c r="U1541" t="str">
        <f>TEXT(Tabela1[[#This Row],[DATA]],"dd/mm/aaaa")</f>
        <v>22/04/2026</v>
      </c>
    </row>
    <row r="1542" spans="1:21" x14ac:dyDescent="0.25">
      <c r="A1542" s="4">
        <v>46134.669861111113</v>
      </c>
      <c r="B1542" s="5" t="s">
        <v>19</v>
      </c>
      <c r="C1542" s="5" t="s">
        <v>27</v>
      </c>
      <c r="D1542" s="5">
        <v>451</v>
      </c>
      <c r="E1542" s="6">
        <v>40713777000118</v>
      </c>
      <c r="F1542" s="5">
        <v>451</v>
      </c>
      <c r="G1542" s="7">
        <v>177688467674491</v>
      </c>
      <c r="H1542" s="5" t="s">
        <v>568</v>
      </c>
      <c r="I1542" s="5">
        <v>3003</v>
      </c>
      <c r="J1542" s="5" t="s">
        <v>22</v>
      </c>
      <c r="K1542" s="5" t="s">
        <v>23</v>
      </c>
      <c r="L1542" s="5" t="s">
        <v>265</v>
      </c>
      <c r="M1542" s="5" t="s">
        <v>284</v>
      </c>
      <c r="N1542" s="5" t="s">
        <v>26</v>
      </c>
      <c r="O1542" s="5">
        <v>16</v>
      </c>
      <c r="P1542" s="5"/>
      <c r="Q1542" s="5"/>
      <c r="R1542" s="8">
        <v>1.2962962962962963E-3</v>
      </c>
      <c r="S1542" s="8">
        <v>9.4907407407407408E-4</v>
      </c>
      <c r="T1542" t="str">
        <f>IF(Tabela1[[#This Row],[STATUS_NEGOCIO]]="Enviar E-mail",1,"")</f>
        <v/>
      </c>
      <c r="U1542" t="str">
        <f>TEXT(Tabela1[[#This Row],[DATA]],"dd/mm/aaaa")</f>
        <v>22/04/2026</v>
      </c>
    </row>
    <row r="1543" spans="1:21" x14ac:dyDescent="0.25">
      <c r="A1543" s="4">
        <v>46134.670034722221</v>
      </c>
      <c r="B1543" s="5" t="s">
        <v>19</v>
      </c>
      <c r="C1543" s="5" t="s">
        <v>37</v>
      </c>
      <c r="D1543" s="5">
        <v>452</v>
      </c>
      <c r="E1543" s="6">
        <v>40904952000154</v>
      </c>
      <c r="F1543" s="5">
        <v>452</v>
      </c>
      <c r="G1543" s="7">
        <v>177688469174551</v>
      </c>
      <c r="H1543" s="5" t="s">
        <v>569</v>
      </c>
      <c r="I1543" s="5">
        <v>3003</v>
      </c>
      <c r="J1543" s="5" t="s">
        <v>22</v>
      </c>
      <c r="K1543" s="5" t="s">
        <v>23</v>
      </c>
      <c r="L1543" s="5" t="s">
        <v>31</v>
      </c>
      <c r="M1543" s="5" t="s">
        <v>284</v>
      </c>
      <c r="N1543" s="5" t="s">
        <v>53</v>
      </c>
      <c r="O1543" s="5">
        <v>128</v>
      </c>
      <c r="P1543" s="5"/>
      <c r="Q1543" s="5"/>
      <c r="R1543" s="8">
        <v>6.9444444444444444E-5</v>
      </c>
      <c r="S1543" s="5" t="s">
        <v>37</v>
      </c>
      <c r="T1543" t="str">
        <f>IF(Tabela1[[#This Row],[STATUS_NEGOCIO]]="Enviar E-mail",1,"")</f>
        <v/>
      </c>
      <c r="U1543" t="str">
        <f>TEXT(Tabela1[[#This Row],[DATA]],"dd/mm/aaaa")</f>
        <v>22/04/2026</v>
      </c>
    </row>
    <row r="1544" spans="1:21" x14ac:dyDescent="0.25">
      <c r="A1544" s="4">
        <v>46134.670057870368</v>
      </c>
      <c r="B1544" s="5" t="s">
        <v>19</v>
      </c>
      <c r="C1544" s="5" t="s">
        <v>37</v>
      </c>
      <c r="D1544" s="5">
        <v>453</v>
      </c>
      <c r="E1544" s="6">
        <v>41284144000102</v>
      </c>
      <c r="F1544" s="5">
        <v>453</v>
      </c>
      <c r="G1544" s="7">
        <v>177688469374571</v>
      </c>
      <c r="H1544" s="5" t="s">
        <v>570</v>
      </c>
      <c r="I1544" s="5">
        <v>3003</v>
      </c>
      <c r="J1544" s="5" t="s">
        <v>22</v>
      </c>
      <c r="K1544" s="5" t="s">
        <v>23</v>
      </c>
      <c r="L1544" s="5" t="s">
        <v>31</v>
      </c>
      <c r="M1544" s="5" t="s">
        <v>284</v>
      </c>
      <c r="N1544" s="5" t="s">
        <v>53</v>
      </c>
      <c r="O1544" s="5">
        <v>128</v>
      </c>
      <c r="P1544" s="5"/>
      <c r="Q1544" s="5"/>
      <c r="R1544" s="8">
        <v>8.1018518518518516E-5</v>
      </c>
      <c r="S1544" s="5" t="s">
        <v>37</v>
      </c>
      <c r="T1544" t="str">
        <f>IF(Tabela1[[#This Row],[STATUS_NEGOCIO]]="Enviar E-mail",1,"")</f>
        <v/>
      </c>
      <c r="U1544" t="str">
        <f>TEXT(Tabela1[[#This Row],[DATA]],"dd/mm/aaaa")</f>
        <v>22/04/2026</v>
      </c>
    </row>
    <row r="1545" spans="1:21" x14ac:dyDescent="0.25">
      <c r="A1545" s="4">
        <v>46134.670289351852</v>
      </c>
      <c r="B1545" s="5" t="s">
        <v>19</v>
      </c>
      <c r="C1545" s="5" t="s">
        <v>37</v>
      </c>
      <c r="D1545" s="5">
        <v>454</v>
      </c>
      <c r="E1545" s="6">
        <v>41433088000112</v>
      </c>
      <c r="F1545" s="5">
        <v>454</v>
      </c>
      <c r="G1545" s="7">
        <v>177688471374601</v>
      </c>
      <c r="H1545" s="5" t="s">
        <v>571</v>
      </c>
      <c r="I1545" s="5">
        <v>3003</v>
      </c>
      <c r="J1545" s="5" t="s">
        <v>22</v>
      </c>
      <c r="K1545" s="5" t="s">
        <v>23</v>
      </c>
      <c r="L1545" s="5" t="s">
        <v>31</v>
      </c>
      <c r="M1545" s="5" t="s">
        <v>284</v>
      </c>
      <c r="N1545" s="5" t="s">
        <v>53</v>
      </c>
      <c r="O1545" s="5">
        <v>128</v>
      </c>
      <c r="P1545" s="5"/>
      <c r="Q1545" s="5"/>
      <c r="R1545" s="8">
        <v>8.1018518518518516E-5</v>
      </c>
      <c r="S1545" s="5" t="s">
        <v>37</v>
      </c>
      <c r="T1545" t="str">
        <f>IF(Tabela1[[#This Row],[STATUS_NEGOCIO]]="Enviar E-mail",1,"")</f>
        <v/>
      </c>
      <c r="U1545" t="str">
        <f>TEXT(Tabela1[[#This Row],[DATA]],"dd/mm/aaaa")</f>
        <v>22/04/2026</v>
      </c>
    </row>
    <row r="1546" spans="1:21" x14ac:dyDescent="0.25">
      <c r="A1546" s="4">
        <v>46134.670324074075</v>
      </c>
      <c r="B1546" s="5" t="s">
        <v>19</v>
      </c>
      <c r="C1546" s="5" t="s">
        <v>37</v>
      </c>
      <c r="D1546" s="5">
        <v>455</v>
      </c>
      <c r="E1546" s="6">
        <v>41601367000148</v>
      </c>
      <c r="F1546" s="5">
        <v>455</v>
      </c>
      <c r="G1546" s="7">
        <v>177688471674621</v>
      </c>
      <c r="H1546" s="5" t="s">
        <v>572</v>
      </c>
      <c r="I1546" s="5">
        <v>3003</v>
      </c>
      <c r="J1546" s="5" t="s">
        <v>22</v>
      </c>
      <c r="K1546" s="5" t="s">
        <v>23</v>
      </c>
      <c r="L1546" s="5" t="s">
        <v>31</v>
      </c>
      <c r="M1546" s="5" t="s">
        <v>284</v>
      </c>
      <c r="N1546" s="5" t="s">
        <v>53</v>
      </c>
      <c r="O1546" s="5">
        <v>128</v>
      </c>
      <c r="P1546" s="5"/>
      <c r="Q1546" s="5"/>
      <c r="R1546" s="8">
        <v>8.1018518518518516E-5</v>
      </c>
      <c r="S1546" s="5" t="s">
        <v>37</v>
      </c>
      <c r="T1546" t="str">
        <f>IF(Tabela1[[#This Row],[STATUS_NEGOCIO]]="Enviar E-mail",1,"")</f>
        <v/>
      </c>
      <c r="U1546" t="str">
        <f>TEXT(Tabela1[[#This Row],[DATA]],"dd/mm/aaaa")</f>
        <v>22/04/2026</v>
      </c>
    </row>
    <row r="1547" spans="1:21" x14ac:dyDescent="0.25">
      <c r="A1547" s="4">
        <v>46134.67046296296</v>
      </c>
      <c r="B1547" s="5" t="s">
        <v>19</v>
      </c>
      <c r="C1547" s="5" t="s">
        <v>37</v>
      </c>
      <c r="D1547" s="5">
        <v>456</v>
      </c>
      <c r="E1547" s="6">
        <v>41907234000102</v>
      </c>
      <c r="F1547" s="5">
        <v>456</v>
      </c>
      <c r="G1547" s="7">
        <v>177688472874641</v>
      </c>
      <c r="H1547" s="5" t="s">
        <v>573</v>
      </c>
      <c r="I1547" s="5">
        <v>3003</v>
      </c>
      <c r="J1547" s="5" t="s">
        <v>22</v>
      </c>
      <c r="K1547" s="5" t="s">
        <v>23</v>
      </c>
      <c r="L1547" s="5" t="s">
        <v>31</v>
      </c>
      <c r="M1547" s="5" t="s">
        <v>284</v>
      </c>
      <c r="N1547" s="5" t="s">
        <v>26</v>
      </c>
      <c r="O1547" s="5">
        <v>131</v>
      </c>
      <c r="P1547" s="5"/>
      <c r="Q1547" s="5"/>
      <c r="R1547" s="8">
        <v>1.273148148148148E-4</v>
      </c>
      <c r="S1547" s="5" t="s">
        <v>37</v>
      </c>
      <c r="T1547" t="str">
        <f>IF(Tabela1[[#This Row],[STATUS_NEGOCIO]]="Enviar E-mail",1,"")</f>
        <v/>
      </c>
      <c r="U1547" t="str">
        <f>TEXT(Tabela1[[#This Row],[DATA]],"dd/mm/aaaa")</f>
        <v>22/04/2026</v>
      </c>
    </row>
    <row r="1548" spans="1:21" x14ac:dyDescent="0.25">
      <c r="A1548" s="4">
        <v>46134.670567129629</v>
      </c>
      <c r="B1548" s="5" t="s">
        <v>19</v>
      </c>
      <c r="C1548" s="5" t="s">
        <v>37</v>
      </c>
      <c r="D1548" s="5">
        <v>457</v>
      </c>
      <c r="E1548" s="6">
        <v>42081946000170</v>
      </c>
      <c r="F1548" s="5">
        <v>457</v>
      </c>
      <c r="G1548" s="7">
        <v>177688473774671</v>
      </c>
      <c r="H1548" s="5" t="s">
        <v>126</v>
      </c>
      <c r="I1548" s="5">
        <v>3003</v>
      </c>
      <c r="J1548" s="5" t="s">
        <v>22</v>
      </c>
      <c r="K1548" s="5" t="s">
        <v>23</v>
      </c>
      <c r="L1548" s="5" t="s">
        <v>31</v>
      </c>
      <c r="M1548" s="5" t="s">
        <v>284</v>
      </c>
      <c r="N1548" s="5" t="s">
        <v>53</v>
      </c>
      <c r="O1548" s="5">
        <v>128</v>
      </c>
      <c r="P1548" s="5"/>
      <c r="Q1548" s="5"/>
      <c r="R1548" s="8">
        <v>8.1018518518518516E-5</v>
      </c>
      <c r="S1548" s="5" t="s">
        <v>37</v>
      </c>
      <c r="T1548" t="str">
        <f>IF(Tabela1[[#This Row],[STATUS_NEGOCIO]]="Enviar E-mail",1,"")</f>
        <v/>
      </c>
      <c r="U1548" t="str">
        <f>TEXT(Tabela1[[#This Row],[DATA]],"dd/mm/aaaa")</f>
        <v>22/04/2026</v>
      </c>
    </row>
    <row r="1549" spans="1:21" x14ac:dyDescent="0.25">
      <c r="A1549" s="4">
        <v>46134.670648148145</v>
      </c>
      <c r="B1549" s="5" t="s">
        <v>19</v>
      </c>
      <c r="C1549" s="5" t="s">
        <v>37</v>
      </c>
      <c r="D1549" s="5">
        <v>458</v>
      </c>
      <c r="E1549" s="6">
        <v>42427558000106</v>
      </c>
      <c r="F1549" s="5">
        <v>458</v>
      </c>
      <c r="G1549" s="7">
        <v>177688474474751</v>
      </c>
      <c r="H1549" s="5" t="s">
        <v>574</v>
      </c>
      <c r="I1549" s="5">
        <v>3003</v>
      </c>
      <c r="J1549" s="5" t="s">
        <v>22</v>
      </c>
      <c r="K1549" s="5" t="s">
        <v>23</v>
      </c>
      <c r="L1549" s="5" t="s">
        <v>31</v>
      </c>
      <c r="M1549" s="5" t="s">
        <v>284</v>
      </c>
      <c r="N1549" s="5" t="s">
        <v>53</v>
      </c>
      <c r="O1549" s="5">
        <v>128</v>
      </c>
      <c r="P1549" s="5"/>
      <c r="Q1549" s="5"/>
      <c r="R1549" s="8">
        <v>8.1018518518518516E-5</v>
      </c>
      <c r="S1549" s="5" t="s">
        <v>37</v>
      </c>
      <c r="T1549" t="str">
        <f>IF(Tabela1[[#This Row],[STATUS_NEGOCIO]]="Enviar E-mail",1,"")</f>
        <v/>
      </c>
      <c r="U1549" t="str">
        <f>TEXT(Tabela1[[#This Row],[DATA]],"dd/mm/aaaa")</f>
        <v>22/04/2026</v>
      </c>
    </row>
    <row r="1550" spans="1:21" x14ac:dyDescent="0.25">
      <c r="A1550" s="4">
        <v>46134.670717592591</v>
      </c>
      <c r="B1550" s="5" t="s">
        <v>19</v>
      </c>
      <c r="C1550" s="5" t="s">
        <v>37</v>
      </c>
      <c r="D1550" s="5">
        <v>459</v>
      </c>
      <c r="E1550" s="6">
        <v>42430090000109</v>
      </c>
      <c r="F1550" s="5">
        <v>459</v>
      </c>
      <c r="G1550" s="7">
        <v>177688475074771</v>
      </c>
      <c r="H1550" s="5" t="s">
        <v>575</v>
      </c>
      <c r="I1550" s="5" t="s">
        <v>52</v>
      </c>
      <c r="J1550" s="5" t="s">
        <v>22</v>
      </c>
      <c r="K1550" s="5" t="s">
        <v>36</v>
      </c>
      <c r="L1550" s="5" t="s">
        <v>36</v>
      </c>
      <c r="M1550" s="5" t="s">
        <v>284</v>
      </c>
      <c r="N1550" s="5" t="s">
        <v>53</v>
      </c>
      <c r="O1550" s="5">
        <v>1</v>
      </c>
      <c r="P1550" s="5"/>
      <c r="Q1550" s="5"/>
      <c r="R1550" s="8">
        <v>0</v>
      </c>
      <c r="S1550" s="5" t="s">
        <v>37</v>
      </c>
      <c r="T1550" t="str">
        <f>IF(Tabela1[[#This Row],[STATUS_NEGOCIO]]="Enviar E-mail",1,"")</f>
        <v/>
      </c>
      <c r="U1550" t="str">
        <f>TEXT(Tabela1[[#This Row],[DATA]],"dd/mm/aaaa")</f>
        <v>22/04/2026</v>
      </c>
    </row>
    <row r="1551" spans="1:21" x14ac:dyDescent="0.25">
      <c r="A1551" s="4">
        <v>46134.670729166668</v>
      </c>
      <c r="B1551" s="5" t="s">
        <v>19</v>
      </c>
      <c r="C1551" s="5" t="s">
        <v>37</v>
      </c>
      <c r="D1551" s="5">
        <v>460</v>
      </c>
      <c r="E1551" s="6">
        <v>42497263000106</v>
      </c>
      <c r="F1551" s="5">
        <v>460</v>
      </c>
      <c r="G1551" s="7">
        <v>177688475174781</v>
      </c>
      <c r="H1551" s="5" t="s">
        <v>576</v>
      </c>
      <c r="I1551" s="5">
        <v>3003</v>
      </c>
      <c r="J1551" s="5" t="s">
        <v>22</v>
      </c>
      <c r="K1551" s="5" t="s">
        <v>23</v>
      </c>
      <c r="L1551" s="5" t="s">
        <v>31</v>
      </c>
      <c r="M1551" s="5" t="s">
        <v>284</v>
      </c>
      <c r="N1551" s="5" t="s">
        <v>53</v>
      </c>
      <c r="O1551" s="5">
        <v>128</v>
      </c>
      <c r="P1551" s="5"/>
      <c r="Q1551" s="5"/>
      <c r="R1551" s="8">
        <v>6.9444444444444444E-5</v>
      </c>
      <c r="S1551" s="5" t="s">
        <v>37</v>
      </c>
      <c r="T1551" t="str">
        <f>IF(Tabela1[[#This Row],[STATUS_NEGOCIO]]="Enviar E-mail",1,"")</f>
        <v/>
      </c>
      <c r="U1551" t="str">
        <f>TEXT(Tabela1[[#This Row],[DATA]],"dd/mm/aaaa")</f>
        <v>22/04/2026</v>
      </c>
    </row>
    <row r="1552" spans="1:21" x14ac:dyDescent="0.25">
      <c r="A1552" s="4">
        <v>46134.670752314814</v>
      </c>
      <c r="B1552" s="5" t="s">
        <v>19</v>
      </c>
      <c r="C1552" s="5" t="s">
        <v>37</v>
      </c>
      <c r="D1552" s="5">
        <v>461</v>
      </c>
      <c r="E1552" s="6">
        <v>42558791000110</v>
      </c>
      <c r="F1552" s="5">
        <v>461</v>
      </c>
      <c r="G1552" s="7">
        <v>177688475374801</v>
      </c>
      <c r="H1552" s="5" t="s">
        <v>149</v>
      </c>
      <c r="I1552" s="5" t="s">
        <v>52</v>
      </c>
      <c r="J1552" s="5" t="s">
        <v>22</v>
      </c>
      <c r="K1552" s="5" t="s">
        <v>36</v>
      </c>
      <c r="L1552" s="5" t="s">
        <v>36</v>
      </c>
      <c r="M1552" s="5" t="s">
        <v>284</v>
      </c>
      <c r="N1552" s="5" t="s">
        <v>53</v>
      </c>
      <c r="O1552" s="5">
        <v>34</v>
      </c>
      <c r="P1552" s="5"/>
      <c r="Q1552" s="5"/>
      <c r="R1552" s="8">
        <v>0</v>
      </c>
      <c r="S1552" s="5" t="s">
        <v>37</v>
      </c>
      <c r="T1552" t="str">
        <f>IF(Tabela1[[#This Row],[STATUS_NEGOCIO]]="Enviar E-mail",1,"")</f>
        <v/>
      </c>
      <c r="U1552" t="str">
        <f>TEXT(Tabela1[[#This Row],[DATA]],"dd/mm/aaaa")</f>
        <v>22/04/2026</v>
      </c>
    </row>
    <row r="1553" spans="1:21" x14ac:dyDescent="0.25">
      <c r="A1553" s="4">
        <v>46134.67082175926</v>
      </c>
      <c r="B1553" s="5" t="s">
        <v>19</v>
      </c>
      <c r="C1553" s="5" t="s">
        <v>37</v>
      </c>
      <c r="D1553" s="5">
        <v>462</v>
      </c>
      <c r="E1553" s="6">
        <v>42564351000175</v>
      </c>
      <c r="F1553" s="5">
        <v>462</v>
      </c>
      <c r="G1553" s="7">
        <v>177688475974821</v>
      </c>
      <c r="H1553" s="5" t="s">
        <v>195</v>
      </c>
      <c r="I1553" s="5" t="s">
        <v>52</v>
      </c>
      <c r="J1553" s="5" t="s">
        <v>22</v>
      </c>
      <c r="K1553" s="5" t="s">
        <v>36</v>
      </c>
      <c r="L1553" s="5" t="s">
        <v>36</v>
      </c>
      <c r="M1553" s="5" t="s">
        <v>284</v>
      </c>
      <c r="N1553" s="5" t="s">
        <v>53</v>
      </c>
      <c r="O1553" s="5">
        <v>19</v>
      </c>
      <c r="P1553" s="5"/>
      <c r="Q1553" s="5"/>
      <c r="R1553" s="8">
        <v>0</v>
      </c>
      <c r="S1553" s="5" t="s">
        <v>37</v>
      </c>
      <c r="T1553" t="str">
        <f>IF(Tabela1[[#This Row],[STATUS_NEGOCIO]]="Enviar E-mail",1,"")</f>
        <v/>
      </c>
      <c r="U1553" t="str">
        <f>TEXT(Tabela1[[#This Row],[DATA]],"dd/mm/aaaa")</f>
        <v>22/04/2026</v>
      </c>
    </row>
    <row r="1554" spans="1:21" x14ac:dyDescent="0.25">
      <c r="A1554" s="4">
        <v>46134.670891203707</v>
      </c>
      <c r="B1554" s="5" t="s">
        <v>19</v>
      </c>
      <c r="C1554" s="5" t="s">
        <v>37</v>
      </c>
      <c r="D1554" s="5">
        <v>463</v>
      </c>
      <c r="E1554" s="6">
        <v>42764642000107</v>
      </c>
      <c r="F1554" s="5">
        <v>463</v>
      </c>
      <c r="G1554" s="7">
        <v>177688476574841</v>
      </c>
      <c r="H1554" s="5" t="s">
        <v>577</v>
      </c>
      <c r="I1554" s="5">
        <v>3003</v>
      </c>
      <c r="J1554" s="5" t="s">
        <v>22</v>
      </c>
      <c r="K1554" s="5" t="s">
        <v>23</v>
      </c>
      <c r="L1554" s="5" t="s">
        <v>31</v>
      </c>
      <c r="M1554" s="5" t="s">
        <v>284</v>
      </c>
      <c r="N1554" s="5" t="s">
        <v>53</v>
      </c>
      <c r="O1554" s="5">
        <v>147</v>
      </c>
      <c r="P1554" s="5"/>
      <c r="Q1554" s="5"/>
      <c r="R1554" s="8">
        <v>8.1018518518518516E-5</v>
      </c>
      <c r="S1554" s="5" t="s">
        <v>37</v>
      </c>
      <c r="T1554" t="str">
        <f>IF(Tabela1[[#This Row],[STATUS_NEGOCIO]]="Enviar E-mail",1,"")</f>
        <v/>
      </c>
      <c r="U1554" t="str">
        <f>TEXT(Tabela1[[#This Row],[DATA]],"dd/mm/aaaa")</f>
        <v>22/04/2026</v>
      </c>
    </row>
    <row r="1555" spans="1:21" x14ac:dyDescent="0.25">
      <c r="A1555" s="4">
        <v>46134.670995370368</v>
      </c>
      <c r="B1555" s="5" t="s">
        <v>19</v>
      </c>
      <c r="C1555" s="5" t="s">
        <v>37</v>
      </c>
      <c r="D1555" s="5">
        <v>464</v>
      </c>
      <c r="E1555" s="6">
        <v>42834744000151</v>
      </c>
      <c r="F1555" s="5">
        <v>464</v>
      </c>
      <c r="G1555" s="7">
        <v>177688477474851</v>
      </c>
      <c r="H1555" s="5" t="s">
        <v>578</v>
      </c>
      <c r="I1555" s="5" t="s">
        <v>52</v>
      </c>
      <c r="J1555" s="5" t="s">
        <v>22</v>
      </c>
      <c r="K1555" s="5" t="s">
        <v>36</v>
      </c>
      <c r="L1555" s="5" t="s">
        <v>36</v>
      </c>
      <c r="M1555" s="5" t="s">
        <v>284</v>
      </c>
      <c r="N1555" s="5" t="s">
        <v>53</v>
      </c>
      <c r="O1555" s="5">
        <v>34</v>
      </c>
      <c r="P1555" s="5"/>
      <c r="Q1555" s="5"/>
      <c r="R1555" s="8">
        <v>0</v>
      </c>
      <c r="S1555" s="5" t="s">
        <v>37</v>
      </c>
      <c r="T1555" t="str">
        <f>IF(Tabela1[[#This Row],[STATUS_NEGOCIO]]="Enviar E-mail",1,"")</f>
        <v/>
      </c>
      <c r="U1555" t="str">
        <f>TEXT(Tabela1[[#This Row],[DATA]],"dd/mm/aaaa")</f>
        <v>22/04/2026</v>
      </c>
    </row>
    <row r="1556" spans="1:21" x14ac:dyDescent="0.25">
      <c r="A1556" s="4">
        <v>46134.670995370368</v>
      </c>
      <c r="B1556" s="5" t="s">
        <v>19</v>
      </c>
      <c r="C1556" s="5" t="s">
        <v>37</v>
      </c>
      <c r="D1556" s="5">
        <v>465</v>
      </c>
      <c r="E1556" s="6">
        <v>42895602000102</v>
      </c>
      <c r="F1556" s="5">
        <v>465</v>
      </c>
      <c r="G1556" s="7">
        <v>177688477474861</v>
      </c>
      <c r="H1556" s="5" t="s">
        <v>156</v>
      </c>
      <c r="I1556" s="5" t="s">
        <v>52</v>
      </c>
      <c r="J1556" s="5" t="s">
        <v>22</v>
      </c>
      <c r="K1556" s="5" t="s">
        <v>36</v>
      </c>
      <c r="L1556" s="5" t="s">
        <v>36</v>
      </c>
      <c r="M1556" s="5" t="s">
        <v>284</v>
      </c>
      <c r="N1556" s="5" t="s">
        <v>53</v>
      </c>
      <c r="O1556" s="5">
        <v>38</v>
      </c>
      <c r="P1556" s="5"/>
      <c r="Q1556" s="5"/>
      <c r="R1556" s="8">
        <v>0</v>
      </c>
      <c r="S1556" s="5" t="s">
        <v>37</v>
      </c>
      <c r="T1556" t="str">
        <f>IF(Tabela1[[#This Row],[STATUS_NEGOCIO]]="Enviar E-mail",1,"")</f>
        <v/>
      </c>
      <c r="U1556" t="str">
        <f>TEXT(Tabela1[[#This Row],[DATA]],"dd/mm/aaaa")</f>
        <v>22/04/2026</v>
      </c>
    </row>
    <row r="1557" spans="1:21" x14ac:dyDescent="0.25">
      <c r="A1557" s="4">
        <v>46134.670995370368</v>
      </c>
      <c r="B1557" s="5" t="s">
        <v>19</v>
      </c>
      <c r="C1557" s="5" t="s">
        <v>37</v>
      </c>
      <c r="D1557" s="5">
        <v>467</v>
      </c>
      <c r="E1557" s="6">
        <v>43189309000184</v>
      </c>
      <c r="F1557" s="5">
        <v>467</v>
      </c>
      <c r="G1557" s="7">
        <v>177688477474871</v>
      </c>
      <c r="H1557" s="5" t="s">
        <v>216</v>
      </c>
      <c r="I1557" s="5" t="s">
        <v>52</v>
      </c>
      <c r="J1557" s="5" t="s">
        <v>22</v>
      </c>
      <c r="K1557" s="5" t="s">
        <v>36</v>
      </c>
      <c r="L1557" s="5" t="s">
        <v>36</v>
      </c>
      <c r="M1557" s="5" t="s">
        <v>284</v>
      </c>
      <c r="N1557" s="5" t="s">
        <v>53</v>
      </c>
      <c r="O1557" s="5">
        <v>34</v>
      </c>
      <c r="P1557" s="5"/>
      <c r="Q1557" s="5"/>
      <c r="R1557" s="8">
        <v>0</v>
      </c>
      <c r="S1557" s="5" t="s">
        <v>37</v>
      </c>
      <c r="T1557" t="str">
        <f>IF(Tabela1[[#This Row],[STATUS_NEGOCIO]]="Enviar E-mail",1,"")</f>
        <v/>
      </c>
      <c r="U1557" t="str">
        <f>TEXT(Tabela1[[#This Row],[DATA]],"dd/mm/aaaa")</f>
        <v>22/04/2026</v>
      </c>
    </row>
    <row r="1558" spans="1:21" x14ac:dyDescent="0.25">
      <c r="A1558" s="4">
        <v>46134.670995370368</v>
      </c>
      <c r="B1558" s="5" t="s">
        <v>19</v>
      </c>
      <c r="C1558" s="5" t="s">
        <v>37</v>
      </c>
      <c r="D1558" s="5">
        <v>468</v>
      </c>
      <c r="E1558" s="6">
        <v>43291803000155</v>
      </c>
      <c r="F1558" s="5">
        <v>468</v>
      </c>
      <c r="G1558" s="7">
        <v>177688477474881</v>
      </c>
      <c r="H1558" s="5" t="s">
        <v>581</v>
      </c>
      <c r="I1558" s="5">
        <v>3003</v>
      </c>
      <c r="J1558" s="5" t="s">
        <v>22</v>
      </c>
      <c r="K1558" s="5" t="s">
        <v>23</v>
      </c>
      <c r="L1558" s="5" t="s">
        <v>31</v>
      </c>
      <c r="M1558" s="5" t="s">
        <v>284</v>
      </c>
      <c r="N1558" s="5" t="s">
        <v>53</v>
      </c>
      <c r="O1558" s="5">
        <v>128</v>
      </c>
      <c r="P1558" s="5"/>
      <c r="Q1558" s="5"/>
      <c r="R1558" s="8">
        <v>8.1018518518518516E-5</v>
      </c>
      <c r="S1558" s="5" t="s">
        <v>37</v>
      </c>
      <c r="T1558" t="str">
        <f>IF(Tabela1[[#This Row],[STATUS_NEGOCIO]]="Enviar E-mail",1,"")</f>
        <v/>
      </c>
      <c r="U1558" t="str">
        <f>TEXT(Tabela1[[#This Row],[DATA]],"dd/mm/aaaa")</f>
        <v>22/04/2026</v>
      </c>
    </row>
    <row r="1559" spans="1:21" x14ac:dyDescent="0.25">
      <c r="A1559" s="4">
        <v>46134.671006944445</v>
      </c>
      <c r="B1559" s="5" t="s">
        <v>19</v>
      </c>
      <c r="C1559" s="5" t="s">
        <v>37</v>
      </c>
      <c r="D1559" s="5">
        <v>469</v>
      </c>
      <c r="E1559" s="6">
        <v>43600132000167</v>
      </c>
      <c r="F1559" s="5">
        <v>469</v>
      </c>
      <c r="G1559" s="7">
        <v>177688477574891</v>
      </c>
      <c r="H1559" s="5" t="s">
        <v>582</v>
      </c>
      <c r="I1559" s="5">
        <v>3003</v>
      </c>
      <c r="J1559" s="5" t="s">
        <v>22</v>
      </c>
      <c r="K1559" s="5" t="s">
        <v>23</v>
      </c>
      <c r="L1559" s="5" t="s">
        <v>31</v>
      </c>
      <c r="M1559" s="5" t="s">
        <v>284</v>
      </c>
      <c r="N1559" s="5" t="s">
        <v>53</v>
      </c>
      <c r="O1559" s="5">
        <v>128</v>
      </c>
      <c r="P1559" s="5"/>
      <c r="Q1559" s="5"/>
      <c r="R1559" s="8">
        <v>8.1018518518518516E-5</v>
      </c>
      <c r="S1559" s="5" t="s">
        <v>37</v>
      </c>
      <c r="T1559" t="str">
        <f>IF(Tabela1[[#This Row],[STATUS_NEGOCIO]]="Enviar E-mail",1,"")</f>
        <v/>
      </c>
      <c r="U1559" t="str">
        <f>TEXT(Tabela1[[#This Row],[DATA]],"dd/mm/aaaa")</f>
        <v>22/04/2026</v>
      </c>
    </row>
    <row r="1560" spans="1:21" x14ac:dyDescent="0.25">
      <c r="A1560" s="4">
        <v>46134.671006944445</v>
      </c>
      <c r="B1560" s="5" t="s">
        <v>19</v>
      </c>
      <c r="C1560" s="5" t="s">
        <v>37</v>
      </c>
      <c r="D1560" s="5">
        <v>470</v>
      </c>
      <c r="E1560" s="6">
        <v>43608407000109</v>
      </c>
      <c r="F1560" s="5">
        <v>470</v>
      </c>
      <c r="G1560" s="7">
        <v>177688477574901</v>
      </c>
      <c r="H1560" s="5" t="s">
        <v>583</v>
      </c>
      <c r="I1560" s="5">
        <v>3003</v>
      </c>
      <c r="J1560" s="5" t="s">
        <v>22</v>
      </c>
      <c r="K1560" s="5" t="s">
        <v>23</v>
      </c>
      <c r="L1560" s="5" t="s">
        <v>31</v>
      </c>
      <c r="M1560" s="5" t="s">
        <v>284</v>
      </c>
      <c r="N1560" s="5" t="s">
        <v>53</v>
      </c>
      <c r="O1560" s="5">
        <v>128</v>
      </c>
      <c r="P1560" s="5"/>
      <c r="Q1560" s="5"/>
      <c r="R1560" s="8">
        <v>8.1018518518518516E-5</v>
      </c>
      <c r="S1560" s="5" t="s">
        <v>37</v>
      </c>
      <c r="T1560" t="str">
        <f>IF(Tabela1[[#This Row],[STATUS_NEGOCIO]]="Enviar E-mail",1,"")</f>
        <v/>
      </c>
      <c r="U1560" t="str">
        <f>TEXT(Tabela1[[#This Row],[DATA]],"dd/mm/aaaa")</f>
        <v>22/04/2026</v>
      </c>
    </row>
    <row r="1561" spans="1:21" x14ac:dyDescent="0.25">
      <c r="A1561" s="4">
        <v>46134.671064814815</v>
      </c>
      <c r="B1561" s="5" t="s">
        <v>19</v>
      </c>
      <c r="C1561" s="5" t="s">
        <v>37</v>
      </c>
      <c r="D1561" s="5">
        <v>471</v>
      </c>
      <c r="E1561" s="6">
        <v>43647834000104</v>
      </c>
      <c r="F1561" s="5">
        <v>471</v>
      </c>
      <c r="G1561" s="7">
        <v>177688478074911</v>
      </c>
      <c r="H1561" s="5" t="s">
        <v>584</v>
      </c>
      <c r="I1561" s="5">
        <v>3003</v>
      </c>
      <c r="J1561" s="5" t="s">
        <v>22</v>
      </c>
      <c r="K1561" s="5" t="s">
        <v>23</v>
      </c>
      <c r="L1561" s="5" t="s">
        <v>31</v>
      </c>
      <c r="M1561" s="5" t="s">
        <v>284</v>
      </c>
      <c r="N1561" s="5" t="s">
        <v>53</v>
      </c>
      <c r="O1561" s="5">
        <v>128</v>
      </c>
      <c r="P1561" s="5"/>
      <c r="Q1561" s="5"/>
      <c r="R1561" s="8">
        <v>8.1018518518518516E-5</v>
      </c>
      <c r="S1561" s="5" t="s">
        <v>37</v>
      </c>
      <c r="T1561" t="str">
        <f>IF(Tabela1[[#This Row],[STATUS_NEGOCIO]]="Enviar E-mail",1,"")</f>
        <v/>
      </c>
      <c r="U1561" t="str">
        <f>TEXT(Tabela1[[#This Row],[DATA]],"dd/mm/aaaa")</f>
        <v>22/04/2026</v>
      </c>
    </row>
    <row r="1562" spans="1:21" x14ac:dyDescent="0.25">
      <c r="A1562" s="4">
        <v>46134.671134259261</v>
      </c>
      <c r="B1562" s="5" t="s">
        <v>19</v>
      </c>
      <c r="C1562" s="5" t="s">
        <v>37</v>
      </c>
      <c r="D1562" s="5">
        <v>472</v>
      </c>
      <c r="E1562" s="6">
        <v>43753738000132</v>
      </c>
      <c r="F1562" s="5">
        <v>472</v>
      </c>
      <c r="G1562" s="7">
        <v>177688478674931</v>
      </c>
      <c r="H1562" s="5" t="s">
        <v>585</v>
      </c>
      <c r="I1562" s="5">
        <v>3003</v>
      </c>
      <c r="J1562" s="5" t="s">
        <v>22</v>
      </c>
      <c r="K1562" s="5" t="s">
        <v>23</v>
      </c>
      <c r="L1562" s="5" t="s">
        <v>31</v>
      </c>
      <c r="M1562" s="5" t="s">
        <v>284</v>
      </c>
      <c r="N1562" s="5" t="s">
        <v>53</v>
      </c>
      <c r="O1562" s="5">
        <v>128</v>
      </c>
      <c r="P1562" s="5"/>
      <c r="Q1562" s="5"/>
      <c r="R1562" s="8">
        <v>8.1018518518518516E-5</v>
      </c>
      <c r="S1562" s="5" t="s">
        <v>37</v>
      </c>
      <c r="T1562" t="str">
        <f>IF(Tabela1[[#This Row],[STATUS_NEGOCIO]]="Enviar E-mail",1,"")</f>
        <v/>
      </c>
      <c r="U1562" t="str">
        <f>TEXT(Tabela1[[#This Row],[DATA]],"dd/mm/aaaa")</f>
        <v>22/04/2026</v>
      </c>
    </row>
    <row r="1563" spans="1:21" x14ac:dyDescent="0.25">
      <c r="A1563" s="4">
        <v>46134.671157407407</v>
      </c>
      <c r="B1563" s="5" t="s">
        <v>19</v>
      </c>
      <c r="C1563" s="5" t="s">
        <v>37</v>
      </c>
      <c r="D1563" s="5">
        <v>473</v>
      </c>
      <c r="E1563" s="6">
        <v>43907332000167</v>
      </c>
      <c r="F1563" s="5">
        <v>473</v>
      </c>
      <c r="G1563" s="7">
        <v>177688478874951</v>
      </c>
      <c r="H1563" s="5" t="s">
        <v>122</v>
      </c>
      <c r="I1563" s="5">
        <v>3003</v>
      </c>
      <c r="J1563" s="5" t="s">
        <v>22</v>
      </c>
      <c r="K1563" s="5" t="s">
        <v>23</v>
      </c>
      <c r="L1563" s="5" t="s">
        <v>31</v>
      </c>
      <c r="M1563" s="5" t="s">
        <v>284</v>
      </c>
      <c r="N1563" s="5" t="s">
        <v>53</v>
      </c>
      <c r="O1563" s="5">
        <v>128</v>
      </c>
      <c r="P1563" s="5"/>
      <c r="Q1563" s="5"/>
      <c r="R1563" s="8">
        <v>8.1018518518518516E-5</v>
      </c>
      <c r="S1563" s="5" t="s">
        <v>37</v>
      </c>
      <c r="T1563" t="str">
        <f>IF(Tabela1[[#This Row],[STATUS_NEGOCIO]]="Enviar E-mail",1,"")</f>
        <v/>
      </c>
      <c r="U1563" t="str">
        <f>TEXT(Tabela1[[#This Row],[DATA]],"dd/mm/aaaa")</f>
        <v>22/04/2026</v>
      </c>
    </row>
    <row r="1564" spans="1:21" x14ac:dyDescent="0.25">
      <c r="A1564" s="4">
        <v>46134.671157407407</v>
      </c>
      <c r="B1564" s="5" t="s">
        <v>19</v>
      </c>
      <c r="C1564" s="5" t="s">
        <v>37</v>
      </c>
      <c r="D1564" s="5">
        <v>474</v>
      </c>
      <c r="E1564" s="6">
        <v>44141387000171</v>
      </c>
      <c r="F1564" s="5">
        <v>474</v>
      </c>
      <c r="G1564" s="7">
        <v>177688478874971</v>
      </c>
      <c r="H1564" s="5" t="s">
        <v>586</v>
      </c>
      <c r="I1564" s="5" t="s">
        <v>52</v>
      </c>
      <c r="J1564" s="5" t="s">
        <v>22</v>
      </c>
      <c r="K1564" s="5" t="s">
        <v>36</v>
      </c>
      <c r="L1564" s="5" t="s">
        <v>36</v>
      </c>
      <c r="M1564" s="5" t="s">
        <v>284</v>
      </c>
      <c r="N1564" s="5" t="s">
        <v>53</v>
      </c>
      <c r="O1564" s="5">
        <v>19</v>
      </c>
      <c r="P1564" s="5"/>
      <c r="Q1564" s="5"/>
      <c r="R1564" s="8">
        <v>0</v>
      </c>
      <c r="S1564" s="5" t="s">
        <v>37</v>
      </c>
      <c r="T1564" t="str">
        <f>IF(Tabela1[[#This Row],[STATUS_NEGOCIO]]="Enviar E-mail",1,"")</f>
        <v/>
      </c>
      <c r="U1564" t="str">
        <f>TEXT(Tabela1[[#This Row],[DATA]],"dd/mm/aaaa")</f>
        <v>22/04/2026</v>
      </c>
    </row>
    <row r="1565" spans="1:21" x14ac:dyDescent="0.25">
      <c r="A1565" s="4">
        <v>46134.67119212963</v>
      </c>
      <c r="B1565" s="5" t="s">
        <v>19</v>
      </c>
      <c r="C1565" s="5" t="s">
        <v>37</v>
      </c>
      <c r="D1565" s="5">
        <v>475</v>
      </c>
      <c r="E1565" s="6">
        <v>44172855000175</v>
      </c>
      <c r="F1565" s="5">
        <v>475</v>
      </c>
      <c r="G1565" s="7">
        <v>177688479174991</v>
      </c>
      <c r="H1565" s="5" t="s">
        <v>587</v>
      </c>
      <c r="I1565" s="5">
        <v>3003</v>
      </c>
      <c r="J1565" s="5" t="s">
        <v>22</v>
      </c>
      <c r="K1565" s="5" t="s">
        <v>23</v>
      </c>
      <c r="L1565" s="5" t="s">
        <v>31</v>
      </c>
      <c r="M1565" s="5" t="s">
        <v>284</v>
      </c>
      <c r="N1565" s="5" t="s">
        <v>53</v>
      </c>
      <c r="O1565" s="5">
        <v>128</v>
      </c>
      <c r="P1565" s="5"/>
      <c r="Q1565" s="5"/>
      <c r="R1565" s="8">
        <v>8.1018518518518516E-5</v>
      </c>
      <c r="S1565" s="5" t="s">
        <v>37</v>
      </c>
      <c r="T1565" t="str">
        <f>IF(Tabela1[[#This Row],[STATUS_NEGOCIO]]="Enviar E-mail",1,"")</f>
        <v/>
      </c>
      <c r="U1565" t="str">
        <f>TEXT(Tabela1[[#This Row],[DATA]],"dd/mm/aaaa")</f>
        <v>22/04/2026</v>
      </c>
    </row>
    <row r="1566" spans="1:21" x14ac:dyDescent="0.25">
      <c r="A1566" s="4">
        <v>46134.671226851853</v>
      </c>
      <c r="B1566" s="5" t="s">
        <v>19</v>
      </c>
      <c r="C1566" s="5" t="s">
        <v>20</v>
      </c>
      <c r="D1566" s="5">
        <v>476</v>
      </c>
      <c r="E1566" s="6">
        <v>45020481000135</v>
      </c>
      <c r="F1566" s="5">
        <v>476</v>
      </c>
      <c r="G1566" s="7">
        <v>177688479475051</v>
      </c>
      <c r="H1566" s="5" t="s">
        <v>588</v>
      </c>
      <c r="I1566" s="5">
        <v>3003</v>
      </c>
      <c r="J1566" s="5" t="s">
        <v>22</v>
      </c>
      <c r="K1566" s="5" t="s">
        <v>23</v>
      </c>
      <c r="L1566" s="5" t="s">
        <v>44</v>
      </c>
      <c r="M1566" s="5" t="s">
        <v>284</v>
      </c>
      <c r="N1566" s="5" t="s">
        <v>26</v>
      </c>
      <c r="O1566" s="5">
        <v>16</v>
      </c>
      <c r="P1566" s="5"/>
      <c r="Q1566" s="5"/>
      <c r="R1566" s="8">
        <v>3.4722222222222224E-4</v>
      </c>
      <c r="S1566" s="8">
        <v>2.8935185185185184E-4</v>
      </c>
      <c r="T1566" t="str">
        <f>IF(Tabela1[[#This Row],[STATUS_NEGOCIO]]="Enviar E-mail",1,"")</f>
        <v/>
      </c>
      <c r="U1566" t="str">
        <f>TEXT(Tabela1[[#This Row],[DATA]],"dd/mm/aaaa")</f>
        <v>22/04/2026</v>
      </c>
    </row>
    <row r="1567" spans="1:21" x14ac:dyDescent="0.25">
      <c r="A1567" s="4">
        <v>46134.671273148146</v>
      </c>
      <c r="B1567" s="5" t="s">
        <v>19</v>
      </c>
      <c r="C1567" s="5" t="s">
        <v>37</v>
      </c>
      <c r="D1567" s="5">
        <v>477</v>
      </c>
      <c r="E1567" s="6">
        <v>45271123000103</v>
      </c>
      <c r="F1567" s="5">
        <v>477</v>
      </c>
      <c r="G1567" s="7">
        <v>177688479875061</v>
      </c>
      <c r="H1567" s="5" t="s">
        <v>589</v>
      </c>
      <c r="I1567" s="5">
        <v>3003</v>
      </c>
      <c r="J1567" s="5" t="s">
        <v>22</v>
      </c>
      <c r="K1567" s="5" t="s">
        <v>23</v>
      </c>
      <c r="L1567" s="5" t="s">
        <v>31</v>
      </c>
      <c r="M1567" s="5" t="s">
        <v>284</v>
      </c>
      <c r="N1567" s="5" t="s">
        <v>53</v>
      </c>
      <c r="O1567" s="5">
        <v>128</v>
      </c>
      <c r="P1567" s="5"/>
      <c r="Q1567" s="5"/>
      <c r="R1567" s="8">
        <v>8.1018518518518516E-5</v>
      </c>
      <c r="S1567" s="5" t="s">
        <v>37</v>
      </c>
      <c r="T1567" t="str">
        <f>IF(Tabela1[[#This Row],[STATUS_NEGOCIO]]="Enviar E-mail",1,"")</f>
        <v/>
      </c>
      <c r="U1567" t="str">
        <f>TEXT(Tabela1[[#This Row],[DATA]],"dd/mm/aaaa")</f>
        <v>22/04/2026</v>
      </c>
    </row>
    <row r="1568" spans="1:21" x14ac:dyDescent="0.25">
      <c r="A1568" s="4">
        <v>46134.671342592592</v>
      </c>
      <c r="B1568" s="5" t="s">
        <v>19</v>
      </c>
      <c r="C1568" s="5" t="s">
        <v>37</v>
      </c>
      <c r="D1568" s="5">
        <v>478</v>
      </c>
      <c r="E1568" s="6">
        <v>45504294000127</v>
      </c>
      <c r="F1568" s="5">
        <v>478</v>
      </c>
      <c r="G1568" s="7">
        <v>177688480475091</v>
      </c>
      <c r="H1568" s="5" t="s">
        <v>590</v>
      </c>
      <c r="I1568" s="5">
        <v>3003</v>
      </c>
      <c r="J1568" s="5" t="s">
        <v>22</v>
      </c>
      <c r="K1568" s="5" t="s">
        <v>23</v>
      </c>
      <c r="L1568" s="5" t="s">
        <v>31</v>
      </c>
      <c r="M1568" s="5" t="s">
        <v>284</v>
      </c>
      <c r="N1568" s="5" t="s">
        <v>53</v>
      </c>
      <c r="O1568" s="5">
        <v>128</v>
      </c>
      <c r="P1568" s="5"/>
      <c r="Q1568" s="5"/>
      <c r="R1568" s="8">
        <v>6.9444444444444444E-5</v>
      </c>
      <c r="S1568" s="5" t="s">
        <v>37</v>
      </c>
      <c r="T1568" t="str">
        <f>IF(Tabela1[[#This Row],[STATUS_NEGOCIO]]="Enviar E-mail",1,"")</f>
        <v/>
      </c>
      <c r="U1568" t="str">
        <f>TEXT(Tabela1[[#This Row],[DATA]],"dd/mm/aaaa")</f>
        <v>22/04/2026</v>
      </c>
    </row>
    <row r="1569" spans="1:21" x14ac:dyDescent="0.25">
      <c r="A1569" s="4">
        <v>46134.671412037038</v>
      </c>
      <c r="B1569" s="5" t="s">
        <v>19</v>
      </c>
      <c r="C1569" s="5" t="s">
        <v>37</v>
      </c>
      <c r="D1569" s="5">
        <v>479</v>
      </c>
      <c r="E1569" s="6">
        <v>45618003000121</v>
      </c>
      <c r="F1569" s="5">
        <v>479</v>
      </c>
      <c r="G1569" s="7">
        <v>177688481075111</v>
      </c>
      <c r="H1569" s="5" t="s">
        <v>147</v>
      </c>
      <c r="I1569" s="5">
        <v>3003</v>
      </c>
      <c r="J1569" s="5" t="s">
        <v>22</v>
      </c>
      <c r="K1569" s="5" t="s">
        <v>23</v>
      </c>
      <c r="L1569" s="5" t="s">
        <v>31</v>
      </c>
      <c r="M1569" s="5" t="s">
        <v>284</v>
      </c>
      <c r="N1569" s="5" t="s">
        <v>53</v>
      </c>
      <c r="O1569" s="5">
        <v>128</v>
      </c>
      <c r="P1569" s="5"/>
      <c r="Q1569" s="5"/>
      <c r="R1569" s="8">
        <v>8.1018518518518516E-5</v>
      </c>
      <c r="S1569" s="5" t="s">
        <v>37</v>
      </c>
      <c r="T1569" t="str">
        <f>IF(Tabela1[[#This Row],[STATUS_NEGOCIO]]="Enviar E-mail",1,"")</f>
        <v/>
      </c>
      <c r="U1569" t="str">
        <f>TEXT(Tabela1[[#This Row],[DATA]],"dd/mm/aaaa")</f>
        <v>22/04/2026</v>
      </c>
    </row>
    <row r="1570" spans="1:21" x14ac:dyDescent="0.25">
      <c r="A1570" s="4">
        <v>46134.671446759261</v>
      </c>
      <c r="B1570" s="5" t="s">
        <v>19</v>
      </c>
      <c r="C1570" s="5" t="s">
        <v>37</v>
      </c>
      <c r="D1570" s="5">
        <v>480</v>
      </c>
      <c r="E1570" s="6">
        <v>45642764000119</v>
      </c>
      <c r="F1570" s="5">
        <v>480</v>
      </c>
      <c r="G1570" s="7">
        <v>177688481375141</v>
      </c>
      <c r="H1570" s="5" t="s">
        <v>591</v>
      </c>
      <c r="I1570" s="5">
        <v>3003</v>
      </c>
      <c r="J1570" s="5" t="s">
        <v>22</v>
      </c>
      <c r="K1570" s="5" t="s">
        <v>23</v>
      </c>
      <c r="L1570" s="5" t="s">
        <v>31</v>
      </c>
      <c r="M1570" s="5" t="s">
        <v>284</v>
      </c>
      <c r="N1570" s="5" t="s">
        <v>53</v>
      </c>
      <c r="O1570" s="5">
        <v>128</v>
      </c>
      <c r="P1570" s="5"/>
      <c r="Q1570" s="5"/>
      <c r="R1570" s="8">
        <v>8.1018518518518516E-5</v>
      </c>
      <c r="S1570" s="5" t="s">
        <v>37</v>
      </c>
      <c r="T1570" t="str">
        <f>IF(Tabela1[[#This Row],[STATUS_NEGOCIO]]="Enviar E-mail",1,"")</f>
        <v/>
      </c>
      <c r="U1570" t="str">
        <f>TEXT(Tabela1[[#This Row],[DATA]],"dd/mm/aaaa")</f>
        <v>22/04/2026</v>
      </c>
    </row>
    <row r="1571" spans="1:21" x14ac:dyDescent="0.25">
      <c r="A1571" s="4">
        <v>46134.671446759261</v>
      </c>
      <c r="B1571" s="5" t="s">
        <v>19</v>
      </c>
      <c r="C1571" s="5" t="s">
        <v>37</v>
      </c>
      <c r="D1571" s="5">
        <v>481</v>
      </c>
      <c r="E1571" s="6">
        <v>45654432000154</v>
      </c>
      <c r="F1571" s="5">
        <v>481</v>
      </c>
      <c r="G1571" s="7">
        <v>177688481375151</v>
      </c>
      <c r="H1571" s="5" t="s">
        <v>592</v>
      </c>
      <c r="I1571" s="5">
        <v>3003</v>
      </c>
      <c r="J1571" s="5" t="s">
        <v>22</v>
      </c>
      <c r="K1571" s="5" t="s">
        <v>23</v>
      </c>
      <c r="L1571" s="5" t="s">
        <v>31</v>
      </c>
      <c r="M1571" s="5" t="s">
        <v>284</v>
      </c>
      <c r="N1571" s="5" t="s">
        <v>53</v>
      </c>
      <c r="O1571" s="5">
        <v>128</v>
      </c>
      <c r="P1571" s="5"/>
      <c r="Q1571" s="5"/>
      <c r="R1571" s="8">
        <v>8.1018518518518516E-5</v>
      </c>
      <c r="S1571" s="5" t="s">
        <v>37</v>
      </c>
      <c r="T1571" t="str">
        <f>IF(Tabela1[[#This Row],[STATUS_NEGOCIO]]="Enviar E-mail",1,"")</f>
        <v/>
      </c>
      <c r="U1571" t="str">
        <f>TEXT(Tabela1[[#This Row],[DATA]],"dd/mm/aaaa")</f>
        <v>22/04/2026</v>
      </c>
    </row>
    <row r="1572" spans="1:21" x14ac:dyDescent="0.25">
      <c r="A1572" s="4">
        <v>46134.67150462963</v>
      </c>
      <c r="B1572" s="5" t="s">
        <v>19</v>
      </c>
      <c r="C1572" s="5" t="s">
        <v>37</v>
      </c>
      <c r="D1572" s="5">
        <v>482</v>
      </c>
      <c r="E1572" s="6">
        <v>46265059000102</v>
      </c>
      <c r="F1572" s="5">
        <v>482</v>
      </c>
      <c r="G1572" s="7">
        <v>177688481875161</v>
      </c>
      <c r="H1572" s="5" t="s">
        <v>593</v>
      </c>
      <c r="I1572" s="5" t="s">
        <v>52</v>
      </c>
      <c r="J1572" s="5" t="s">
        <v>22</v>
      </c>
      <c r="K1572" s="5" t="s">
        <v>36</v>
      </c>
      <c r="L1572" s="5" t="s">
        <v>36</v>
      </c>
      <c r="M1572" s="5" t="s">
        <v>284</v>
      </c>
      <c r="N1572" s="5" t="s">
        <v>53</v>
      </c>
      <c r="O1572" s="5">
        <v>1</v>
      </c>
      <c r="P1572" s="5"/>
      <c r="Q1572" s="5"/>
      <c r="R1572" s="8">
        <v>0</v>
      </c>
      <c r="S1572" s="5" t="s">
        <v>37</v>
      </c>
      <c r="T1572" t="str">
        <f>IF(Tabela1[[#This Row],[STATUS_NEGOCIO]]="Enviar E-mail",1,"")</f>
        <v/>
      </c>
      <c r="U1572" t="str">
        <f>TEXT(Tabela1[[#This Row],[DATA]],"dd/mm/aaaa")</f>
        <v>22/04/2026</v>
      </c>
    </row>
    <row r="1573" spans="1:21" x14ac:dyDescent="0.25">
      <c r="A1573" s="4">
        <v>46134.671516203707</v>
      </c>
      <c r="B1573" s="5" t="s">
        <v>19</v>
      </c>
      <c r="C1573" s="5" t="s">
        <v>37</v>
      </c>
      <c r="D1573" s="5">
        <v>483</v>
      </c>
      <c r="E1573" s="6">
        <v>46660690000106</v>
      </c>
      <c r="F1573" s="5">
        <v>483</v>
      </c>
      <c r="G1573" s="7">
        <v>177688481975171</v>
      </c>
      <c r="H1573" s="5" t="s">
        <v>594</v>
      </c>
      <c r="I1573" s="5">
        <v>3003</v>
      </c>
      <c r="J1573" s="5" t="s">
        <v>22</v>
      </c>
      <c r="K1573" s="5" t="s">
        <v>23</v>
      </c>
      <c r="L1573" s="5" t="s">
        <v>31</v>
      </c>
      <c r="M1573" s="5" t="s">
        <v>284</v>
      </c>
      <c r="N1573" s="5" t="s">
        <v>53</v>
      </c>
      <c r="O1573" s="5">
        <v>128</v>
      </c>
      <c r="P1573" s="5"/>
      <c r="Q1573" s="5"/>
      <c r="R1573" s="8">
        <v>8.1018518518518516E-5</v>
      </c>
      <c r="S1573" s="5" t="s">
        <v>37</v>
      </c>
      <c r="T1573" t="str">
        <f>IF(Tabela1[[#This Row],[STATUS_NEGOCIO]]="Enviar E-mail",1,"")</f>
        <v/>
      </c>
      <c r="U1573" t="str">
        <f>TEXT(Tabela1[[#This Row],[DATA]],"dd/mm/aaaa")</f>
        <v>22/04/2026</v>
      </c>
    </row>
    <row r="1574" spans="1:21" x14ac:dyDescent="0.25">
      <c r="A1574" s="4">
        <v>46134.671585648146</v>
      </c>
      <c r="B1574" s="5" t="s">
        <v>19</v>
      </c>
      <c r="C1574" s="5" t="s">
        <v>37</v>
      </c>
      <c r="D1574" s="5">
        <v>484</v>
      </c>
      <c r="E1574" s="6">
        <v>46884983000177</v>
      </c>
      <c r="F1574" s="5">
        <v>484</v>
      </c>
      <c r="G1574" s="7">
        <v>177688482575191</v>
      </c>
      <c r="H1574" s="5" t="s">
        <v>595</v>
      </c>
      <c r="I1574" s="5">
        <v>3003</v>
      </c>
      <c r="J1574" s="5" t="s">
        <v>22</v>
      </c>
      <c r="K1574" s="5" t="s">
        <v>23</v>
      </c>
      <c r="L1574" s="5" t="s">
        <v>31</v>
      </c>
      <c r="M1574" s="5" t="s">
        <v>284</v>
      </c>
      <c r="N1574" s="5" t="s">
        <v>53</v>
      </c>
      <c r="O1574" s="5">
        <v>128</v>
      </c>
      <c r="P1574" s="5"/>
      <c r="Q1574" s="5"/>
      <c r="R1574" s="8">
        <v>6.9444444444444444E-5</v>
      </c>
      <c r="S1574" s="5" t="s">
        <v>37</v>
      </c>
      <c r="T1574" t="str">
        <f>IF(Tabela1[[#This Row],[STATUS_NEGOCIO]]="Enviar E-mail",1,"")</f>
        <v/>
      </c>
      <c r="U1574" t="str">
        <f>TEXT(Tabela1[[#This Row],[DATA]],"dd/mm/aaaa")</f>
        <v>22/04/2026</v>
      </c>
    </row>
    <row r="1575" spans="1:21" x14ac:dyDescent="0.25">
      <c r="A1575" s="4">
        <v>46134.6716087963</v>
      </c>
      <c r="B1575" s="5" t="s">
        <v>19</v>
      </c>
      <c r="C1575" s="5" t="s">
        <v>37</v>
      </c>
      <c r="D1575" s="5">
        <v>485</v>
      </c>
      <c r="E1575" s="6">
        <v>46905043000117</v>
      </c>
      <c r="F1575" s="5">
        <v>485</v>
      </c>
      <c r="G1575" s="7">
        <v>177688482775211</v>
      </c>
      <c r="H1575" s="5" t="s">
        <v>596</v>
      </c>
      <c r="I1575" s="5" t="s">
        <v>52</v>
      </c>
      <c r="J1575" s="5" t="s">
        <v>22</v>
      </c>
      <c r="K1575" s="5" t="s">
        <v>36</v>
      </c>
      <c r="L1575" s="5" t="s">
        <v>36</v>
      </c>
      <c r="M1575" s="5" t="s">
        <v>284</v>
      </c>
      <c r="N1575" s="5" t="s">
        <v>53</v>
      </c>
      <c r="O1575" s="5">
        <v>19</v>
      </c>
      <c r="P1575" s="5"/>
      <c r="Q1575" s="5"/>
      <c r="R1575" s="8">
        <v>0</v>
      </c>
      <c r="S1575" s="5" t="s">
        <v>37</v>
      </c>
      <c r="T1575" t="str">
        <f>IF(Tabela1[[#This Row],[STATUS_NEGOCIO]]="Enviar E-mail",1,"")</f>
        <v/>
      </c>
      <c r="U1575" t="str">
        <f>TEXT(Tabela1[[#This Row],[DATA]],"dd/mm/aaaa")</f>
        <v>22/04/2026</v>
      </c>
    </row>
    <row r="1576" spans="1:21" x14ac:dyDescent="0.25">
      <c r="A1576" s="4">
        <v>46134.671689814815</v>
      </c>
      <c r="B1576" s="5" t="s">
        <v>19</v>
      </c>
      <c r="C1576" s="5" t="s">
        <v>37</v>
      </c>
      <c r="D1576" s="5">
        <v>486</v>
      </c>
      <c r="E1576" s="6">
        <v>47197932000130</v>
      </c>
      <c r="F1576" s="5">
        <v>486</v>
      </c>
      <c r="G1576" s="7">
        <v>177688483475241</v>
      </c>
      <c r="H1576" s="5" t="s">
        <v>427</v>
      </c>
      <c r="I1576" s="5">
        <v>3003</v>
      </c>
      <c r="J1576" s="5" t="s">
        <v>22</v>
      </c>
      <c r="K1576" s="5" t="s">
        <v>23</v>
      </c>
      <c r="L1576" s="5" t="s">
        <v>31</v>
      </c>
      <c r="M1576" s="5" t="s">
        <v>284</v>
      </c>
      <c r="N1576" s="5" t="s">
        <v>53</v>
      </c>
      <c r="O1576" s="5">
        <v>128</v>
      </c>
      <c r="P1576" s="5"/>
      <c r="Q1576" s="5"/>
      <c r="R1576" s="8">
        <v>8.1018518518518516E-5</v>
      </c>
      <c r="S1576" s="5" t="s">
        <v>37</v>
      </c>
      <c r="T1576" t="str">
        <f>IF(Tabela1[[#This Row],[STATUS_NEGOCIO]]="Enviar E-mail",1,"")</f>
        <v/>
      </c>
      <c r="U1576" t="str">
        <f>TEXT(Tabela1[[#This Row],[DATA]],"dd/mm/aaaa")</f>
        <v>22/04/2026</v>
      </c>
    </row>
    <row r="1577" spans="1:21" x14ac:dyDescent="0.25">
      <c r="A1577" s="4">
        <v>46134.671689814815</v>
      </c>
      <c r="B1577" s="5" t="s">
        <v>19</v>
      </c>
      <c r="C1577" s="5" t="s">
        <v>37</v>
      </c>
      <c r="D1577" s="5">
        <v>487</v>
      </c>
      <c r="E1577" s="6">
        <v>48145681000102</v>
      </c>
      <c r="F1577" s="5">
        <v>487</v>
      </c>
      <c r="G1577" s="7">
        <v>177688483475251</v>
      </c>
      <c r="H1577" s="5" t="s">
        <v>597</v>
      </c>
      <c r="I1577" s="5" t="s">
        <v>52</v>
      </c>
      <c r="J1577" s="5" t="s">
        <v>22</v>
      </c>
      <c r="K1577" s="5" t="s">
        <v>36</v>
      </c>
      <c r="L1577" s="5" t="s">
        <v>36</v>
      </c>
      <c r="M1577" s="5" t="s">
        <v>284</v>
      </c>
      <c r="N1577" s="5" t="s">
        <v>53</v>
      </c>
      <c r="O1577" s="5">
        <v>34</v>
      </c>
      <c r="P1577" s="5"/>
      <c r="Q1577" s="5"/>
      <c r="R1577" s="8">
        <v>0</v>
      </c>
      <c r="S1577" s="5" t="s">
        <v>37</v>
      </c>
      <c r="T1577" t="str">
        <f>IF(Tabela1[[#This Row],[STATUS_NEGOCIO]]="Enviar E-mail",1,"")</f>
        <v/>
      </c>
      <c r="U1577" t="str">
        <f>TEXT(Tabela1[[#This Row],[DATA]],"dd/mm/aaaa")</f>
        <v>22/04/2026</v>
      </c>
    </row>
    <row r="1578" spans="1:21" x14ac:dyDescent="0.25">
      <c r="A1578" s="4">
        <v>46134.671724537038</v>
      </c>
      <c r="B1578" s="5" t="s">
        <v>19</v>
      </c>
      <c r="C1578" s="5" t="s">
        <v>37</v>
      </c>
      <c r="D1578" s="5">
        <v>488</v>
      </c>
      <c r="E1578" s="6">
        <v>48319171000104</v>
      </c>
      <c r="F1578" s="5">
        <v>488</v>
      </c>
      <c r="G1578" s="7">
        <v>177688483775271</v>
      </c>
      <c r="H1578" s="5" t="s">
        <v>598</v>
      </c>
      <c r="I1578" s="5">
        <v>3003</v>
      </c>
      <c r="J1578" s="5" t="s">
        <v>22</v>
      </c>
      <c r="K1578" s="5" t="s">
        <v>23</v>
      </c>
      <c r="L1578" s="5" t="s">
        <v>31</v>
      </c>
      <c r="M1578" s="5" t="s">
        <v>284</v>
      </c>
      <c r="N1578" s="5" t="s">
        <v>53</v>
      </c>
      <c r="O1578" s="5">
        <v>128</v>
      </c>
      <c r="P1578" s="5"/>
      <c r="Q1578" s="5"/>
      <c r="R1578" s="8">
        <v>6.9444444444444444E-5</v>
      </c>
      <c r="S1578" s="5" t="s">
        <v>37</v>
      </c>
      <c r="T1578" t="str">
        <f>IF(Tabela1[[#This Row],[STATUS_NEGOCIO]]="Enviar E-mail",1,"")</f>
        <v/>
      </c>
      <c r="U1578" t="str">
        <f>TEXT(Tabela1[[#This Row],[DATA]],"dd/mm/aaaa")</f>
        <v>22/04/2026</v>
      </c>
    </row>
    <row r="1579" spans="1:21" x14ac:dyDescent="0.25">
      <c r="A1579" s="4">
        <v>46134.671747685185</v>
      </c>
      <c r="B1579" s="5" t="s">
        <v>19</v>
      </c>
      <c r="C1579" s="5" t="s">
        <v>37</v>
      </c>
      <c r="D1579" s="5">
        <v>489</v>
      </c>
      <c r="E1579" s="6">
        <v>48361628000149</v>
      </c>
      <c r="F1579" s="5">
        <v>489</v>
      </c>
      <c r="G1579" s="7">
        <v>177688483975281</v>
      </c>
      <c r="H1579" s="5" t="s">
        <v>599</v>
      </c>
      <c r="I1579" s="5">
        <v>3003</v>
      </c>
      <c r="J1579" s="5" t="s">
        <v>22</v>
      </c>
      <c r="K1579" s="5" t="s">
        <v>23</v>
      </c>
      <c r="L1579" s="5" t="s">
        <v>31</v>
      </c>
      <c r="M1579" s="5" t="s">
        <v>284</v>
      </c>
      <c r="N1579" s="5" t="s">
        <v>26</v>
      </c>
      <c r="O1579" s="5">
        <v>131</v>
      </c>
      <c r="P1579" s="5"/>
      <c r="Q1579" s="5"/>
      <c r="R1579" s="8">
        <v>4.6296296296296294E-5</v>
      </c>
      <c r="S1579" s="5" t="s">
        <v>37</v>
      </c>
      <c r="T1579" t="str">
        <f>IF(Tabela1[[#This Row],[STATUS_NEGOCIO]]="Enviar E-mail",1,"")</f>
        <v/>
      </c>
      <c r="U1579" t="str">
        <f>TEXT(Tabela1[[#This Row],[DATA]],"dd/mm/aaaa")</f>
        <v>22/04/2026</v>
      </c>
    </row>
    <row r="1580" spans="1:21" x14ac:dyDescent="0.25">
      <c r="A1580" s="4">
        <v>46134.671770833331</v>
      </c>
      <c r="B1580" s="5" t="s">
        <v>19</v>
      </c>
      <c r="C1580" s="5" t="s">
        <v>37</v>
      </c>
      <c r="D1580" s="5">
        <v>490</v>
      </c>
      <c r="E1580" s="6">
        <v>48762740000191</v>
      </c>
      <c r="F1580" s="5">
        <v>490</v>
      </c>
      <c r="G1580" s="7">
        <v>177688484175301</v>
      </c>
      <c r="H1580" s="5" t="s">
        <v>217</v>
      </c>
      <c r="I1580" s="5">
        <v>3003</v>
      </c>
      <c r="J1580" s="5" t="s">
        <v>22</v>
      </c>
      <c r="K1580" s="5" t="s">
        <v>23</v>
      </c>
      <c r="L1580" s="5" t="s">
        <v>31</v>
      </c>
      <c r="M1580" s="5" t="s">
        <v>284</v>
      </c>
      <c r="N1580" s="5" t="s">
        <v>53</v>
      </c>
      <c r="O1580" s="5">
        <v>128</v>
      </c>
      <c r="P1580" s="5"/>
      <c r="Q1580" s="5"/>
      <c r="R1580" s="8">
        <v>8.1018518518518516E-5</v>
      </c>
      <c r="S1580" s="5" t="s">
        <v>37</v>
      </c>
      <c r="T1580" t="str">
        <f>IF(Tabela1[[#This Row],[STATUS_NEGOCIO]]="Enviar E-mail",1,"")</f>
        <v/>
      </c>
      <c r="U1580" t="str">
        <f>TEXT(Tabela1[[#This Row],[DATA]],"dd/mm/aaaa")</f>
        <v>22/04/2026</v>
      </c>
    </row>
    <row r="1581" spans="1:21" x14ac:dyDescent="0.25">
      <c r="A1581" s="4">
        <v>46134.671817129631</v>
      </c>
      <c r="B1581" s="5" t="s">
        <v>19</v>
      </c>
      <c r="C1581" s="5" t="s">
        <v>37</v>
      </c>
      <c r="D1581" s="5">
        <v>491</v>
      </c>
      <c r="E1581" s="6">
        <v>48793273000167</v>
      </c>
      <c r="F1581" s="5">
        <v>491</v>
      </c>
      <c r="G1581" s="7">
        <v>177688484575321</v>
      </c>
      <c r="H1581" s="5" t="s">
        <v>600</v>
      </c>
      <c r="I1581" s="5">
        <v>3003</v>
      </c>
      <c r="J1581" s="5" t="s">
        <v>22</v>
      </c>
      <c r="K1581" s="5" t="s">
        <v>23</v>
      </c>
      <c r="L1581" s="5" t="s">
        <v>31</v>
      </c>
      <c r="M1581" s="5" t="s">
        <v>284</v>
      </c>
      <c r="N1581" s="5" t="s">
        <v>53</v>
      </c>
      <c r="O1581" s="5">
        <v>128</v>
      </c>
      <c r="P1581" s="5"/>
      <c r="Q1581" s="5"/>
      <c r="R1581" s="8">
        <v>8.1018518518518516E-5</v>
      </c>
      <c r="S1581" s="5" t="s">
        <v>37</v>
      </c>
      <c r="T1581" t="str">
        <f>IF(Tabela1[[#This Row],[STATUS_NEGOCIO]]="Enviar E-mail",1,"")</f>
        <v/>
      </c>
      <c r="U1581" t="str">
        <f>TEXT(Tabela1[[#This Row],[DATA]],"dd/mm/aaaa")</f>
        <v>22/04/2026</v>
      </c>
    </row>
    <row r="1582" spans="1:21" x14ac:dyDescent="0.25">
      <c r="A1582" s="4">
        <v>46134.671886574077</v>
      </c>
      <c r="B1582" s="5" t="s">
        <v>19</v>
      </c>
      <c r="C1582" s="5" t="s">
        <v>37</v>
      </c>
      <c r="D1582" s="5">
        <v>492</v>
      </c>
      <c r="E1582" s="6">
        <v>48968786000161</v>
      </c>
      <c r="F1582" s="5">
        <v>492</v>
      </c>
      <c r="G1582" s="7">
        <v>177688485175341</v>
      </c>
      <c r="H1582" s="5" t="s">
        <v>601</v>
      </c>
      <c r="I1582" s="5">
        <v>3003</v>
      </c>
      <c r="J1582" s="5" t="s">
        <v>22</v>
      </c>
      <c r="K1582" s="5" t="s">
        <v>23</v>
      </c>
      <c r="L1582" s="5" t="s">
        <v>31</v>
      </c>
      <c r="M1582" s="5" t="s">
        <v>284</v>
      </c>
      <c r="N1582" s="5" t="s">
        <v>53</v>
      </c>
      <c r="O1582" s="5">
        <v>128</v>
      </c>
      <c r="P1582" s="5"/>
      <c r="Q1582" s="5"/>
      <c r="R1582" s="8">
        <v>8.1018518518518516E-5</v>
      </c>
      <c r="S1582" s="5" t="s">
        <v>37</v>
      </c>
      <c r="T1582" t="str">
        <f>IF(Tabela1[[#This Row],[STATUS_NEGOCIO]]="Enviar E-mail",1,"")</f>
        <v/>
      </c>
      <c r="U1582" t="str">
        <f>TEXT(Tabela1[[#This Row],[DATA]],"dd/mm/aaaa")</f>
        <v>22/04/2026</v>
      </c>
    </row>
    <row r="1583" spans="1:21" x14ac:dyDescent="0.25">
      <c r="A1583" s="4">
        <v>46134.671898148146</v>
      </c>
      <c r="B1583" s="5" t="s">
        <v>19</v>
      </c>
      <c r="C1583" s="5" t="s">
        <v>37</v>
      </c>
      <c r="D1583" s="5">
        <v>493</v>
      </c>
      <c r="E1583" s="6">
        <v>49039587000131</v>
      </c>
      <c r="F1583" s="5">
        <v>493</v>
      </c>
      <c r="G1583" s="7">
        <v>177688485275361</v>
      </c>
      <c r="H1583" s="5" t="s">
        <v>602</v>
      </c>
      <c r="I1583" s="5">
        <v>3003</v>
      </c>
      <c r="J1583" s="5" t="s">
        <v>22</v>
      </c>
      <c r="K1583" s="5" t="s">
        <v>23</v>
      </c>
      <c r="L1583" s="5" t="s">
        <v>31</v>
      </c>
      <c r="M1583" s="5" t="s">
        <v>284</v>
      </c>
      <c r="N1583" s="5" t="s">
        <v>26</v>
      </c>
      <c r="O1583" s="5">
        <v>131</v>
      </c>
      <c r="P1583" s="5"/>
      <c r="Q1583" s="5"/>
      <c r="R1583" s="8">
        <v>9.2592592592592588E-5</v>
      </c>
      <c r="S1583" s="5" t="s">
        <v>37</v>
      </c>
      <c r="T1583" t="str">
        <f>IF(Tabela1[[#This Row],[STATUS_NEGOCIO]]="Enviar E-mail",1,"")</f>
        <v/>
      </c>
      <c r="U1583" t="str">
        <f>TEXT(Tabela1[[#This Row],[DATA]],"dd/mm/aaaa")</f>
        <v>22/04/2026</v>
      </c>
    </row>
    <row r="1584" spans="1:21" x14ac:dyDescent="0.25">
      <c r="A1584" s="4">
        <v>46134.671909722223</v>
      </c>
      <c r="B1584" s="5" t="s">
        <v>19</v>
      </c>
      <c r="C1584" s="5" t="s">
        <v>37</v>
      </c>
      <c r="D1584" s="5">
        <v>494</v>
      </c>
      <c r="E1584" s="6">
        <v>49310128000140</v>
      </c>
      <c r="F1584" s="5">
        <v>494</v>
      </c>
      <c r="G1584" s="7">
        <v>177688485375381</v>
      </c>
      <c r="H1584" s="5" t="s">
        <v>269</v>
      </c>
      <c r="I1584" s="5">
        <v>3003</v>
      </c>
      <c r="J1584" s="5" t="s">
        <v>22</v>
      </c>
      <c r="K1584" s="5" t="s">
        <v>23</v>
      </c>
      <c r="L1584" s="5" t="s">
        <v>31</v>
      </c>
      <c r="M1584" s="5" t="s">
        <v>284</v>
      </c>
      <c r="N1584" s="5" t="s">
        <v>53</v>
      </c>
      <c r="O1584" s="5">
        <v>128</v>
      </c>
      <c r="P1584" s="5"/>
      <c r="Q1584" s="5"/>
      <c r="R1584" s="8">
        <v>8.1018518518518516E-5</v>
      </c>
      <c r="S1584" s="5" t="s">
        <v>37</v>
      </c>
      <c r="T1584" t="str">
        <f>IF(Tabela1[[#This Row],[STATUS_NEGOCIO]]="Enviar E-mail",1,"")</f>
        <v/>
      </c>
      <c r="U1584" t="str">
        <f>TEXT(Tabela1[[#This Row],[DATA]],"dd/mm/aaaa")</f>
        <v>22/04/2026</v>
      </c>
    </row>
    <row r="1585" spans="1:21" x14ac:dyDescent="0.25">
      <c r="A1585" s="4">
        <v>46134.671967592592</v>
      </c>
      <c r="B1585" s="5" t="s">
        <v>19</v>
      </c>
      <c r="C1585" s="5" t="s">
        <v>37</v>
      </c>
      <c r="D1585" s="5">
        <v>495</v>
      </c>
      <c r="E1585" s="6">
        <v>49419902000156</v>
      </c>
      <c r="F1585" s="5">
        <v>495</v>
      </c>
      <c r="G1585" s="7">
        <v>177688485875401</v>
      </c>
      <c r="H1585" s="5" t="s">
        <v>603</v>
      </c>
      <c r="I1585" s="5">
        <v>3003</v>
      </c>
      <c r="J1585" s="5" t="s">
        <v>22</v>
      </c>
      <c r="K1585" s="5" t="s">
        <v>23</v>
      </c>
      <c r="L1585" s="5" t="s">
        <v>31</v>
      </c>
      <c r="M1585" s="5" t="s">
        <v>284</v>
      </c>
      <c r="N1585" s="5" t="s">
        <v>53</v>
      </c>
      <c r="O1585" s="5">
        <v>128</v>
      </c>
      <c r="P1585" s="5"/>
      <c r="Q1585" s="5"/>
      <c r="R1585" s="8">
        <v>8.1018518518518516E-5</v>
      </c>
      <c r="S1585" s="5" t="s">
        <v>37</v>
      </c>
      <c r="T1585" t="str">
        <f>IF(Tabela1[[#This Row],[STATUS_NEGOCIO]]="Enviar E-mail",1,"")</f>
        <v/>
      </c>
      <c r="U1585" t="str">
        <f>TEXT(Tabela1[[#This Row],[DATA]],"dd/mm/aaaa")</f>
        <v>22/04/2026</v>
      </c>
    </row>
    <row r="1586" spans="1:21" x14ac:dyDescent="0.25">
      <c r="A1586" s="4">
        <v>46134.672025462962</v>
      </c>
      <c r="B1586" s="5" t="s">
        <v>19</v>
      </c>
      <c r="C1586" s="5" t="s">
        <v>37</v>
      </c>
      <c r="D1586" s="5">
        <v>497</v>
      </c>
      <c r="E1586" s="6">
        <v>49606616000108</v>
      </c>
      <c r="F1586" s="5">
        <v>497</v>
      </c>
      <c r="G1586" s="7">
        <v>177688486375441</v>
      </c>
      <c r="H1586" s="5" t="s">
        <v>604</v>
      </c>
      <c r="I1586" s="5">
        <v>3003</v>
      </c>
      <c r="J1586" s="5" t="s">
        <v>22</v>
      </c>
      <c r="K1586" s="5" t="s">
        <v>23</v>
      </c>
      <c r="L1586" s="5" t="s">
        <v>31</v>
      </c>
      <c r="M1586" s="5" t="s">
        <v>284</v>
      </c>
      <c r="N1586" s="5" t="s">
        <v>53</v>
      </c>
      <c r="O1586" s="5">
        <v>147</v>
      </c>
      <c r="P1586" s="5"/>
      <c r="Q1586" s="5"/>
      <c r="R1586" s="8">
        <v>8.1018518518518516E-5</v>
      </c>
      <c r="S1586" s="5" t="s">
        <v>37</v>
      </c>
      <c r="T1586" t="str">
        <f>IF(Tabela1[[#This Row],[STATUS_NEGOCIO]]="Enviar E-mail",1,"")</f>
        <v/>
      </c>
      <c r="U1586" t="str">
        <f>TEXT(Tabela1[[#This Row],[DATA]],"dd/mm/aaaa")</f>
        <v>22/04/2026</v>
      </c>
    </row>
    <row r="1587" spans="1:21" x14ac:dyDescent="0.25">
      <c r="A1587" s="4">
        <v>46134.672025462962</v>
      </c>
      <c r="B1587" s="5" t="s">
        <v>19</v>
      </c>
      <c r="C1587" s="5" t="s">
        <v>37</v>
      </c>
      <c r="D1587" s="5">
        <v>498</v>
      </c>
      <c r="E1587" s="6">
        <v>49876067000183</v>
      </c>
      <c r="F1587" s="5">
        <v>498</v>
      </c>
      <c r="G1587" s="7">
        <v>177688486375451</v>
      </c>
      <c r="H1587" s="5" t="s">
        <v>185</v>
      </c>
      <c r="I1587" s="5">
        <v>3003</v>
      </c>
      <c r="J1587" s="5" t="s">
        <v>22</v>
      </c>
      <c r="K1587" s="5" t="s">
        <v>23</v>
      </c>
      <c r="L1587" s="5" t="s">
        <v>31</v>
      </c>
      <c r="M1587" s="5" t="s">
        <v>284</v>
      </c>
      <c r="N1587" s="5" t="s">
        <v>53</v>
      </c>
      <c r="O1587" s="5">
        <v>147</v>
      </c>
      <c r="P1587" s="5"/>
      <c r="Q1587" s="5"/>
      <c r="R1587" s="8">
        <v>8.1018518518518516E-5</v>
      </c>
      <c r="S1587" s="5" t="s">
        <v>37</v>
      </c>
      <c r="T1587" t="str">
        <f>IF(Tabela1[[#This Row],[STATUS_NEGOCIO]]="Enviar E-mail",1,"")</f>
        <v/>
      </c>
      <c r="U1587" t="str">
        <f>TEXT(Tabela1[[#This Row],[DATA]],"dd/mm/aaaa")</f>
        <v>22/04/2026</v>
      </c>
    </row>
    <row r="1588" spans="1:21" x14ac:dyDescent="0.25">
      <c r="A1588" s="4">
        <v>46134.672037037039</v>
      </c>
      <c r="B1588" s="5" t="s">
        <v>19</v>
      </c>
      <c r="C1588" s="5" t="s">
        <v>37</v>
      </c>
      <c r="D1588" s="5">
        <v>499</v>
      </c>
      <c r="E1588" s="6">
        <v>49895195000174</v>
      </c>
      <c r="F1588" s="5">
        <v>499</v>
      </c>
      <c r="G1588" s="7">
        <v>177688486475471</v>
      </c>
      <c r="H1588" s="5" t="s">
        <v>74</v>
      </c>
      <c r="I1588" s="5">
        <v>3003</v>
      </c>
      <c r="J1588" s="5" t="s">
        <v>22</v>
      </c>
      <c r="K1588" s="5" t="s">
        <v>23</v>
      </c>
      <c r="L1588" s="5" t="s">
        <v>31</v>
      </c>
      <c r="M1588" s="5" t="s">
        <v>284</v>
      </c>
      <c r="N1588" s="5" t="s">
        <v>53</v>
      </c>
      <c r="O1588" s="5">
        <v>128</v>
      </c>
      <c r="P1588" s="5"/>
      <c r="Q1588" s="5"/>
      <c r="R1588" s="8">
        <v>8.1018518518518516E-5</v>
      </c>
      <c r="S1588" s="5" t="s">
        <v>37</v>
      </c>
      <c r="T1588" t="str">
        <f>IF(Tabela1[[#This Row],[STATUS_NEGOCIO]]="Enviar E-mail",1,"")</f>
        <v/>
      </c>
      <c r="U1588" t="str">
        <f>TEXT(Tabela1[[#This Row],[DATA]],"dd/mm/aaaa")</f>
        <v>22/04/2026</v>
      </c>
    </row>
    <row r="1589" spans="1:21" x14ac:dyDescent="0.25">
      <c r="A1589" s="4">
        <v>46134.672048611108</v>
      </c>
      <c r="B1589" s="5" t="s">
        <v>19</v>
      </c>
      <c r="C1589" s="5" t="s">
        <v>37</v>
      </c>
      <c r="D1589" s="5">
        <v>500</v>
      </c>
      <c r="E1589" s="6">
        <v>50253555000113</v>
      </c>
      <c r="F1589" s="5">
        <v>500</v>
      </c>
      <c r="G1589" s="7">
        <v>177688486575491</v>
      </c>
      <c r="H1589" s="5" t="s">
        <v>605</v>
      </c>
      <c r="I1589" s="5">
        <v>3003</v>
      </c>
      <c r="J1589" s="5" t="s">
        <v>22</v>
      </c>
      <c r="K1589" s="5" t="s">
        <v>23</v>
      </c>
      <c r="L1589" s="5" t="s">
        <v>31</v>
      </c>
      <c r="M1589" s="5" t="s">
        <v>284</v>
      </c>
      <c r="N1589" s="5" t="s">
        <v>53</v>
      </c>
      <c r="O1589" s="5">
        <v>128</v>
      </c>
      <c r="P1589" s="5"/>
      <c r="Q1589" s="5"/>
      <c r="R1589" s="8">
        <v>6.9444444444444444E-5</v>
      </c>
      <c r="S1589" s="5" t="s">
        <v>37</v>
      </c>
      <c r="T1589" t="str">
        <f>IF(Tabela1[[#This Row],[STATUS_NEGOCIO]]="Enviar E-mail",1,"")</f>
        <v/>
      </c>
      <c r="U1589" t="str">
        <f>TEXT(Tabela1[[#This Row],[DATA]],"dd/mm/aaaa")</f>
        <v>22/04/2026</v>
      </c>
    </row>
    <row r="1590" spans="1:21" x14ac:dyDescent="0.25">
      <c r="A1590" s="4">
        <v>46134.672083333331</v>
      </c>
      <c r="B1590" s="5" t="s">
        <v>19</v>
      </c>
      <c r="C1590" s="5" t="s">
        <v>37</v>
      </c>
      <c r="D1590" s="5">
        <v>501</v>
      </c>
      <c r="E1590" s="6">
        <v>50300325000168</v>
      </c>
      <c r="F1590" s="5">
        <v>501</v>
      </c>
      <c r="G1590" s="7">
        <v>177688486875511</v>
      </c>
      <c r="H1590" s="5" t="s">
        <v>606</v>
      </c>
      <c r="I1590" s="5">
        <v>3003</v>
      </c>
      <c r="J1590" s="5" t="s">
        <v>22</v>
      </c>
      <c r="K1590" s="5" t="s">
        <v>23</v>
      </c>
      <c r="L1590" s="5" t="s">
        <v>31</v>
      </c>
      <c r="M1590" s="5" t="s">
        <v>284</v>
      </c>
      <c r="N1590" s="5" t="s">
        <v>53</v>
      </c>
      <c r="O1590" s="5">
        <v>128</v>
      </c>
      <c r="P1590" s="5"/>
      <c r="Q1590" s="5"/>
      <c r="R1590" s="8">
        <v>8.1018518518518516E-5</v>
      </c>
      <c r="S1590" s="5" t="s">
        <v>37</v>
      </c>
      <c r="T1590" t="str">
        <f>IF(Tabela1[[#This Row],[STATUS_NEGOCIO]]="Enviar E-mail",1,"")</f>
        <v/>
      </c>
      <c r="U1590" t="str">
        <f>TEXT(Tabela1[[#This Row],[DATA]],"dd/mm/aaaa")</f>
        <v>22/04/2026</v>
      </c>
    </row>
    <row r="1591" spans="1:21" x14ac:dyDescent="0.25">
      <c r="A1591" s="4">
        <v>46134.6721875</v>
      </c>
      <c r="B1591" s="5" t="s">
        <v>19</v>
      </c>
      <c r="C1591" s="5" t="s">
        <v>37</v>
      </c>
      <c r="D1591" s="5">
        <v>502</v>
      </c>
      <c r="E1591" s="6">
        <v>50884703000106</v>
      </c>
      <c r="F1591" s="5">
        <v>502</v>
      </c>
      <c r="G1591" s="7">
        <v>177688487775551</v>
      </c>
      <c r="H1591" s="5" t="s">
        <v>607</v>
      </c>
      <c r="I1591" s="5">
        <v>3003</v>
      </c>
      <c r="J1591" s="5" t="s">
        <v>22</v>
      </c>
      <c r="K1591" s="5" t="s">
        <v>23</v>
      </c>
      <c r="L1591" s="5" t="s">
        <v>31</v>
      </c>
      <c r="M1591" s="5" t="s">
        <v>284</v>
      </c>
      <c r="N1591" s="5" t="s">
        <v>53</v>
      </c>
      <c r="O1591" s="5">
        <v>128</v>
      </c>
      <c r="P1591" s="5"/>
      <c r="Q1591" s="5"/>
      <c r="R1591" s="8">
        <v>5.7870370370370373E-5</v>
      </c>
      <c r="S1591" s="5" t="s">
        <v>37</v>
      </c>
      <c r="T1591" t="str">
        <f>IF(Tabela1[[#This Row],[STATUS_NEGOCIO]]="Enviar E-mail",1,"")</f>
        <v/>
      </c>
      <c r="U1591" t="str">
        <f>TEXT(Tabela1[[#This Row],[DATA]],"dd/mm/aaaa")</f>
        <v>22/04/2026</v>
      </c>
    </row>
    <row r="1592" spans="1:21" x14ac:dyDescent="0.25">
      <c r="A1592" s="4">
        <v>46134.6721875</v>
      </c>
      <c r="B1592" s="5" t="s">
        <v>19</v>
      </c>
      <c r="C1592" s="5" t="s">
        <v>27</v>
      </c>
      <c r="D1592" s="5">
        <v>503</v>
      </c>
      <c r="E1592" s="6">
        <v>51081827000108</v>
      </c>
      <c r="F1592" s="5">
        <v>503</v>
      </c>
      <c r="G1592" s="7">
        <v>177688487775561</v>
      </c>
      <c r="H1592" s="5" t="s">
        <v>279</v>
      </c>
      <c r="I1592" s="5">
        <v>3003</v>
      </c>
      <c r="J1592" s="5" t="s">
        <v>22</v>
      </c>
      <c r="K1592" s="5" t="s">
        <v>23</v>
      </c>
      <c r="L1592" s="5" t="s">
        <v>219</v>
      </c>
      <c r="M1592" s="5" t="s">
        <v>284</v>
      </c>
      <c r="N1592" s="5" t="s">
        <v>26</v>
      </c>
      <c r="O1592" s="5">
        <v>16</v>
      </c>
      <c r="P1592" s="5"/>
      <c r="Q1592" s="5"/>
      <c r="R1592" s="8">
        <v>1.3888888888888889E-4</v>
      </c>
      <c r="S1592" s="8">
        <v>9.2592592592592588E-5</v>
      </c>
      <c r="T1592" t="str">
        <f>IF(Tabela1[[#This Row],[STATUS_NEGOCIO]]="Enviar E-mail",1,"")</f>
        <v/>
      </c>
      <c r="U1592" t="str">
        <f>TEXT(Tabela1[[#This Row],[DATA]],"dd/mm/aaaa")</f>
        <v>22/04/2026</v>
      </c>
    </row>
    <row r="1593" spans="1:21" x14ac:dyDescent="0.25">
      <c r="A1593" s="4">
        <v>46134.6721875</v>
      </c>
      <c r="B1593" s="5" t="s">
        <v>19</v>
      </c>
      <c r="C1593" s="5" t="s">
        <v>37</v>
      </c>
      <c r="D1593" s="5">
        <v>504</v>
      </c>
      <c r="E1593" s="6">
        <v>51318932000118</v>
      </c>
      <c r="F1593" s="5">
        <v>504</v>
      </c>
      <c r="G1593" s="7">
        <v>177688487775571</v>
      </c>
      <c r="H1593" s="5" t="s">
        <v>72</v>
      </c>
      <c r="I1593" s="5">
        <v>3003</v>
      </c>
      <c r="J1593" s="5" t="s">
        <v>22</v>
      </c>
      <c r="K1593" s="5" t="s">
        <v>23</v>
      </c>
      <c r="L1593" s="5" t="s">
        <v>31</v>
      </c>
      <c r="M1593" s="5" t="s">
        <v>284</v>
      </c>
      <c r="N1593" s="5" t="s">
        <v>53</v>
      </c>
      <c r="O1593" s="5">
        <v>147</v>
      </c>
      <c r="P1593" s="5"/>
      <c r="Q1593" s="5"/>
      <c r="R1593" s="8">
        <v>8.1018518518518516E-5</v>
      </c>
      <c r="S1593" s="5" t="s">
        <v>37</v>
      </c>
      <c r="T1593" t="str">
        <f>IF(Tabela1[[#This Row],[STATUS_NEGOCIO]]="Enviar E-mail",1,"")</f>
        <v/>
      </c>
      <c r="U1593" t="str">
        <f>TEXT(Tabela1[[#This Row],[DATA]],"dd/mm/aaaa")</f>
        <v>22/04/2026</v>
      </c>
    </row>
    <row r="1594" spans="1:21" x14ac:dyDescent="0.25">
      <c r="A1594" s="4">
        <v>46134.6721875</v>
      </c>
      <c r="B1594" s="5" t="s">
        <v>19</v>
      </c>
      <c r="C1594" s="5" t="s">
        <v>37</v>
      </c>
      <c r="D1594" s="5">
        <v>505</v>
      </c>
      <c r="E1594" s="6">
        <v>51780829000195</v>
      </c>
      <c r="F1594" s="5">
        <v>505</v>
      </c>
      <c r="G1594" s="7">
        <v>177688487775591</v>
      </c>
      <c r="H1594" s="5" t="s">
        <v>132</v>
      </c>
      <c r="I1594" s="5">
        <v>3003</v>
      </c>
      <c r="J1594" s="5" t="s">
        <v>22</v>
      </c>
      <c r="K1594" s="5" t="s">
        <v>23</v>
      </c>
      <c r="L1594" s="5" t="s">
        <v>31</v>
      </c>
      <c r="M1594" s="5" t="s">
        <v>284</v>
      </c>
      <c r="N1594" s="5" t="s">
        <v>53</v>
      </c>
      <c r="O1594" s="5">
        <v>128</v>
      </c>
      <c r="P1594" s="5"/>
      <c r="Q1594" s="5"/>
      <c r="R1594" s="8">
        <v>8.1018518518518516E-5</v>
      </c>
      <c r="S1594" s="5" t="s">
        <v>37</v>
      </c>
      <c r="T1594" t="str">
        <f>IF(Tabela1[[#This Row],[STATUS_NEGOCIO]]="Enviar E-mail",1,"")</f>
        <v/>
      </c>
      <c r="U1594" t="str">
        <f>TEXT(Tabela1[[#This Row],[DATA]],"dd/mm/aaaa")</f>
        <v>22/04/2026</v>
      </c>
    </row>
    <row r="1595" spans="1:21" x14ac:dyDescent="0.25">
      <c r="A1595" s="4">
        <v>46134.672199074077</v>
      </c>
      <c r="B1595" s="5" t="s">
        <v>19</v>
      </c>
      <c r="C1595" s="5" t="s">
        <v>37</v>
      </c>
      <c r="D1595" s="5">
        <v>506</v>
      </c>
      <c r="E1595" s="6">
        <v>52007964000165</v>
      </c>
      <c r="F1595" s="5">
        <v>506</v>
      </c>
      <c r="G1595" s="7">
        <v>177688487875601</v>
      </c>
      <c r="H1595" s="5" t="s">
        <v>187</v>
      </c>
      <c r="I1595" s="5">
        <v>3003</v>
      </c>
      <c r="J1595" s="5" t="s">
        <v>22</v>
      </c>
      <c r="K1595" s="5" t="s">
        <v>23</v>
      </c>
      <c r="L1595" s="5" t="s">
        <v>31</v>
      </c>
      <c r="M1595" s="5" t="s">
        <v>284</v>
      </c>
      <c r="N1595" s="5" t="s">
        <v>53</v>
      </c>
      <c r="O1595" s="5">
        <v>128</v>
      </c>
      <c r="P1595" s="5"/>
      <c r="Q1595" s="5"/>
      <c r="R1595" s="8">
        <v>8.1018518518518516E-5</v>
      </c>
      <c r="S1595" s="5" t="s">
        <v>37</v>
      </c>
      <c r="T1595" t="str">
        <f>IF(Tabela1[[#This Row],[STATUS_NEGOCIO]]="Enviar E-mail",1,"")</f>
        <v/>
      </c>
      <c r="U1595" t="str">
        <f>TEXT(Tabela1[[#This Row],[DATA]],"dd/mm/aaaa")</f>
        <v>22/04/2026</v>
      </c>
    </row>
    <row r="1596" spans="1:21" x14ac:dyDescent="0.25">
      <c r="A1596" s="4">
        <v>46134.672222222223</v>
      </c>
      <c r="B1596" s="5" t="s">
        <v>19</v>
      </c>
      <c r="C1596" s="5" t="s">
        <v>37</v>
      </c>
      <c r="D1596" s="5">
        <v>507</v>
      </c>
      <c r="E1596" s="6">
        <v>53060069000177</v>
      </c>
      <c r="F1596" s="5">
        <v>507</v>
      </c>
      <c r="G1596" s="7">
        <v>177688488075621</v>
      </c>
      <c r="H1596" s="5" t="s">
        <v>608</v>
      </c>
      <c r="I1596" s="5">
        <v>3003</v>
      </c>
      <c r="J1596" s="5" t="s">
        <v>22</v>
      </c>
      <c r="K1596" s="5" t="s">
        <v>23</v>
      </c>
      <c r="L1596" s="5" t="s">
        <v>31</v>
      </c>
      <c r="M1596" s="5" t="s">
        <v>284</v>
      </c>
      <c r="N1596" s="5" t="s">
        <v>53</v>
      </c>
      <c r="O1596" s="5">
        <v>128</v>
      </c>
      <c r="P1596" s="5"/>
      <c r="Q1596" s="5"/>
      <c r="R1596" s="8">
        <v>8.1018518518518516E-5</v>
      </c>
      <c r="S1596" s="5" t="s">
        <v>37</v>
      </c>
      <c r="T1596" t="str">
        <f>IF(Tabela1[[#This Row],[STATUS_NEGOCIO]]="Enviar E-mail",1,"")</f>
        <v/>
      </c>
      <c r="U1596" t="str">
        <f>TEXT(Tabela1[[#This Row],[DATA]],"dd/mm/aaaa")</f>
        <v>22/04/2026</v>
      </c>
    </row>
    <row r="1597" spans="1:21" x14ac:dyDescent="0.25">
      <c r="A1597" s="4">
        <v>46134.672349537039</v>
      </c>
      <c r="B1597" s="5" t="s">
        <v>19</v>
      </c>
      <c r="C1597" s="5" t="s">
        <v>27</v>
      </c>
      <c r="D1597" s="5">
        <v>508</v>
      </c>
      <c r="E1597" s="6">
        <v>53105568000133</v>
      </c>
      <c r="F1597" s="5">
        <v>508</v>
      </c>
      <c r="G1597" s="7">
        <v>177688489175641</v>
      </c>
      <c r="H1597" s="5" t="s">
        <v>609</v>
      </c>
      <c r="I1597" s="5">
        <v>3003</v>
      </c>
      <c r="J1597" s="5" t="s">
        <v>22</v>
      </c>
      <c r="K1597" s="5" t="s">
        <v>23</v>
      </c>
      <c r="L1597" s="5" t="s">
        <v>40</v>
      </c>
      <c r="M1597" s="5" t="s">
        <v>284</v>
      </c>
      <c r="N1597" s="5" t="s">
        <v>26</v>
      </c>
      <c r="O1597" s="5">
        <v>16</v>
      </c>
      <c r="P1597" s="5"/>
      <c r="Q1597" s="5"/>
      <c r="R1597" s="8">
        <v>2.4189814814814816E-3</v>
      </c>
      <c r="S1597" s="8">
        <v>2.3611111111111111E-3</v>
      </c>
      <c r="T1597">
        <f>IF(Tabela1[[#This Row],[STATUS_NEGOCIO]]="Enviar E-mail",1,"")</f>
        <v>1</v>
      </c>
      <c r="U1597" t="str">
        <f>TEXT(Tabela1[[#This Row],[DATA]],"dd/mm/aaaa")</f>
        <v>22/04/2026</v>
      </c>
    </row>
    <row r="1598" spans="1:21" x14ac:dyDescent="0.25">
      <c r="A1598" s="4">
        <v>46134.672361111108</v>
      </c>
      <c r="B1598" s="5" t="s">
        <v>19</v>
      </c>
      <c r="C1598" s="5" t="s">
        <v>37</v>
      </c>
      <c r="D1598" s="5">
        <v>509</v>
      </c>
      <c r="E1598" s="6">
        <v>53116705000135</v>
      </c>
      <c r="F1598" s="5">
        <v>509</v>
      </c>
      <c r="G1598" s="7">
        <v>177688489275671</v>
      </c>
      <c r="H1598" s="5" t="s">
        <v>610</v>
      </c>
      <c r="I1598" s="5">
        <v>3003</v>
      </c>
      <c r="J1598" s="5" t="s">
        <v>22</v>
      </c>
      <c r="K1598" s="5" t="s">
        <v>23</v>
      </c>
      <c r="L1598" s="5" t="s">
        <v>31</v>
      </c>
      <c r="M1598" s="5" t="s">
        <v>284</v>
      </c>
      <c r="N1598" s="5" t="s">
        <v>53</v>
      </c>
      <c r="O1598" s="5">
        <v>128</v>
      </c>
      <c r="P1598" s="5"/>
      <c r="Q1598" s="5"/>
      <c r="R1598" s="8">
        <v>8.1018518518518516E-5</v>
      </c>
      <c r="S1598" s="5" t="s">
        <v>37</v>
      </c>
      <c r="T1598" t="str">
        <f>IF(Tabela1[[#This Row],[STATUS_NEGOCIO]]="Enviar E-mail",1,"")</f>
        <v/>
      </c>
      <c r="U1598" t="str">
        <f>TEXT(Tabela1[[#This Row],[DATA]],"dd/mm/aaaa")</f>
        <v>22/04/2026</v>
      </c>
    </row>
    <row r="1599" spans="1:21" x14ac:dyDescent="0.25">
      <c r="A1599" s="4">
        <v>46134.672395833331</v>
      </c>
      <c r="B1599" s="5" t="s">
        <v>19</v>
      </c>
      <c r="C1599" s="5" t="s">
        <v>37</v>
      </c>
      <c r="D1599" s="5">
        <v>510</v>
      </c>
      <c r="E1599" s="6">
        <v>53135563000153</v>
      </c>
      <c r="F1599" s="5">
        <v>510</v>
      </c>
      <c r="G1599" s="7">
        <v>177688489575691</v>
      </c>
      <c r="H1599" s="5" t="s">
        <v>611</v>
      </c>
      <c r="I1599" s="5">
        <v>3003</v>
      </c>
      <c r="J1599" s="5" t="s">
        <v>22</v>
      </c>
      <c r="K1599" s="5" t="s">
        <v>23</v>
      </c>
      <c r="L1599" s="5" t="s">
        <v>31</v>
      </c>
      <c r="M1599" s="5" t="s">
        <v>284</v>
      </c>
      <c r="N1599" s="5" t="s">
        <v>53</v>
      </c>
      <c r="O1599" s="5">
        <v>131</v>
      </c>
      <c r="P1599" s="5"/>
      <c r="Q1599" s="5"/>
      <c r="R1599" s="8">
        <v>1.1574074074074073E-5</v>
      </c>
      <c r="S1599" s="5" t="s">
        <v>37</v>
      </c>
      <c r="T1599" t="str">
        <f>IF(Tabela1[[#This Row],[STATUS_NEGOCIO]]="Enviar E-mail",1,"")</f>
        <v/>
      </c>
      <c r="U1599" t="str">
        <f>TEXT(Tabela1[[#This Row],[DATA]],"dd/mm/aaaa")</f>
        <v>22/04/2026</v>
      </c>
    </row>
    <row r="1600" spans="1:21" x14ac:dyDescent="0.25">
      <c r="A1600" s="4">
        <v>46134.672418981485</v>
      </c>
      <c r="B1600" s="5" t="s">
        <v>19</v>
      </c>
      <c r="C1600" s="5" t="s">
        <v>37</v>
      </c>
      <c r="D1600" s="5">
        <v>511</v>
      </c>
      <c r="E1600" s="6">
        <v>53159230000164</v>
      </c>
      <c r="F1600" s="5">
        <v>511</v>
      </c>
      <c r="G1600" s="7">
        <v>177688489775711</v>
      </c>
      <c r="H1600" s="5" t="s">
        <v>612</v>
      </c>
      <c r="I1600" s="5">
        <v>3003</v>
      </c>
      <c r="J1600" s="5" t="s">
        <v>22</v>
      </c>
      <c r="K1600" s="5" t="s">
        <v>23</v>
      </c>
      <c r="L1600" s="5" t="s">
        <v>31</v>
      </c>
      <c r="M1600" s="5" t="s">
        <v>284</v>
      </c>
      <c r="N1600" s="5" t="s">
        <v>26</v>
      </c>
      <c r="O1600" s="5">
        <v>131</v>
      </c>
      <c r="P1600" s="5"/>
      <c r="Q1600" s="5"/>
      <c r="R1600" s="8">
        <v>1.0416666666666667E-4</v>
      </c>
      <c r="S1600" s="5" t="s">
        <v>37</v>
      </c>
      <c r="T1600" t="str">
        <f>IF(Tabela1[[#This Row],[STATUS_NEGOCIO]]="Enviar E-mail",1,"")</f>
        <v/>
      </c>
      <c r="U1600" t="str">
        <f>TEXT(Tabela1[[#This Row],[DATA]],"dd/mm/aaaa")</f>
        <v>22/04/2026</v>
      </c>
    </row>
    <row r="1601" spans="1:21" x14ac:dyDescent="0.25">
      <c r="A1601" s="4">
        <v>46134.672488425924</v>
      </c>
      <c r="B1601" s="5" t="s">
        <v>19</v>
      </c>
      <c r="C1601" s="5" t="s">
        <v>37</v>
      </c>
      <c r="D1601" s="5">
        <v>512</v>
      </c>
      <c r="E1601" s="6">
        <v>53380505000195</v>
      </c>
      <c r="F1601" s="5">
        <v>512</v>
      </c>
      <c r="G1601" s="7">
        <v>177688490375751</v>
      </c>
      <c r="H1601" s="5" t="s">
        <v>239</v>
      </c>
      <c r="I1601" s="5">
        <v>3003</v>
      </c>
      <c r="J1601" s="5" t="s">
        <v>22</v>
      </c>
      <c r="K1601" s="5" t="s">
        <v>23</v>
      </c>
      <c r="L1601" s="5" t="s">
        <v>31</v>
      </c>
      <c r="M1601" s="5" t="s">
        <v>284</v>
      </c>
      <c r="N1601" s="5" t="s">
        <v>53</v>
      </c>
      <c r="O1601" s="5">
        <v>128</v>
      </c>
      <c r="P1601" s="5"/>
      <c r="Q1601" s="5"/>
      <c r="R1601" s="8">
        <v>8.1018518518518516E-5</v>
      </c>
      <c r="S1601" s="5" t="s">
        <v>37</v>
      </c>
      <c r="T1601" t="str">
        <f>IF(Tabela1[[#This Row],[STATUS_NEGOCIO]]="Enviar E-mail",1,"")</f>
        <v/>
      </c>
      <c r="U1601" t="str">
        <f>TEXT(Tabela1[[#This Row],[DATA]],"dd/mm/aaaa")</f>
        <v>22/04/2026</v>
      </c>
    </row>
    <row r="1602" spans="1:21" x14ac:dyDescent="0.25">
      <c r="A1602" s="4">
        <v>46134.672488425924</v>
      </c>
      <c r="B1602" s="5" t="s">
        <v>19</v>
      </c>
      <c r="C1602" s="5" t="s">
        <v>37</v>
      </c>
      <c r="D1602" s="5">
        <v>513</v>
      </c>
      <c r="E1602" s="6">
        <v>53472383000167</v>
      </c>
      <c r="F1602" s="5">
        <v>513</v>
      </c>
      <c r="G1602" s="7">
        <v>177688490375761</v>
      </c>
      <c r="H1602" s="5" t="s">
        <v>613</v>
      </c>
      <c r="I1602" s="5">
        <v>3003</v>
      </c>
      <c r="J1602" s="5" t="s">
        <v>22</v>
      </c>
      <c r="K1602" s="5" t="s">
        <v>23</v>
      </c>
      <c r="L1602" s="5" t="s">
        <v>31</v>
      </c>
      <c r="M1602" s="5" t="s">
        <v>284</v>
      </c>
      <c r="N1602" s="5" t="s">
        <v>53</v>
      </c>
      <c r="O1602" s="5">
        <v>128</v>
      </c>
      <c r="P1602" s="5"/>
      <c r="Q1602" s="5"/>
      <c r="R1602" s="8">
        <v>6.9444444444444444E-5</v>
      </c>
      <c r="S1602" s="5" t="s">
        <v>37</v>
      </c>
      <c r="T1602" t="str">
        <f>IF(Tabela1[[#This Row],[STATUS_NEGOCIO]]="Enviar E-mail",1,"")</f>
        <v/>
      </c>
      <c r="U1602" t="str">
        <f>TEXT(Tabela1[[#This Row],[DATA]],"dd/mm/aaaa")</f>
        <v>22/04/2026</v>
      </c>
    </row>
    <row r="1603" spans="1:21" x14ac:dyDescent="0.25">
      <c r="A1603" s="4">
        <v>46134.672488425924</v>
      </c>
      <c r="B1603" s="5" t="s">
        <v>19</v>
      </c>
      <c r="C1603" s="5" t="s">
        <v>37</v>
      </c>
      <c r="D1603" s="5">
        <v>514</v>
      </c>
      <c r="E1603" s="6">
        <v>53691935000128</v>
      </c>
      <c r="F1603" s="5">
        <v>514</v>
      </c>
      <c r="G1603" s="7">
        <v>177688490375771</v>
      </c>
      <c r="H1603" s="5" t="s">
        <v>614</v>
      </c>
      <c r="I1603" s="5" t="s">
        <v>52</v>
      </c>
      <c r="J1603" s="5" t="s">
        <v>22</v>
      </c>
      <c r="K1603" s="5" t="s">
        <v>36</v>
      </c>
      <c r="L1603" s="5" t="s">
        <v>36</v>
      </c>
      <c r="M1603" s="5" t="s">
        <v>284</v>
      </c>
      <c r="N1603" s="5" t="s">
        <v>53</v>
      </c>
      <c r="O1603" s="5">
        <v>21</v>
      </c>
      <c r="P1603" s="5"/>
      <c r="Q1603" s="5"/>
      <c r="R1603" s="8">
        <v>0</v>
      </c>
      <c r="S1603" s="5" t="s">
        <v>37</v>
      </c>
      <c r="T1603" t="str">
        <f>IF(Tabela1[[#This Row],[STATUS_NEGOCIO]]="Enviar E-mail",1,"")</f>
        <v/>
      </c>
      <c r="U1603" t="str">
        <f>TEXT(Tabela1[[#This Row],[DATA]],"dd/mm/aaaa")</f>
        <v>22/04/2026</v>
      </c>
    </row>
    <row r="1604" spans="1:21" x14ac:dyDescent="0.25">
      <c r="A1604" s="4">
        <v>46134.672500000001</v>
      </c>
      <c r="B1604" s="5" t="s">
        <v>19</v>
      </c>
      <c r="C1604" s="5" t="s">
        <v>37</v>
      </c>
      <c r="D1604" s="5">
        <v>515</v>
      </c>
      <c r="E1604" s="6">
        <v>54478765000160</v>
      </c>
      <c r="F1604" s="5">
        <v>515</v>
      </c>
      <c r="G1604" s="7">
        <v>177688490475791</v>
      </c>
      <c r="H1604" s="5" t="s">
        <v>34</v>
      </c>
      <c r="I1604" s="5">
        <v>3003</v>
      </c>
      <c r="J1604" s="5" t="s">
        <v>22</v>
      </c>
      <c r="K1604" s="5" t="s">
        <v>23</v>
      </c>
      <c r="L1604" s="5" t="s">
        <v>31</v>
      </c>
      <c r="M1604" s="5" t="s">
        <v>284</v>
      </c>
      <c r="N1604" s="5" t="s">
        <v>53</v>
      </c>
      <c r="O1604" s="5">
        <v>128</v>
      </c>
      <c r="P1604" s="5"/>
      <c r="Q1604" s="5"/>
      <c r="R1604" s="8">
        <v>8.1018518518518516E-5</v>
      </c>
      <c r="S1604" s="5" t="s">
        <v>37</v>
      </c>
      <c r="T1604" t="str">
        <f>IF(Tabela1[[#This Row],[STATUS_NEGOCIO]]="Enviar E-mail",1,"")</f>
        <v/>
      </c>
      <c r="U1604" t="str">
        <f>TEXT(Tabela1[[#This Row],[DATA]],"dd/mm/aaaa")</f>
        <v>22/04/2026</v>
      </c>
    </row>
    <row r="1605" spans="1:21" x14ac:dyDescent="0.25">
      <c r="A1605" s="4">
        <v>46134.672523148147</v>
      </c>
      <c r="B1605" s="5" t="s">
        <v>19</v>
      </c>
      <c r="C1605" s="5" t="s">
        <v>37</v>
      </c>
      <c r="D1605" s="5">
        <v>516</v>
      </c>
      <c r="E1605" s="6">
        <v>55143066000122</v>
      </c>
      <c r="F1605" s="5">
        <v>516</v>
      </c>
      <c r="G1605" s="7">
        <v>177688490675811</v>
      </c>
      <c r="H1605" s="5" t="s">
        <v>92</v>
      </c>
      <c r="I1605" s="5">
        <v>3003</v>
      </c>
      <c r="J1605" s="5" t="s">
        <v>22</v>
      </c>
      <c r="K1605" s="5" t="s">
        <v>23</v>
      </c>
      <c r="L1605" s="5" t="s">
        <v>31</v>
      </c>
      <c r="M1605" s="5" t="s">
        <v>284</v>
      </c>
      <c r="N1605" s="5" t="s">
        <v>53</v>
      </c>
      <c r="O1605" s="5">
        <v>128</v>
      </c>
      <c r="P1605" s="5"/>
      <c r="Q1605" s="5"/>
      <c r="R1605" s="8">
        <v>8.1018518518518516E-5</v>
      </c>
      <c r="S1605" s="5" t="s">
        <v>37</v>
      </c>
      <c r="T1605" t="str">
        <f>IF(Tabela1[[#This Row],[STATUS_NEGOCIO]]="Enviar E-mail",1,"")</f>
        <v/>
      </c>
      <c r="U1605" t="str">
        <f>TEXT(Tabela1[[#This Row],[DATA]],"dd/mm/aaaa")</f>
        <v>22/04/2026</v>
      </c>
    </row>
    <row r="1606" spans="1:21" x14ac:dyDescent="0.25">
      <c r="A1606" s="4">
        <v>46134.672546296293</v>
      </c>
      <c r="B1606" s="5" t="s">
        <v>19</v>
      </c>
      <c r="C1606" s="5" t="s">
        <v>37</v>
      </c>
      <c r="D1606" s="5">
        <v>517</v>
      </c>
      <c r="E1606" s="6">
        <v>55385904000174</v>
      </c>
      <c r="F1606" s="5">
        <v>517</v>
      </c>
      <c r="G1606" s="7">
        <v>177688490875841</v>
      </c>
      <c r="H1606" s="5" t="s">
        <v>589</v>
      </c>
      <c r="I1606" s="5">
        <v>3003</v>
      </c>
      <c r="J1606" s="5" t="s">
        <v>22</v>
      </c>
      <c r="K1606" s="5" t="s">
        <v>23</v>
      </c>
      <c r="L1606" s="5" t="s">
        <v>31</v>
      </c>
      <c r="M1606" s="5" t="s">
        <v>284</v>
      </c>
      <c r="N1606" s="5" t="s">
        <v>53</v>
      </c>
      <c r="O1606" s="5">
        <v>147</v>
      </c>
      <c r="P1606" s="5"/>
      <c r="Q1606" s="5"/>
      <c r="R1606" s="8">
        <v>8.1018518518518516E-5</v>
      </c>
      <c r="S1606" s="5" t="s">
        <v>37</v>
      </c>
      <c r="T1606" t="str">
        <f>IF(Tabela1[[#This Row],[STATUS_NEGOCIO]]="Enviar E-mail",1,"")</f>
        <v/>
      </c>
      <c r="U1606" t="str">
        <f>TEXT(Tabela1[[#This Row],[DATA]],"dd/mm/aaaa")</f>
        <v>22/04/2026</v>
      </c>
    </row>
    <row r="1607" spans="1:21" x14ac:dyDescent="0.25">
      <c r="A1607" s="4">
        <v>46134.67260416667</v>
      </c>
      <c r="B1607" s="5" t="s">
        <v>19</v>
      </c>
      <c r="C1607" s="5" t="s">
        <v>37</v>
      </c>
      <c r="D1607" s="5">
        <v>518</v>
      </c>
      <c r="E1607" s="6">
        <v>55573642000171</v>
      </c>
      <c r="F1607" s="5">
        <v>518</v>
      </c>
      <c r="G1607" s="7">
        <v>177688491375861</v>
      </c>
      <c r="H1607" s="5" t="s">
        <v>66</v>
      </c>
      <c r="I1607" s="5">
        <v>3003</v>
      </c>
      <c r="J1607" s="5" t="s">
        <v>22</v>
      </c>
      <c r="K1607" s="5" t="s">
        <v>23</v>
      </c>
      <c r="L1607" s="5" t="s">
        <v>31</v>
      </c>
      <c r="M1607" s="5" t="s">
        <v>284</v>
      </c>
      <c r="N1607" s="5" t="s">
        <v>53</v>
      </c>
      <c r="O1607" s="5">
        <v>128</v>
      </c>
      <c r="P1607" s="5"/>
      <c r="Q1607" s="5"/>
      <c r="R1607" s="8">
        <v>8.1018518518518516E-5</v>
      </c>
      <c r="S1607" s="5" t="s">
        <v>37</v>
      </c>
      <c r="T1607" t="str">
        <f>IF(Tabela1[[#This Row],[STATUS_NEGOCIO]]="Enviar E-mail",1,"")</f>
        <v/>
      </c>
      <c r="U1607" t="str">
        <f>TEXT(Tabela1[[#This Row],[DATA]],"dd/mm/aaaa")</f>
        <v>22/04/2026</v>
      </c>
    </row>
    <row r="1608" spans="1:21" x14ac:dyDescent="0.25">
      <c r="A1608" s="4">
        <v>46134.672662037039</v>
      </c>
      <c r="B1608" s="5" t="s">
        <v>19</v>
      </c>
      <c r="C1608" s="5" t="s">
        <v>37</v>
      </c>
      <c r="D1608" s="5">
        <v>519</v>
      </c>
      <c r="E1608" s="6">
        <v>55789121000156</v>
      </c>
      <c r="F1608" s="5">
        <v>519</v>
      </c>
      <c r="G1608" s="7">
        <v>177688491875881</v>
      </c>
      <c r="H1608" s="5" t="s">
        <v>615</v>
      </c>
      <c r="I1608" s="5">
        <v>3003</v>
      </c>
      <c r="J1608" s="5" t="s">
        <v>22</v>
      </c>
      <c r="K1608" s="5" t="s">
        <v>23</v>
      </c>
      <c r="L1608" s="5" t="s">
        <v>31</v>
      </c>
      <c r="M1608" s="5" t="s">
        <v>284</v>
      </c>
      <c r="N1608" s="5" t="s">
        <v>53</v>
      </c>
      <c r="O1608" s="5">
        <v>128</v>
      </c>
      <c r="P1608" s="5"/>
      <c r="Q1608" s="5"/>
      <c r="R1608" s="8">
        <v>8.1018518518518516E-5</v>
      </c>
      <c r="S1608" s="5" t="s">
        <v>37</v>
      </c>
      <c r="T1608" t="str">
        <f>IF(Tabela1[[#This Row],[STATUS_NEGOCIO]]="Enviar E-mail",1,"")</f>
        <v/>
      </c>
      <c r="U1608" t="str">
        <f>TEXT(Tabela1[[#This Row],[DATA]],"dd/mm/aaaa")</f>
        <v>22/04/2026</v>
      </c>
    </row>
    <row r="1609" spans="1:21" x14ac:dyDescent="0.25">
      <c r="A1609" s="4">
        <v>46134.672685185185</v>
      </c>
      <c r="B1609" s="5" t="s">
        <v>19</v>
      </c>
      <c r="C1609" s="5" t="s">
        <v>37</v>
      </c>
      <c r="D1609" s="5">
        <v>520</v>
      </c>
      <c r="E1609" s="6">
        <v>56062863000148</v>
      </c>
      <c r="F1609" s="5">
        <v>520</v>
      </c>
      <c r="G1609" s="7">
        <v>177688492075911</v>
      </c>
      <c r="H1609" s="5" t="s">
        <v>242</v>
      </c>
      <c r="I1609" s="5">
        <v>3003</v>
      </c>
      <c r="J1609" s="5" t="s">
        <v>22</v>
      </c>
      <c r="K1609" s="5" t="s">
        <v>23</v>
      </c>
      <c r="L1609" s="5" t="s">
        <v>31</v>
      </c>
      <c r="M1609" s="5" t="s">
        <v>284</v>
      </c>
      <c r="N1609" s="5" t="s">
        <v>53</v>
      </c>
      <c r="O1609" s="5">
        <v>128</v>
      </c>
      <c r="P1609" s="5"/>
      <c r="Q1609" s="5"/>
      <c r="R1609" s="8">
        <v>6.9444444444444444E-5</v>
      </c>
      <c r="S1609" s="5" t="s">
        <v>37</v>
      </c>
      <c r="T1609" t="str">
        <f>IF(Tabela1[[#This Row],[STATUS_NEGOCIO]]="Enviar E-mail",1,"")</f>
        <v/>
      </c>
      <c r="U1609" t="str">
        <f>TEXT(Tabela1[[#This Row],[DATA]],"dd/mm/aaaa")</f>
        <v>22/04/2026</v>
      </c>
    </row>
    <row r="1610" spans="1:21" x14ac:dyDescent="0.25">
      <c r="A1610" s="4">
        <v>46134.672719907408</v>
      </c>
      <c r="B1610" s="5" t="s">
        <v>19</v>
      </c>
      <c r="C1610" s="5" t="s">
        <v>37</v>
      </c>
      <c r="D1610" s="5">
        <v>521</v>
      </c>
      <c r="E1610" s="6">
        <v>56199093000180</v>
      </c>
      <c r="F1610" s="5">
        <v>521</v>
      </c>
      <c r="G1610" s="7">
        <v>177688492375931</v>
      </c>
      <c r="H1610" s="5" t="s">
        <v>182</v>
      </c>
      <c r="I1610" s="5">
        <v>3003</v>
      </c>
      <c r="J1610" s="5" t="s">
        <v>22</v>
      </c>
      <c r="K1610" s="5" t="s">
        <v>23</v>
      </c>
      <c r="L1610" s="5" t="s">
        <v>31</v>
      </c>
      <c r="M1610" s="5" t="s">
        <v>284</v>
      </c>
      <c r="N1610" s="5" t="s">
        <v>53</v>
      </c>
      <c r="O1610" s="5">
        <v>128</v>
      </c>
      <c r="P1610" s="5"/>
      <c r="Q1610" s="5"/>
      <c r="R1610" s="8">
        <v>8.1018518518518516E-5</v>
      </c>
      <c r="S1610" s="5" t="s">
        <v>37</v>
      </c>
      <c r="T1610" t="str">
        <f>IF(Tabela1[[#This Row],[STATUS_NEGOCIO]]="Enviar E-mail",1,"")</f>
        <v/>
      </c>
      <c r="U1610" t="str">
        <f>TEXT(Tabela1[[#This Row],[DATA]],"dd/mm/aaaa")</f>
        <v>22/04/2026</v>
      </c>
    </row>
    <row r="1611" spans="1:21" x14ac:dyDescent="0.25">
      <c r="A1611" s="4">
        <v>46134.672743055555</v>
      </c>
      <c r="B1611" s="5" t="s">
        <v>19</v>
      </c>
      <c r="C1611" s="5" t="s">
        <v>37</v>
      </c>
      <c r="D1611" s="5">
        <v>522</v>
      </c>
      <c r="E1611" s="6">
        <v>56227513000194</v>
      </c>
      <c r="F1611" s="5">
        <v>522</v>
      </c>
      <c r="G1611" s="7">
        <v>177688492575941</v>
      </c>
      <c r="H1611" s="5" t="s">
        <v>616</v>
      </c>
      <c r="I1611" s="5">
        <v>3003</v>
      </c>
      <c r="J1611" s="5" t="s">
        <v>22</v>
      </c>
      <c r="K1611" s="5" t="s">
        <v>23</v>
      </c>
      <c r="L1611" s="5" t="s">
        <v>31</v>
      </c>
      <c r="M1611" s="5" t="s">
        <v>284</v>
      </c>
      <c r="N1611" s="5" t="s">
        <v>53</v>
      </c>
      <c r="O1611" s="5">
        <v>128</v>
      </c>
      <c r="P1611" s="5"/>
      <c r="Q1611" s="5"/>
      <c r="R1611" s="8">
        <v>8.1018518518518516E-5</v>
      </c>
      <c r="S1611" s="5" t="s">
        <v>37</v>
      </c>
      <c r="T1611" t="str">
        <f>IF(Tabela1[[#This Row],[STATUS_NEGOCIO]]="Enviar E-mail",1,"")</f>
        <v/>
      </c>
      <c r="U1611" t="str">
        <f>TEXT(Tabela1[[#This Row],[DATA]],"dd/mm/aaaa")</f>
        <v>22/04/2026</v>
      </c>
    </row>
    <row r="1612" spans="1:21" x14ac:dyDescent="0.25">
      <c r="A1612" s="4">
        <v>46134.672824074078</v>
      </c>
      <c r="B1612" s="5" t="s">
        <v>19</v>
      </c>
      <c r="C1612" s="5" t="s">
        <v>37</v>
      </c>
      <c r="D1612" s="5">
        <v>523</v>
      </c>
      <c r="E1612" s="6">
        <v>56932666000132</v>
      </c>
      <c r="F1612" s="5">
        <v>523</v>
      </c>
      <c r="G1612" s="7">
        <v>177688493275961</v>
      </c>
      <c r="H1612" s="5" t="s">
        <v>617</v>
      </c>
      <c r="I1612" s="5" t="s">
        <v>52</v>
      </c>
      <c r="J1612" s="5" t="s">
        <v>22</v>
      </c>
      <c r="K1612" s="5" t="s">
        <v>62</v>
      </c>
      <c r="L1612" s="5" t="s">
        <v>62</v>
      </c>
      <c r="M1612" s="5" t="s">
        <v>284</v>
      </c>
      <c r="N1612" s="5" t="s">
        <v>53</v>
      </c>
      <c r="O1612" s="5">
        <v>17</v>
      </c>
      <c r="P1612" s="5"/>
      <c r="Q1612" s="5"/>
      <c r="R1612" s="8">
        <v>0</v>
      </c>
      <c r="S1612" s="5" t="s">
        <v>37</v>
      </c>
      <c r="T1612" t="str">
        <f>IF(Tabela1[[#This Row],[STATUS_NEGOCIO]]="Enviar E-mail",1,"")</f>
        <v/>
      </c>
      <c r="U1612" t="str">
        <f>TEXT(Tabela1[[#This Row],[DATA]],"dd/mm/aaaa")</f>
        <v>22/04/2026</v>
      </c>
    </row>
    <row r="1613" spans="1:21" x14ac:dyDescent="0.25">
      <c r="A1613" s="4">
        <v>46134.672905092593</v>
      </c>
      <c r="B1613" s="5" t="s">
        <v>19</v>
      </c>
      <c r="C1613" s="5" t="s">
        <v>37</v>
      </c>
      <c r="D1613" s="5">
        <v>524</v>
      </c>
      <c r="E1613" s="6">
        <v>57170375000460</v>
      </c>
      <c r="F1613" s="5">
        <v>524</v>
      </c>
      <c r="G1613" s="7">
        <v>177688493975981</v>
      </c>
      <c r="H1613" s="5" t="s">
        <v>618</v>
      </c>
      <c r="I1613" s="5">
        <v>3003</v>
      </c>
      <c r="J1613" s="5" t="s">
        <v>22</v>
      </c>
      <c r="K1613" s="5" t="s">
        <v>23</v>
      </c>
      <c r="L1613" s="5" t="s">
        <v>31</v>
      </c>
      <c r="M1613" s="5" t="s">
        <v>284</v>
      </c>
      <c r="N1613" s="5" t="s">
        <v>53</v>
      </c>
      <c r="O1613" s="5">
        <v>128</v>
      </c>
      <c r="P1613" s="5"/>
      <c r="Q1613" s="5"/>
      <c r="R1613" s="8">
        <v>8.1018518518518516E-5</v>
      </c>
      <c r="S1613" s="5" t="s">
        <v>37</v>
      </c>
      <c r="T1613" t="str">
        <f>IF(Tabela1[[#This Row],[STATUS_NEGOCIO]]="Enviar E-mail",1,"")</f>
        <v/>
      </c>
      <c r="U1613" t="str">
        <f>TEXT(Tabela1[[#This Row],[DATA]],"dd/mm/aaaa")</f>
        <v>22/04/2026</v>
      </c>
    </row>
    <row r="1614" spans="1:21" x14ac:dyDescent="0.25">
      <c r="A1614" s="4">
        <v>46134.672905092593</v>
      </c>
      <c r="B1614" s="5" t="s">
        <v>19</v>
      </c>
      <c r="C1614" s="5" t="s">
        <v>37</v>
      </c>
      <c r="D1614" s="5">
        <v>525</v>
      </c>
      <c r="E1614" s="6">
        <v>57188457000199</v>
      </c>
      <c r="F1614" s="5">
        <v>525</v>
      </c>
      <c r="G1614" s="7">
        <v>177688493976001</v>
      </c>
      <c r="H1614" s="5" t="s">
        <v>198</v>
      </c>
      <c r="I1614" s="5">
        <v>3003</v>
      </c>
      <c r="J1614" s="5" t="s">
        <v>22</v>
      </c>
      <c r="K1614" s="5" t="s">
        <v>23</v>
      </c>
      <c r="L1614" s="5" t="s">
        <v>31</v>
      </c>
      <c r="M1614" s="5" t="s">
        <v>284</v>
      </c>
      <c r="N1614" s="5" t="s">
        <v>53</v>
      </c>
      <c r="O1614" s="5">
        <v>128</v>
      </c>
      <c r="P1614" s="5"/>
      <c r="Q1614" s="5"/>
      <c r="R1614" s="8">
        <v>6.9444444444444444E-5</v>
      </c>
      <c r="S1614" s="5" t="s">
        <v>37</v>
      </c>
      <c r="T1614" t="str">
        <f>IF(Tabela1[[#This Row],[STATUS_NEGOCIO]]="Enviar E-mail",1,"")</f>
        <v/>
      </c>
      <c r="U1614" t="str">
        <f>TEXT(Tabela1[[#This Row],[DATA]],"dd/mm/aaaa")</f>
        <v>22/04/2026</v>
      </c>
    </row>
    <row r="1615" spans="1:21" x14ac:dyDescent="0.25">
      <c r="A1615" s="4">
        <v>46134.67292824074</v>
      </c>
      <c r="B1615" s="5" t="s">
        <v>19</v>
      </c>
      <c r="C1615" s="5" t="s">
        <v>37</v>
      </c>
      <c r="D1615" s="5">
        <v>526</v>
      </c>
      <c r="E1615" s="6">
        <v>57213863000164</v>
      </c>
      <c r="F1615" s="5">
        <v>526</v>
      </c>
      <c r="G1615" s="7">
        <v>177688494176021</v>
      </c>
      <c r="H1615" s="5" t="s">
        <v>91</v>
      </c>
      <c r="I1615" s="5">
        <v>3003</v>
      </c>
      <c r="J1615" s="5" t="s">
        <v>22</v>
      </c>
      <c r="K1615" s="5" t="s">
        <v>23</v>
      </c>
      <c r="L1615" s="5" t="s">
        <v>31</v>
      </c>
      <c r="M1615" s="5" t="s">
        <v>284</v>
      </c>
      <c r="N1615" s="5" t="s">
        <v>53</v>
      </c>
      <c r="O1615" s="5">
        <v>147</v>
      </c>
      <c r="P1615" s="5"/>
      <c r="Q1615" s="5"/>
      <c r="R1615" s="8">
        <v>8.1018518518518516E-5</v>
      </c>
      <c r="S1615" s="5" t="s">
        <v>37</v>
      </c>
      <c r="T1615" t="str">
        <f>IF(Tabela1[[#This Row],[STATUS_NEGOCIO]]="Enviar E-mail",1,"")</f>
        <v/>
      </c>
      <c r="U1615" t="str">
        <f>TEXT(Tabela1[[#This Row],[DATA]],"dd/mm/aaaa")</f>
        <v>22/04/2026</v>
      </c>
    </row>
    <row r="1616" spans="1:21" x14ac:dyDescent="0.25">
      <c r="A1616" s="4">
        <v>46134.673043981478</v>
      </c>
      <c r="B1616" s="5" t="s">
        <v>19</v>
      </c>
      <c r="C1616" s="5" t="s">
        <v>37</v>
      </c>
      <c r="D1616" s="5">
        <v>527</v>
      </c>
      <c r="E1616" s="6">
        <v>57348787000102</v>
      </c>
      <c r="F1616" s="5">
        <v>527</v>
      </c>
      <c r="G1616" s="7">
        <v>177688495176051</v>
      </c>
      <c r="H1616" s="5" t="s">
        <v>619</v>
      </c>
      <c r="I1616" s="5">
        <v>3003</v>
      </c>
      <c r="J1616" s="5" t="s">
        <v>22</v>
      </c>
      <c r="K1616" s="5" t="s">
        <v>23</v>
      </c>
      <c r="L1616" s="5" t="s">
        <v>31</v>
      </c>
      <c r="M1616" s="5" t="s">
        <v>284</v>
      </c>
      <c r="N1616" s="5" t="s">
        <v>53</v>
      </c>
      <c r="O1616" s="5">
        <v>128</v>
      </c>
      <c r="P1616" s="5"/>
      <c r="Q1616" s="5"/>
      <c r="R1616" s="8">
        <v>8.1018518518518516E-5</v>
      </c>
      <c r="S1616" s="5" t="s">
        <v>37</v>
      </c>
      <c r="T1616" t="str">
        <f>IF(Tabela1[[#This Row],[STATUS_NEGOCIO]]="Enviar E-mail",1,"")</f>
        <v/>
      </c>
      <c r="U1616" t="str">
        <f>TEXT(Tabela1[[#This Row],[DATA]],"dd/mm/aaaa")</f>
        <v>22/04/2026</v>
      </c>
    </row>
    <row r="1617" spans="1:21" x14ac:dyDescent="0.25">
      <c r="A1617" s="4">
        <v>46134.673043981478</v>
      </c>
      <c r="B1617" s="5" t="s">
        <v>19</v>
      </c>
      <c r="C1617" s="5" t="s">
        <v>37</v>
      </c>
      <c r="D1617" s="5">
        <v>528</v>
      </c>
      <c r="E1617" s="6">
        <v>57769577000180</v>
      </c>
      <c r="F1617" s="5">
        <v>528</v>
      </c>
      <c r="G1617" s="7">
        <v>177688495176061</v>
      </c>
      <c r="H1617" s="5" t="s">
        <v>60</v>
      </c>
      <c r="I1617" s="5">
        <v>3003</v>
      </c>
      <c r="J1617" s="5" t="s">
        <v>22</v>
      </c>
      <c r="K1617" s="5" t="s">
        <v>23</v>
      </c>
      <c r="L1617" s="5" t="s">
        <v>31</v>
      </c>
      <c r="M1617" s="5" t="s">
        <v>284</v>
      </c>
      <c r="N1617" s="5" t="s">
        <v>53</v>
      </c>
      <c r="O1617" s="5">
        <v>147</v>
      </c>
      <c r="P1617" s="5"/>
      <c r="Q1617" s="5"/>
      <c r="R1617" s="8">
        <v>8.1018518518518516E-5</v>
      </c>
      <c r="S1617" s="5" t="s">
        <v>37</v>
      </c>
      <c r="T1617" t="str">
        <f>IF(Tabela1[[#This Row],[STATUS_NEGOCIO]]="Enviar E-mail",1,"")</f>
        <v/>
      </c>
      <c r="U1617" t="str">
        <f>TEXT(Tabela1[[#This Row],[DATA]],"dd/mm/aaaa")</f>
        <v>22/04/2026</v>
      </c>
    </row>
    <row r="1618" spans="1:21" x14ac:dyDescent="0.25">
      <c r="A1618" s="4">
        <v>46134.673067129632</v>
      </c>
      <c r="B1618" s="5" t="s">
        <v>19</v>
      </c>
      <c r="C1618" s="5" t="s">
        <v>37</v>
      </c>
      <c r="D1618" s="5">
        <v>529</v>
      </c>
      <c r="E1618" s="6">
        <v>58196686000118</v>
      </c>
      <c r="F1618" s="5">
        <v>529</v>
      </c>
      <c r="G1618" s="7">
        <v>177688495376081</v>
      </c>
      <c r="H1618" s="5" t="s">
        <v>242</v>
      </c>
      <c r="I1618" s="5">
        <v>3003</v>
      </c>
      <c r="J1618" s="5" t="s">
        <v>22</v>
      </c>
      <c r="K1618" s="5" t="s">
        <v>23</v>
      </c>
      <c r="L1618" s="5" t="s">
        <v>31</v>
      </c>
      <c r="M1618" s="5" t="s">
        <v>284</v>
      </c>
      <c r="N1618" s="5" t="s">
        <v>53</v>
      </c>
      <c r="O1618" s="5">
        <v>128</v>
      </c>
      <c r="P1618" s="5"/>
      <c r="Q1618" s="5"/>
      <c r="R1618" s="8">
        <v>6.9444444444444444E-5</v>
      </c>
      <c r="S1618" s="5" t="s">
        <v>37</v>
      </c>
      <c r="T1618" t="str">
        <f>IF(Tabela1[[#This Row],[STATUS_NEGOCIO]]="Enviar E-mail",1,"")</f>
        <v/>
      </c>
      <c r="U1618" t="str">
        <f>TEXT(Tabela1[[#This Row],[DATA]],"dd/mm/aaaa")</f>
        <v>22/04/2026</v>
      </c>
    </row>
    <row r="1619" spans="1:21" x14ac:dyDescent="0.25">
      <c r="A1619" s="4">
        <v>46134.673090277778</v>
      </c>
      <c r="B1619" s="5" t="s">
        <v>19</v>
      </c>
      <c r="C1619" s="5" t="s">
        <v>37</v>
      </c>
      <c r="D1619" s="5">
        <v>530</v>
      </c>
      <c r="E1619" s="6">
        <v>58476582000167</v>
      </c>
      <c r="F1619" s="5">
        <v>530</v>
      </c>
      <c r="G1619" s="7">
        <v>177688495576101</v>
      </c>
      <c r="H1619" s="5" t="s">
        <v>189</v>
      </c>
      <c r="I1619" s="5">
        <v>3003</v>
      </c>
      <c r="J1619" s="5" t="s">
        <v>22</v>
      </c>
      <c r="K1619" s="5" t="s">
        <v>23</v>
      </c>
      <c r="L1619" s="5" t="s">
        <v>31</v>
      </c>
      <c r="M1619" s="5" t="s">
        <v>284</v>
      </c>
      <c r="N1619" s="5" t="s">
        <v>53</v>
      </c>
      <c r="O1619" s="5">
        <v>128</v>
      </c>
      <c r="P1619" s="5"/>
      <c r="Q1619" s="5"/>
      <c r="R1619" s="8">
        <v>8.1018518518518516E-5</v>
      </c>
      <c r="S1619" s="5" t="s">
        <v>37</v>
      </c>
      <c r="T1619" t="str">
        <f>IF(Tabela1[[#This Row],[STATUS_NEGOCIO]]="Enviar E-mail",1,"")</f>
        <v/>
      </c>
      <c r="U1619" t="str">
        <f>TEXT(Tabela1[[#This Row],[DATA]],"dd/mm/aaaa")</f>
        <v>22/04/2026</v>
      </c>
    </row>
    <row r="1620" spans="1:21" x14ac:dyDescent="0.25">
      <c r="A1620" s="4">
        <v>46134.673159722224</v>
      </c>
      <c r="B1620" s="5" t="s">
        <v>19</v>
      </c>
      <c r="C1620" s="5" t="s">
        <v>37</v>
      </c>
      <c r="D1620" s="5">
        <v>531</v>
      </c>
      <c r="E1620" s="6">
        <v>59138749000142</v>
      </c>
      <c r="F1620" s="5">
        <v>531</v>
      </c>
      <c r="G1620" s="7">
        <v>177688496176121</v>
      </c>
      <c r="H1620" s="5" t="s">
        <v>620</v>
      </c>
      <c r="I1620" s="5">
        <v>3003</v>
      </c>
      <c r="J1620" s="5" t="s">
        <v>22</v>
      </c>
      <c r="K1620" s="5" t="s">
        <v>23</v>
      </c>
      <c r="L1620" s="5" t="s">
        <v>31</v>
      </c>
      <c r="M1620" s="5" t="s">
        <v>284</v>
      </c>
      <c r="N1620" s="5" t="s">
        <v>53</v>
      </c>
      <c r="O1620" s="5">
        <v>128</v>
      </c>
      <c r="P1620" s="5"/>
      <c r="Q1620" s="5"/>
      <c r="R1620" s="8">
        <v>8.1018518518518516E-5</v>
      </c>
      <c r="S1620" s="5" t="s">
        <v>37</v>
      </c>
      <c r="T1620" t="str">
        <f>IF(Tabela1[[#This Row],[STATUS_NEGOCIO]]="Enviar E-mail",1,"")</f>
        <v/>
      </c>
      <c r="U1620" t="str">
        <f>TEXT(Tabela1[[#This Row],[DATA]],"dd/mm/aaaa")</f>
        <v>22/04/2026</v>
      </c>
    </row>
    <row r="1621" spans="1:21" x14ac:dyDescent="0.25">
      <c r="A1621" s="4">
        <v>46134.673217592594</v>
      </c>
      <c r="B1621" s="5" t="s">
        <v>19</v>
      </c>
      <c r="C1621" s="5" t="s">
        <v>37</v>
      </c>
      <c r="D1621" s="5">
        <v>533</v>
      </c>
      <c r="E1621" s="6">
        <v>59597687000137</v>
      </c>
      <c r="F1621" s="5">
        <v>533</v>
      </c>
      <c r="G1621" s="7">
        <v>177688496676131</v>
      </c>
      <c r="H1621" s="5" t="s">
        <v>87</v>
      </c>
      <c r="I1621" s="5">
        <v>3003</v>
      </c>
      <c r="J1621" s="5" t="s">
        <v>22</v>
      </c>
      <c r="K1621" s="5" t="s">
        <v>23</v>
      </c>
      <c r="L1621" s="5" t="s">
        <v>31</v>
      </c>
      <c r="M1621" s="5" t="s">
        <v>284</v>
      </c>
      <c r="N1621" s="5" t="s">
        <v>53</v>
      </c>
      <c r="O1621" s="5">
        <v>128</v>
      </c>
      <c r="P1621" s="5"/>
      <c r="Q1621" s="5"/>
      <c r="R1621" s="8">
        <v>8.1018518518518516E-5</v>
      </c>
      <c r="S1621" s="5" t="s">
        <v>37</v>
      </c>
      <c r="T1621" t="str">
        <f>IF(Tabela1[[#This Row],[STATUS_NEGOCIO]]="Enviar E-mail",1,"")</f>
        <v/>
      </c>
      <c r="U1621" t="str">
        <f>TEXT(Tabela1[[#This Row],[DATA]],"dd/mm/aaaa")</f>
        <v>22/04/2026</v>
      </c>
    </row>
    <row r="1622" spans="1:21" x14ac:dyDescent="0.25">
      <c r="A1622" s="4">
        <v>46134.67324074074</v>
      </c>
      <c r="B1622" s="5" t="s">
        <v>19</v>
      </c>
      <c r="C1622" s="5" t="s">
        <v>37</v>
      </c>
      <c r="D1622" s="5">
        <v>534</v>
      </c>
      <c r="E1622" s="6">
        <v>59958760000159</v>
      </c>
      <c r="F1622" s="5">
        <v>534</v>
      </c>
      <c r="G1622" s="7">
        <v>177688496876151</v>
      </c>
      <c r="H1622" s="5" t="s">
        <v>621</v>
      </c>
      <c r="I1622" s="5">
        <v>3003</v>
      </c>
      <c r="J1622" s="5" t="s">
        <v>22</v>
      </c>
      <c r="K1622" s="5" t="s">
        <v>23</v>
      </c>
      <c r="L1622" s="5" t="s">
        <v>31</v>
      </c>
      <c r="M1622" s="5" t="s">
        <v>284</v>
      </c>
      <c r="N1622" s="5" t="s">
        <v>53</v>
      </c>
      <c r="O1622" s="5">
        <v>128</v>
      </c>
      <c r="P1622" s="5"/>
      <c r="Q1622" s="5"/>
      <c r="R1622" s="8">
        <v>8.1018518518518516E-5</v>
      </c>
      <c r="S1622" s="5" t="s">
        <v>37</v>
      </c>
      <c r="T1622" t="str">
        <f>IF(Tabela1[[#This Row],[STATUS_NEGOCIO]]="Enviar E-mail",1,"")</f>
        <v/>
      </c>
      <c r="U1622" t="str">
        <f>TEXT(Tabela1[[#This Row],[DATA]],"dd/mm/aaaa")</f>
        <v>22/04/2026</v>
      </c>
    </row>
    <row r="1623" spans="1:21" x14ac:dyDescent="0.25">
      <c r="A1623" s="4">
        <v>46134.673252314817</v>
      </c>
      <c r="B1623" s="5" t="s">
        <v>19</v>
      </c>
      <c r="C1623" s="5" t="s">
        <v>37</v>
      </c>
      <c r="D1623" s="5">
        <v>535</v>
      </c>
      <c r="E1623" s="6">
        <v>60710938000127</v>
      </c>
      <c r="F1623" s="5">
        <v>535</v>
      </c>
      <c r="G1623" s="7">
        <v>177688496976171</v>
      </c>
      <c r="H1623" s="5" t="s">
        <v>57</v>
      </c>
      <c r="I1623" s="5">
        <v>3003</v>
      </c>
      <c r="J1623" s="5" t="s">
        <v>22</v>
      </c>
      <c r="K1623" s="5" t="s">
        <v>23</v>
      </c>
      <c r="L1623" s="5" t="s">
        <v>31</v>
      </c>
      <c r="M1623" s="5" t="s">
        <v>284</v>
      </c>
      <c r="N1623" s="5" t="s">
        <v>53</v>
      </c>
      <c r="O1623" s="5">
        <v>128</v>
      </c>
      <c r="P1623" s="5"/>
      <c r="Q1623" s="5"/>
      <c r="R1623" s="8">
        <v>8.1018518518518516E-5</v>
      </c>
      <c r="S1623" s="5" t="s">
        <v>37</v>
      </c>
      <c r="T1623" t="str">
        <f>IF(Tabela1[[#This Row],[STATUS_NEGOCIO]]="Enviar E-mail",1,"")</f>
        <v/>
      </c>
      <c r="U1623" t="str">
        <f>TEXT(Tabela1[[#This Row],[DATA]],"dd/mm/aaaa")</f>
        <v>22/04/2026</v>
      </c>
    </row>
    <row r="1624" spans="1:21" x14ac:dyDescent="0.25">
      <c r="A1624" s="4">
        <v>46134.673275462963</v>
      </c>
      <c r="B1624" s="5" t="s">
        <v>19</v>
      </c>
      <c r="C1624" s="5" t="s">
        <v>37</v>
      </c>
      <c r="D1624" s="5">
        <v>536</v>
      </c>
      <c r="E1624" s="6">
        <v>61917457000150</v>
      </c>
      <c r="F1624" s="5">
        <v>536</v>
      </c>
      <c r="G1624" s="7">
        <v>177688497176191</v>
      </c>
      <c r="H1624" s="5" t="s">
        <v>622</v>
      </c>
      <c r="I1624" s="5">
        <v>3003</v>
      </c>
      <c r="J1624" s="5" t="s">
        <v>22</v>
      </c>
      <c r="K1624" s="5" t="s">
        <v>23</v>
      </c>
      <c r="L1624" s="5" t="s">
        <v>31</v>
      </c>
      <c r="M1624" s="5" t="s">
        <v>284</v>
      </c>
      <c r="N1624" s="5" t="s">
        <v>53</v>
      </c>
      <c r="O1624" s="5">
        <v>128</v>
      </c>
      <c r="P1624" s="5"/>
      <c r="Q1624" s="5"/>
      <c r="R1624" s="8">
        <v>8.1018518518518516E-5</v>
      </c>
      <c r="S1624" s="5" t="s">
        <v>37</v>
      </c>
      <c r="T1624" t="str">
        <f>IF(Tabela1[[#This Row],[STATUS_NEGOCIO]]="Enviar E-mail",1,"")</f>
        <v/>
      </c>
      <c r="U1624" t="str">
        <f>TEXT(Tabela1[[#This Row],[DATA]],"dd/mm/aaaa")</f>
        <v>22/04/2026</v>
      </c>
    </row>
    <row r="1625" spans="1:21" x14ac:dyDescent="0.25">
      <c r="A1625" s="4">
        <v>46134.673310185186</v>
      </c>
      <c r="B1625" s="5" t="s">
        <v>19</v>
      </c>
      <c r="C1625" s="5" t="s">
        <v>37</v>
      </c>
      <c r="D1625" s="5">
        <v>537</v>
      </c>
      <c r="E1625" s="6">
        <v>63110255000127</v>
      </c>
      <c r="F1625" s="5">
        <v>537</v>
      </c>
      <c r="G1625" s="7">
        <v>177688497476211</v>
      </c>
      <c r="H1625" s="5" t="s">
        <v>623</v>
      </c>
      <c r="I1625" s="5">
        <v>3003</v>
      </c>
      <c r="J1625" s="5" t="s">
        <v>22</v>
      </c>
      <c r="K1625" s="5" t="s">
        <v>23</v>
      </c>
      <c r="L1625" s="5" t="s">
        <v>31</v>
      </c>
      <c r="M1625" s="5" t="s">
        <v>284</v>
      </c>
      <c r="N1625" s="5" t="s">
        <v>53</v>
      </c>
      <c r="O1625" s="5">
        <v>128</v>
      </c>
      <c r="P1625" s="5"/>
      <c r="Q1625" s="5"/>
      <c r="R1625" s="8">
        <v>8.1018518518518516E-5</v>
      </c>
      <c r="S1625" s="5" t="s">
        <v>37</v>
      </c>
      <c r="T1625" t="str">
        <f>IF(Tabela1[[#This Row],[STATUS_NEGOCIO]]="Enviar E-mail",1,"")</f>
        <v/>
      </c>
      <c r="U1625" t="str">
        <f>TEXT(Tabela1[[#This Row],[DATA]],"dd/mm/aaaa")</f>
        <v>22/04/2026</v>
      </c>
    </row>
    <row r="1626" spans="1:21" x14ac:dyDescent="0.25">
      <c r="A1626" s="4">
        <v>46134.673391203702</v>
      </c>
      <c r="B1626" s="5" t="s">
        <v>19</v>
      </c>
      <c r="C1626" s="5" t="s">
        <v>37</v>
      </c>
      <c r="D1626" s="5">
        <v>538</v>
      </c>
      <c r="E1626" s="6">
        <v>68615988000137</v>
      </c>
      <c r="F1626" s="5">
        <v>538</v>
      </c>
      <c r="G1626" s="7">
        <v>177688498176231</v>
      </c>
      <c r="H1626" s="5" t="s">
        <v>232</v>
      </c>
      <c r="I1626" s="5">
        <v>3003</v>
      </c>
      <c r="J1626" s="5" t="s">
        <v>22</v>
      </c>
      <c r="K1626" s="5" t="s">
        <v>23</v>
      </c>
      <c r="L1626" s="5" t="s">
        <v>31</v>
      </c>
      <c r="M1626" s="5" t="s">
        <v>284</v>
      </c>
      <c r="N1626" s="5" t="s">
        <v>53</v>
      </c>
      <c r="O1626" s="5">
        <v>128</v>
      </c>
      <c r="P1626" s="5"/>
      <c r="Q1626" s="5"/>
      <c r="R1626" s="8">
        <v>8.1018518518518516E-5</v>
      </c>
      <c r="S1626" s="5" t="s">
        <v>37</v>
      </c>
      <c r="T1626" t="str">
        <f>IF(Tabela1[[#This Row],[STATUS_NEGOCIO]]="Enviar E-mail",1,"")</f>
        <v/>
      </c>
      <c r="U1626" t="str">
        <f>TEXT(Tabela1[[#This Row],[DATA]],"dd/mm/aaaa")</f>
        <v>22/04/2026</v>
      </c>
    </row>
    <row r="1627" spans="1:21" x14ac:dyDescent="0.25">
      <c r="A1627" s="4">
        <v>46134.673437500001</v>
      </c>
      <c r="B1627" s="5" t="s">
        <v>19</v>
      </c>
      <c r="C1627" s="5" t="s">
        <v>37</v>
      </c>
      <c r="D1627" s="5">
        <v>539</v>
      </c>
      <c r="E1627" s="6">
        <v>68654938000169</v>
      </c>
      <c r="F1627" s="5">
        <v>539</v>
      </c>
      <c r="G1627" s="7">
        <v>177688498576251</v>
      </c>
      <c r="H1627" s="5" t="s">
        <v>197</v>
      </c>
      <c r="I1627" s="5">
        <v>3003</v>
      </c>
      <c r="J1627" s="5" t="s">
        <v>22</v>
      </c>
      <c r="K1627" s="5" t="s">
        <v>23</v>
      </c>
      <c r="L1627" s="5" t="s">
        <v>31</v>
      </c>
      <c r="M1627" s="5" t="s">
        <v>284</v>
      </c>
      <c r="N1627" s="5" t="s">
        <v>53</v>
      </c>
      <c r="O1627" s="5">
        <v>128</v>
      </c>
      <c r="P1627" s="5"/>
      <c r="Q1627" s="5"/>
      <c r="R1627" s="8">
        <v>8.1018518518518516E-5</v>
      </c>
      <c r="S1627" s="5" t="s">
        <v>37</v>
      </c>
      <c r="T1627" t="str">
        <f>IF(Tabela1[[#This Row],[STATUS_NEGOCIO]]="Enviar E-mail",1,"")</f>
        <v/>
      </c>
      <c r="U1627" t="str">
        <f>TEXT(Tabela1[[#This Row],[DATA]],"dd/mm/aaaa")</f>
        <v>22/04/2026</v>
      </c>
    </row>
    <row r="1628" spans="1:21" x14ac:dyDescent="0.25">
      <c r="A1628" s="4">
        <v>46134.673449074071</v>
      </c>
      <c r="B1628" s="5" t="s">
        <v>19</v>
      </c>
      <c r="C1628" s="5" t="s">
        <v>37</v>
      </c>
      <c r="D1628" s="5">
        <v>540</v>
      </c>
      <c r="E1628" s="6">
        <v>68842905000142</v>
      </c>
      <c r="F1628" s="5">
        <v>540</v>
      </c>
      <c r="G1628" s="7">
        <v>177688498676271</v>
      </c>
      <c r="H1628" s="5" t="s">
        <v>624</v>
      </c>
      <c r="I1628" s="5">
        <v>3003</v>
      </c>
      <c r="J1628" s="5" t="s">
        <v>22</v>
      </c>
      <c r="K1628" s="5" t="s">
        <v>23</v>
      </c>
      <c r="L1628" s="5" t="s">
        <v>31</v>
      </c>
      <c r="M1628" s="5" t="s">
        <v>284</v>
      </c>
      <c r="N1628" s="5" t="s">
        <v>53</v>
      </c>
      <c r="O1628" s="5">
        <v>128</v>
      </c>
      <c r="P1628" s="5"/>
      <c r="Q1628" s="5"/>
      <c r="R1628" s="8">
        <v>8.1018518518518516E-5</v>
      </c>
      <c r="S1628" s="5" t="s">
        <v>37</v>
      </c>
      <c r="T1628" t="str">
        <f>IF(Tabela1[[#This Row],[STATUS_NEGOCIO]]="Enviar E-mail",1,"")</f>
        <v/>
      </c>
      <c r="U1628" t="str">
        <f>TEXT(Tabela1[[#This Row],[DATA]],"dd/mm/aaaa")</f>
        <v>22/04/2026</v>
      </c>
    </row>
    <row r="1629" spans="1:21" x14ac:dyDescent="0.25">
      <c r="A1629" s="4">
        <v>46134.673518518517</v>
      </c>
      <c r="B1629" s="5" t="s">
        <v>19</v>
      </c>
      <c r="C1629" s="5" t="s">
        <v>37</v>
      </c>
      <c r="D1629" s="5">
        <v>541</v>
      </c>
      <c r="E1629" s="6">
        <v>72357726000197</v>
      </c>
      <c r="F1629" s="5">
        <v>541</v>
      </c>
      <c r="G1629" s="7">
        <v>177688499276291</v>
      </c>
      <c r="H1629" s="5" t="s">
        <v>625</v>
      </c>
      <c r="I1629" s="5">
        <v>3003</v>
      </c>
      <c r="J1629" s="5" t="s">
        <v>22</v>
      </c>
      <c r="K1629" s="5" t="s">
        <v>23</v>
      </c>
      <c r="L1629" s="5" t="s">
        <v>31</v>
      </c>
      <c r="M1629" s="5" t="s">
        <v>284</v>
      </c>
      <c r="N1629" s="5" t="s">
        <v>53</v>
      </c>
      <c r="O1629" s="5">
        <v>128</v>
      </c>
      <c r="P1629" s="5"/>
      <c r="Q1629" s="5"/>
      <c r="R1629" s="8">
        <v>8.1018518518518516E-5</v>
      </c>
      <c r="S1629" s="5" t="s">
        <v>37</v>
      </c>
      <c r="T1629" t="str">
        <f>IF(Tabela1[[#This Row],[STATUS_NEGOCIO]]="Enviar E-mail",1,"")</f>
        <v/>
      </c>
      <c r="U1629" t="str">
        <f>TEXT(Tabela1[[#This Row],[DATA]],"dd/mm/aaaa")</f>
        <v>22/04/2026</v>
      </c>
    </row>
    <row r="1630" spans="1:21" x14ac:dyDescent="0.25">
      <c r="A1630" s="4">
        <v>46134.673622685186</v>
      </c>
      <c r="B1630" s="5" t="s">
        <v>19</v>
      </c>
      <c r="C1630" s="5" t="s">
        <v>37</v>
      </c>
      <c r="D1630" s="5">
        <v>542</v>
      </c>
      <c r="E1630" s="6">
        <v>72493794000183</v>
      </c>
      <c r="F1630" s="5">
        <v>542</v>
      </c>
      <c r="G1630" s="7">
        <v>177688500176321</v>
      </c>
      <c r="H1630" s="5" t="s">
        <v>626</v>
      </c>
      <c r="I1630" s="5">
        <v>3003</v>
      </c>
      <c r="J1630" s="5" t="s">
        <v>22</v>
      </c>
      <c r="K1630" s="5" t="s">
        <v>23</v>
      </c>
      <c r="L1630" s="5" t="s">
        <v>31</v>
      </c>
      <c r="M1630" s="5" t="s">
        <v>284</v>
      </c>
      <c r="N1630" s="5" t="s">
        <v>53</v>
      </c>
      <c r="O1630" s="5">
        <v>128</v>
      </c>
      <c r="P1630" s="5"/>
      <c r="Q1630" s="5"/>
      <c r="R1630" s="8">
        <v>8.1018518518518516E-5</v>
      </c>
      <c r="S1630" s="5" t="s">
        <v>37</v>
      </c>
      <c r="T1630" t="str">
        <f>IF(Tabela1[[#This Row],[STATUS_NEGOCIO]]="Enviar E-mail",1,"")</f>
        <v/>
      </c>
      <c r="U1630" t="str">
        <f>TEXT(Tabela1[[#This Row],[DATA]],"dd/mm/aaaa")</f>
        <v>22/04/2026</v>
      </c>
    </row>
    <row r="1631" spans="1:21" x14ac:dyDescent="0.25">
      <c r="A1631" s="4">
        <v>46134.673634259256</v>
      </c>
      <c r="B1631" s="5" t="s">
        <v>19</v>
      </c>
      <c r="C1631" s="5" t="s">
        <v>37</v>
      </c>
      <c r="D1631" s="5">
        <v>543</v>
      </c>
      <c r="E1631" s="6">
        <v>73275570000168</v>
      </c>
      <c r="F1631" s="5">
        <v>543</v>
      </c>
      <c r="G1631" s="7">
        <v>177688500276331</v>
      </c>
      <c r="H1631" s="5" t="s">
        <v>69</v>
      </c>
      <c r="I1631" s="5">
        <v>3003</v>
      </c>
      <c r="J1631" s="5" t="s">
        <v>22</v>
      </c>
      <c r="K1631" s="5" t="s">
        <v>23</v>
      </c>
      <c r="L1631" s="5" t="s">
        <v>31</v>
      </c>
      <c r="M1631" s="5" t="s">
        <v>284</v>
      </c>
      <c r="N1631" s="5" t="s">
        <v>53</v>
      </c>
      <c r="O1631" s="5">
        <v>128</v>
      </c>
      <c r="P1631" s="5"/>
      <c r="Q1631" s="5"/>
      <c r="R1631" s="8">
        <v>8.1018518518518516E-5</v>
      </c>
      <c r="S1631" s="5" t="s">
        <v>37</v>
      </c>
      <c r="T1631" t="str">
        <f>IF(Tabela1[[#This Row],[STATUS_NEGOCIO]]="Enviar E-mail",1,"")</f>
        <v/>
      </c>
      <c r="U1631" t="str">
        <f>TEXT(Tabela1[[#This Row],[DATA]],"dd/mm/aaaa")</f>
        <v>22/04/2026</v>
      </c>
    </row>
    <row r="1632" spans="1:21" x14ac:dyDescent="0.25">
      <c r="A1632" s="4">
        <v>46134.673645833333</v>
      </c>
      <c r="B1632" s="5" t="s">
        <v>19</v>
      </c>
      <c r="C1632" s="5" t="s">
        <v>37</v>
      </c>
      <c r="D1632" s="5">
        <v>544</v>
      </c>
      <c r="E1632" s="6">
        <v>73353534000175</v>
      </c>
      <c r="F1632" s="5">
        <v>544</v>
      </c>
      <c r="G1632" s="7">
        <v>177688500376351</v>
      </c>
      <c r="H1632" s="5" t="s">
        <v>627</v>
      </c>
      <c r="I1632" s="5" t="s">
        <v>52</v>
      </c>
      <c r="J1632" s="5" t="s">
        <v>22</v>
      </c>
      <c r="K1632" s="5" t="s">
        <v>36</v>
      </c>
      <c r="L1632" s="5" t="s">
        <v>36</v>
      </c>
      <c r="M1632" s="5" t="s">
        <v>284</v>
      </c>
      <c r="N1632" s="5" t="s">
        <v>53</v>
      </c>
      <c r="O1632" s="5">
        <v>19</v>
      </c>
      <c r="P1632" s="5"/>
      <c r="Q1632" s="5"/>
      <c r="R1632" s="8">
        <v>0</v>
      </c>
      <c r="S1632" s="5" t="s">
        <v>37</v>
      </c>
      <c r="T1632" t="str">
        <f>IF(Tabela1[[#This Row],[STATUS_NEGOCIO]]="Enviar E-mail",1,"")</f>
        <v/>
      </c>
      <c r="U1632" t="str">
        <f>TEXT(Tabela1[[#This Row],[DATA]],"dd/mm/aaaa")</f>
        <v>22/04/2026</v>
      </c>
    </row>
    <row r="1633" spans="1:21" x14ac:dyDescent="0.25">
      <c r="A1633" s="4">
        <v>46134.673726851855</v>
      </c>
      <c r="B1633" s="5" t="s">
        <v>19</v>
      </c>
      <c r="C1633" s="5" t="s">
        <v>37</v>
      </c>
      <c r="D1633" s="5">
        <v>545</v>
      </c>
      <c r="E1633" s="6">
        <v>73630725000137</v>
      </c>
      <c r="F1633" s="5">
        <v>545</v>
      </c>
      <c r="G1633" s="7">
        <v>177688501076371</v>
      </c>
      <c r="H1633" s="5" t="s">
        <v>119</v>
      </c>
      <c r="I1633" s="5">
        <v>3003</v>
      </c>
      <c r="J1633" s="5" t="s">
        <v>22</v>
      </c>
      <c r="K1633" s="5" t="s">
        <v>23</v>
      </c>
      <c r="L1633" s="5" t="s">
        <v>31</v>
      </c>
      <c r="M1633" s="5" t="s">
        <v>284</v>
      </c>
      <c r="N1633" s="5" t="s">
        <v>53</v>
      </c>
      <c r="O1633" s="5">
        <v>128</v>
      </c>
      <c r="P1633" s="5"/>
      <c r="Q1633" s="5"/>
      <c r="R1633" s="8">
        <v>8.1018518518518516E-5</v>
      </c>
      <c r="S1633" s="5" t="s">
        <v>37</v>
      </c>
      <c r="T1633" t="str">
        <f>IF(Tabela1[[#This Row],[STATUS_NEGOCIO]]="Enviar E-mail",1,"")</f>
        <v/>
      </c>
      <c r="U1633" t="str">
        <f>TEXT(Tabela1[[#This Row],[DATA]],"dd/mm/aaaa")</f>
        <v>22/04/2026</v>
      </c>
    </row>
    <row r="1634" spans="1:21" x14ac:dyDescent="0.25">
      <c r="A1634" s="4">
        <v>46134.673750000002</v>
      </c>
      <c r="B1634" s="5" t="s">
        <v>19</v>
      </c>
      <c r="C1634" s="5" t="s">
        <v>37</v>
      </c>
      <c r="D1634" s="5">
        <v>546</v>
      </c>
      <c r="E1634" s="6">
        <v>73852469000122</v>
      </c>
      <c r="F1634" s="5">
        <v>546</v>
      </c>
      <c r="G1634" s="7">
        <v>177688501276391</v>
      </c>
      <c r="H1634" s="5" t="s">
        <v>628</v>
      </c>
      <c r="I1634" s="5">
        <v>3003</v>
      </c>
      <c r="J1634" s="5" t="s">
        <v>22</v>
      </c>
      <c r="K1634" s="5" t="s">
        <v>23</v>
      </c>
      <c r="L1634" s="5" t="s">
        <v>31</v>
      </c>
      <c r="M1634" s="5" t="s">
        <v>284</v>
      </c>
      <c r="N1634" s="5" t="s">
        <v>53</v>
      </c>
      <c r="O1634" s="5">
        <v>131</v>
      </c>
      <c r="P1634" s="5"/>
      <c r="Q1634" s="5"/>
      <c r="R1634" s="8">
        <v>4.6296296296296294E-5</v>
      </c>
      <c r="S1634" s="5" t="s">
        <v>37</v>
      </c>
      <c r="T1634" t="str">
        <f>IF(Tabela1[[#This Row],[STATUS_NEGOCIO]]="Enviar E-mail",1,"")</f>
        <v/>
      </c>
      <c r="U1634" t="str">
        <f>TEXT(Tabela1[[#This Row],[DATA]],"dd/mm/aaaa")</f>
        <v>22/04/2026</v>
      </c>
    </row>
    <row r="1635" spans="1:21" x14ac:dyDescent="0.25">
      <c r="A1635" s="4">
        <v>46134.673819444448</v>
      </c>
      <c r="B1635" s="5" t="s">
        <v>19</v>
      </c>
      <c r="C1635" s="5" t="s">
        <v>37</v>
      </c>
      <c r="D1635" s="5">
        <v>547</v>
      </c>
      <c r="E1635" s="6">
        <v>82449760000145</v>
      </c>
      <c r="F1635" s="5">
        <v>547</v>
      </c>
      <c r="G1635" s="7">
        <v>177688501876411</v>
      </c>
      <c r="H1635" s="5" t="s">
        <v>629</v>
      </c>
      <c r="I1635" s="5">
        <v>3003</v>
      </c>
      <c r="J1635" s="5" t="s">
        <v>22</v>
      </c>
      <c r="K1635" s="5" t="s">
        <v>23</v>
      </c>
      <c r="L1635" s="5" t="s">
        <v>31</v>
      </c>
      <c r="M1635" s="5" t="s">
        <v>284</v>
      </c>
      <c r="N1635" s="5" t="s">
        <v>53</v>
      </c>
      <c r="O1635" s="5">
        <v>128</v>
      </c>
      <c r="P1635" s="5"/>
      <c r="Q1635" s="5"/>
      <c r="R1635" s="8">
        <v>8.1018518518518516E-5</v>
      </c>
      <c r="S1635" s="5" t="s">
        <v>37</v>
      </c>
      <c r="T1635" t="str">
        <f>IF(Tabela1[[#This Row],[STATUS_NEGOCIO]]="Enviar E-mail",1,"")</f>
        <v/>
      </c>
      <c r="U1635" t="str">
        <f>TEXT(Tabela1[[#This Row],[DATA]],"dd/mm/aaaa")</f>
        <v>22/04/2026</v>
      </c>
    </row>
    <row r="1636" spans="1:21" x14ac:dyDescent="0.25">
      <c r="A1636" s="4">
        <v>46134.67386574074</v>
      </c>
      <c r="B1636" s="5" t="s">
        <v>19</v>
      </c>
      <c r="C1636" s="5" t="s">
        <v>37</v>
      </c>
      <c r="D1636" s="5">
        <v>548</v>
      </c>
      <c r="E1636" s="6">
        <v>86932266000198</v>
      </c>
      <c r="F1636" s="5">
        <v>548</v>
      </c>
      <c r="G1636" s="7">
        <v>177688502276431</v>
      </c>
      <c r="H1636" s="5" t="s">
        <v>631</v>
      </c>
      <c r="I1636" s="5">
        <v>3003</v>
      </c>
      <c r="J1636" s="5" t="s">
        <v>22</v>
      </c>
      <c r="K1636" s="5" t="s">
        <v>23</v>
      </c>
      <c r="L1636" s="5" t="s">
        <v>31</v>
      </c>
      <c r="M1636" s="5" t="s">
        <v>284</v>
      </c>
      <c r="N1636" s="5" t="s">
        <v>26</v>
      </c>
      <c r="O1636" s="5">
        <v>131</v>
      </c>
      <c r="P1636" s="5"/>
      <c r="Q1636" s="5"/>
      <c r="R1636" s="8">
        <v>1.5046296296296297E-4</v>
      </c>
      <c r="S1636" s="5" t="s">
        <v>37</v>
      </c>
      <c r="T1636" t="str">
        <f>IF(Tabela1[[#This Row],[STATUS_NEGOCIO]]="Enviar E-mail",1,"")</f>
        <v/>
      </c>
      <c r="U1636" t="str">
        <f>TEXT(Tabela1[[#This Row],[DATA]],"dd/mm/aaaa")</f>
        <v>22/04/2026</v>
      </c>
    </row>
    <row r="1637" spans="1:21" x14ac:dyDescent="0.25">
      <c r="A1637" s="4">
        <v>46134.673946759256</v>
      </c>
      <c r="B1637" s="5" t="s">
        <v>19</v>
      </c>
      <c r="C1637" s="5" t="s">
        <v>37</v>
      </c>
      <c r="D1637" s="5">
        <v>549</v>
      </c>
      <c r="E1637" s="6">
        <v>86936481000167</v>
      </c>
      <c r="F1637" s="5">
        <v>549</v>
      </c>
      <c r="G1637" s="7">
        <v>177688502976451</v>
      </c>
      <c r="H1637" s="5" t="s">
        <v>97</v>
      </c>
      <c r="I1637" s="5">
        <v>3003</v>
      </c>
      <c r="J1637" s="5" t="s">
        <v>22</v>
      </c>
      <c r="K1637" s="5" t="s">
        <v>23</v>
      </c>
      <c r="L1637" s="5" t="s">
        <v>31</v>
      </c>
      <c r="M1637" s="5" t="s">
        <v>284</v>
      </c>
      <c r="N1637" s="5" t="s">
        <v>53</v>
      </c>
      <c r="O1637" s="5">
        <v>128</v>
      </c>
      <c r="P1637" s="5"/>
      <c r="Q1637" s="5"/>
      <c r="R1637" s="8">
        <v>8.1018518518518516E-5</v>
      </c>
      <c r="S1637" s="5" t="s">
        <v>37</v>
      </c>
      <c r="T1637" t="str">
        <f>IF(Tabela1[[#This Row],[STATUS_NEGOCIO]]="Enviar E-mail",1,"")</f>
        <v/>
      </c>
      <c r="U1637" t="str">
        <f>TEXT(Tabela1[[#This Row],[DATA]],"dd/mm/aaaa")</f>
        <v>22/04/2026</v>
      </c>
    </row>
    <row r="1638" spans="1:21" x14ac:dyDescent="0.25">
      <c r="A1638" s="4">
        <v>46134.67396990741</v>
      </c>
      <c r="B1638" s="5" t="s">
        <v>19</v>
      </c>
      <c r="C1638" s="5" t="s">
        <v>37</v>
      </c>
      <c r="D1638" s="5">
        <v>550</v>
      </c>
      <c r="E1638" s="6">
        <v>97537119000130</v>
      </c>
      <c r="F1638" s="5">
        <v>550</v>
      </c>
      <c r="G1638" s="7">
        <v>177688503176481</v>
      </c>
      <c r="H1638" s="5" t="s">
        <v>630</v>
      </c>
      <c r="I1638" s="5">
        <v>3003</v>
      </c>
      <c r="J1638" s="5" t="s">
        <v>22</v>
      </c>
      <c r="K1638" s="5" t="s">
        <v>23</v>
      </c>
      <c r="L1638" s="5" t="s">
        <v>31</v>
      </c>
      <c r="M1638" s="5" t="s">
        <v>284</v>
      </c>
      <c r="N1638" s="5" t="s">
        <v>53</v>
      </c>
      <c r="O1638" s="5">
        <v>128</v>
      </c>
      <c r="P1638" s="5"/>
      <c r="Q1638" s="5"/>
      <c r="R1638" s="8">
        <v>8.1018518518518516E-5</v>
      </c>
      <c r="S1638" s="5" t="s">
        <v>37</v>
      </c>
      <c r="T1638" t="str">
        <f>IF(Tabela1[[#This Row],[STATUS_NEGOCIO]]="Enviar E-mail",1,"")</f>
        <v/>
      </c>
      <c r="U1638" t="str">
        <f>TEXT(Tabela1[[#This Row],[DATA]],"dd/mm/aaaa")</f>
        <v>22/04/2026</v>
      </c>
    </row>
    <row r="1639" spans="1:21" x14ac:dyDescent="0.25">
      <c r="A1639" s="4">
        <v>46134.687962962962</v>
      </c>
      <c r="B1639" s="5" t="s">
        <v>19</v>
      </c>
      <c r="C1639" s="5" t="s">
        <v>37</v>
      </c>
      <c r="D1639" s="5">
        <v>7</v>
      </c>
      <c r="E1639" s="6">
        <v>451332000192</v>
      </c>
      <c r="F1639" s="5">
        <v>7</v>
      </c>
      <c r="G1639" s="7">
        <v>177688624078221</v>
      </c>
      <c r="H1639" s="5" t="s">
        <v>257</v>
      </c>
      <c r="I1639" s="5">
        <v>3003</v>
      </c>
      <c r="J1639" s="5" t="s">
        <v>22</v>
      </c>
      <c r="K1639" s="5" t="s">
        <v>23</v>
      </c>
      <c r="L1639" s="5" t="s">
        <v>31</v>
      </c>
      <c r="M1639" s="5" t="s">
        <v>284</v>
      </c>
      <c r="N1639" s="5" t="s">
        <v>53</v>
      </c>
      <c r="O1639" s="5">
        <v>147</v>
      </c>
      <c r="P1639" s="5"/>
      <c r="Q1639" s="5"/>
      <c r="R1639" s="8">
        <v>8.1018518518518516E-5</v>
      </c>
      <c r="S1639" s="5" t="s">
        <v>37</v>
      </c>
      <c r="T1639" t="str">
        <f>IF(Tabela1[[#This Row],[STATUS_NEGOCIO]]="Enviar E-mail",1,"")</f>
        <v/>
      </c>
      <c r="U1639" t="str">
        <f>TEXT(Tabela1[[#This Row],[DATA]],"dd/mm/aaaa")</f>
        <v>22/04/2026</v>
      </c>
    </row>
    <row r="1640" spans="1:21" x14ac:dyDescent="0.25">
      <c r="A1640" s="4">
        <v>46134.687962962962</v>
      </c>
      <c r="B1640" s="5" t="s">
        <v>19</v>
      </c>
      <c r="C1640" s="5" t="s">
        <v>37</v>
      </c>
      <c r="D1640" s="5">
        <v>13</v>
      </c>
      <c r="E1640" s="6">
        <v>1056628000171</v>
      </c>
      <c r="F1640" s="5">
        <v>13</v>
      </c>
      <c r="G1640" s="7">
        <v>177688624078231</v>
      </c>
      <c r="H1640" s="5" t="s">
        <v>262</v>
      </c>
      <c r="I1640" s="5">
        <v>3003</v>
      </c>
      <c r="J1640" s="5" t="s">
        <v>22</v>
      </c>
      <c r="K1640" s="5" t="s">
        <v>23</v>
      </c>
      <c r="L1640" s="5" t="s">
        <v>31</v>
      </c>
      <c r="M1640" s="5" t="s">
        <v>284</v>
      </c>
      <c r="N1640" s="5" t="s">
        <v>53</v>
      </c>
      <c r="O1640" s="5">
        <v>128</v>
      </c>
      <c r="P1640" s="5"/>
      <c r="Q1640" s="5"/>
      <c r="R1640" s="8">
        <v>8.1018518518518516E-5</v>
      </c>
      <c r="S1640" s="5" t="s">
        <v>37</v>
      </c>
      <c r="T1640" t="str">
        <f>IF(Tabela1[[#This Row],[STATUS_NEGOCIO]]="Enviar E-mail",1,"")</f>
        <v/>
      </c>
      <c r="U1640" t="str">
        <f>TEXT(Tabela1[[#This Row],[DATA]],"dd/mm/aaaa")</f>
        <v>22/04/2026</v>
      </c>
    </row>
    <row r="1641" spans="1:21" x14ac:dyDescent="0.25">
      <c r="A1641" s="4">
        <v>46134.687962962962</v>
      </c>
      <c r="B1641" s="5" t="s">
        <v>19</v>
      </c>
      <c r="C1641" s="5" t="s">
        <v>37</v>
      </c>
      <c r="D1641" s="5">
        <v>17</v>
      </c>
      <c r="E1641" s="6">
        <v>1340549000198</v>
      </c>
      <c r="F1641" s="5">
        <v>17</v>
      </c>
      <c r="G1641" s="7">
        <v>177688624078241</v>
      </c>
      <c r="H1641" s="5" t="s">
        <v>281</v>
      </c>
      <c r="I1641" s="5" t="s">
        <v>52</v>
      </c>
      <c r="J1641" s="5" t="s">
        <v>22</v>
      </c>
      <c r="K1641" s="5" t="s">
        <v>36</v>
      </c>
      <c r="L1641" s="5" t="s">
        <v>36</v>
      </c>
      <c r="M1641" s="5" t="s">
        <v>284</v>
      </c>
      <c r="N1641" s="5" t="s">
        <v>53</v>
      </c>
      <c r="O1641" s="5">
        <v>19</v>
      </c>
      <c r="P1641" s="5"/>
      <c r="Q1641" s="5"/>
      <c r="R1641" s="8">
        <v>0</v>
      </c>
      <c r="S1641" s="5" t="s">
        <v>37</v>
      </c>
      <c r="T1641" t="str">
        <f>IF(Tabela1[[#This Row],[STATUS_NEGOCIO]]="Enviar E-mail",1,"")</f>
        <v/>
      </c>
      <c r="U1641" t="str">
        <f>TEXT(Tabela1[[#This Row],[DATA]],"dd/mm/aaaa")</f>
        <v>22/04/2026</v>
      </c>
    </row>
    <row r="1642" spans="1:21" x14ac:dyDescent="0.25">
      <c r="A1642" s="4">
        <v>46134.687962962962</v>
      </c>
      <c r="B1642" s="5" t="s">
        <v>19</v>
      </c>
      <c r="C1642" s="5" t="s">
        <v>37</v>
      </c>
      <c r="D1642" s="5">
        <v>18</v>
      </c>
      <c r="E1642" s="6">
        <v>1387961000163</v>
      </c>
      <c r="F1642" s="5">
        <v>18</v>
      </c>
      <c r="G1642" s="7">
        <v>177688624078251</v>
      </c>
      <c r="H1642" s="5" t="s">
        <v>267</v>
      </c>
      <c r="I1642" s="5">
        <v>3003</v>
      </c>
      <c r="J1642" s="5" t="s">
        <v>22</v>
      </c>
      <c r="K1642" s="5" t="s">
        <v>23</v>
      </c>
      <c r="L1642" s="5" t="s">
        <v>31</v>
      </c>
      <c r="M1642" s="5" t="s">
        <v>284</v>
      </c>
      <c r="N1642" s="5" t="s">
        <v>53</v>
      </c>
      <c r="O1642" s="5">
        <v>128</v>
      </c>
      <c r="P1642" s="5"/>
      <c r="Q1642" s="5"/>
      <c r="R1642" s="8">
        <v>8.1018518518518516E-5</v>
      </c>
      <c r="S1642" s="5" t="s">
        <v>37</v>
      </c>
      <c r="T1642" t="str">
        <f>IF(Tabela1[[#This Row],[STATUS_NEGOCIO]]="Enviar E-mail",1,"")</f>
        <v/>
      </c>
      <c r="U1642" t="str">
        <f>TEXT(Tabela1[[#This Row],[DATA]],"dd/mm/aaaa")</f>
        <v>22/04/2026</v>
      </c>
    </row>
    <row r="1643" spans="1:21" x14ac:dyDescent="0.25">
      <c r="A1643" s="4">
        <v>46134.687962962962</v>
      </c>
      <c r="B1643" s="5" t="s">
        <v>19</v>
      </c>
      <c r="C1643" s="5" t="s">
        <v>37</v>
      </c>
      <c r="D1643" s="5">
        <v>19</v>
      </c>
      <c r="E1643" s="6">
        <v>1399122000165</v>
      </c>
      <c r="F1643" s="5">
        <v>19</v>
      </c>
      <c r="G1643" s="7">
        <v>177688624078261</v>
      </c>
      <c r="H1643" s="5" t="s">
        <v>285</v>
      </c>
      <c r="I1643" s="5" t="s">
        <v>52</v>
      </c>
      <c r="J1643" s="5" t="s">
        <v>22</v>
      </c>
      <c r="K1643" s="5" t="s">
        <v>62</v>
      </c>
      <c r="L1643" s="5" t="s">
        <v>62</v>
      </c>
      <c r="M1643" s="5" t="s">
        <v>284</v>
      </c>
      <c r="N1643" s="5" t="s">
        <v>53</v>
      </c>
      <c r="O1643" s="5">
        <v>17</v>
      </c>
      <c r="P1643" s="5"/>
      <c r="Q1643" s="5"/>
      <c r="R1643" s="8">
        <v>0</v>
      </c>
      <c r="S1643" s="5" t="s">
        <v>37</v>
      </c>
      <c r="T1643" t="str">
        <f>IF(Tabela1[[#This Row],[STATUS_NEGOCIO]]="Enviar E-mail",1,"")</f>
        <v/>
      </c>
      <c r="U1643" t="str">
        <f>TEXT(Tabela1[[#This Row],[DATA]],"dd/mm/aaaa")</f>
        <v>22/04/2026</v>
      </c>
    </row>
    <row r="1644" spans="1:21" x14ac:dyDescent="0.25">
      <c r="A1644" s="4">
        <v>46134.687962962962</v>
      </c>
      <c r="B1644" s="5" t="s">
        <v>19</v>
      </c>
      <c r="C1644" s="5" t="s">
        <v>37</v>
      </c>
      <c r="D1644" s="5">
        <v>22</v>
      </c>
      <c r="E1644" s="6">
        <v>1632895000140</v>
      </c>
      <c r="F1644" s="5">
        <v>22</v>
      </c>
      <c r="G1644" s="7">
        <v>177688624078271</v>
      </c>
      <c r="H1644" s="5" t="s">
        <v>287</v>
      </c>
      <c r="I1644" s="5" t="s">
        <v>52</v>
      </c>
      <c r="J1644" s="5" t="s">
        <v>22</v>
      </c>
      <c r="K1644" s="5" t="s">
        <v>36</v>
      </c>
      <c r="L1644" s="5" t="s">
        <v>36</v>
      </c>
      <c r="M1644" s="5" t="s">
        <v>284</v>
      </c>
      <c r="N1644" s="5" t="s">
        <v>53</v>
      </c>
      <c r="O1644" s="5">
        <v>34</v>
      </c>
      <c r="P1644" s="5"/>
      <c r="Q1644" s="5"/>
      <c r="R1644" s="8">
        <v>0</v>
      </c>
      <c r="S1644" s="5" t="s">
        <v>37</v>
      </c>
      <c r="T1644" t="str">
        <f>IF(Tabela1[[#This Row],[STATUS_NEGOCIO]]="Enviar E-mail",1,"")</f>
        <v/>
      </c>
      <c r="U1644" t="str">
        <f>TEXT(Tabela1[[#This Row],[DATA]],"dd/mm/aaaa")</f>
        <v>22/04/2026</v>
      </c>
    </row>
    <row r="1645" spans="1:21" x14ac:dyDescent="0.25">
      <c r="A1645" s="4">
        <v>46134.687962962962</v>
      </c>
      <c r="B1645" s="5" t="s">
        <v>19</v>
      </c>
      <c r="C1645" s="5" t="s">
        <v>37</v>
      </c>
      <c r="D1645" s="5">
        <v>23</v>
      </c>
      <c r="E1645" s="6">
        <v>1721269000120</v>
      </c>
      <c r="F1645" s="5">
        <v>23</v>
      </c>
      <c r="G1645" s="7">
        <v>177688624078281</v>
      </c>
      <c r="H1645" s="5" t="s">
        <v>288</v>
      </c>
      <c r="I1645" s="5" t="s">
        <v>52</v>
      </c>
      <c r="J1645" s="5" t="s">
        <v>22</v>
      </c>
      <c r="K1645" s="5" t="s">
        <v>36</v>
      </c>
      <c r="L1645" s="5" t="s">
        <v>36</v>
      </c>
      <c r="M1645" s="5" t="s">
        <v>284</v>
      </c>
      <c r="N1645" s="5" t="s">
        <v>53</v>
      </c>
      <c r="O1645" s="5">
        <v>34</v>
      </c>
      <c r="P1645" s="5"/>
      <c r="Q1645" s="5"/>
      <c r="R1645" s="8">
        <v>0</v>
      </c>
      <c r="S1645" s="5" t="s">
        <v>37</v>
      </c>
      <c r="T1645" t="str">
        <f>IF(Tabela1[[#This Row],[STATUS_NEGOCIO]]="Enviar E-mail",1,"")</f>
        <v/>
      </c>
      <c r="U1645" t="str">
        <f>TEXT(Tabela1[[#This Row],[DATA]],"dd/mm/aaaa")</f>
        <v>22/04/2026</v>
      </c>
    </row>
    <row r="1646" spans="1:21" x14ac:dyDescent="0.25">
      <c r="A1646" s="4">
        <v>46134.687962962962</v>
      </c>
      <c r="B1646" s="5" t="s">
        <v>19</v>
      </c>
      <c r="C1646" s="5" t="s">
        <v>37</v>
      </c>
      <c r="D1646" s="5">
        <v>28</v>
      </c>
      <c r="E1646" s="6">
        <v>1978794000125</v>
      </c>
      <c r="F1646" s="5">
        <v>28</v>
      </c>
      <c r="G1646" s="7">
        <v>177688624078291</v>
      </c>
      <c r="H1646" s="5" t="s">
        <v>292</v>
      </c>
      <c r="I1646" s="5" t="s">
        <v>52</v>
      </c>
      <c r="J1646" s="5" t="s">
        <v>22</v>
      </c>
      <c r="K1646" s="5" t="s">
        <v>36</v>
      </c>
      <c r="L1646" s="5" t="s">
        <v>36</v>
      </c>
      <c r="M1646" s="5" t="s">
        <v>284</v>
      </c>
      <c r="N1646" s="5" t="s">
        <v>53</v>
      </c>
      <c r="O1646" s="5">
        <v>34</v>
      </c>
      <c r="P1646" s="5"/>
      <c r="Q1646" s="5"/>
      <c r="R1646" s="8">
        <v>0</v>
      </c>
      <c r="S1646" s="5" t="s">
        <v>37</v>
      </c>
      <c r="T1646" t="str">
        <f>IF(Tabela1[[#This Row],[STATUS_NEGOCIO]]="Enviar E-mail",1,"")</f>
        <v/>
      </c>
      <c r="U1646" t="str">
        <f>TEXT(Tabela1[[#This Row],[DATA]],"dd/mm/aaaa")</f>
        <v>22/04/2026</v>
      </c>
    </row>
    <row r="1647" spans="1:21" x14ac:dyDescent="0.25">
      <c r="A1647" s="4">
        <v>46134.687962962962</v>
      </c>
      <c r="B1647" s="5" t="s">
        <v>19</v>
      </c>
      <c r="C1647" s="5" t="s">
        <v>37</v>
      </c>
      <c r="D1647" s="5">
        <v>32</v>
      </c>
      <c r="E1647" s="6">
        <v>2113776000143</v>
      </c>
      <c r="F1647" s="5">
        <v>32</v>
      </c>
      <c r="G1647" s="7">
        <v>177688624078301</v>
      </c>
      <c r="H1647" s="5" t="s">
        <v>294</v>
      </c>
      <c r="I1647" s="5">
        <v>3003</v>
      </c>
      <c r="J1647" s="5" t="s">
        <v>22</v>
      </c>
      <c r="K1647" s="5" t="s">
        <v>23</v>
      </c>
      <c r="L1647" s="5" t="s">
        <v>31</v>
      </c>
      <c r="M1647" s="5" t="s">
        <v>284</v>
      </c>
      <c r="N1647" s="5" t="s">
        <v>53</v>
      </c>
      <c r="O1647" s="5">
        <v>128</v>
      </c>
      <c r="P1647" s="5"/>
      <c r="Q1647" s="5"/>
      <c r="R1647" s="8">
        <v>8.1018518518518516E-5</v>
      </c>
      <c r="S1647" s="5" t="s">
        <v>37</v>
      </c>
      <c r="T1647" t="str">
        <f>IF(Tabela1[[#This Row],[STATUS_NEGOCIO]]="Enviar E-mail",1,"")</f>
        <v/>
      </c>
      <c r="U1647" t="str">
        <f>TEXT(Tabela1[[#This Row],[DATA]],"dd/mm/aaaa")</f>
        <v>22/04/2026</v>
      </c>
    </row>
    <row r="1648" spans="1:21" x14ac:dyDescent="0.25">
      <c r="A1648" s="4">
        <v>46134.687962962962</v>
      </c>
      <c r="B1648" s="5" t="s">
        <v>19</v>
      </c>
      <c r="C1648" s="5" t="s">
        <v>37</v>
      </c>
      <c r="D1648" s="5">
        <v>33</v>
      </c>
      <c r="E1648" s="6">
        <v>2148473000166</v>
      </c>
      <c r="F1648" s="5">
        <v>33</v>
      </c>
      <c r="G1648" s="7">
        <v>177688624078311</v>
      </c>
      <c r="H1648" s="5" t="s">
        <v>283</v>
      </c>
      <c r="I1648" s="5">
        <v>3003</v>
      </c>
      <c r="J1648" s="5" t="s">
        <v>22</v>
      </c>
      <c r="K1648" s="5" t="s">
        <v>23</v>
      </c>
      <c r="L1648" s="5" t="s">
        <v>31</v>
      </c>
      <c r="M1648" s="5" t="s">
        <v>284</v>
      </c>
      <c r="N1648" s="5" t="s">
        <v>53</v>
      </c>
      <c r="O1648" s="5">
        <v>128</v>
      </c>
      <c r="P1648" s="5"/>
      <c r="Q1648" s="5"/>
      <c r="R1648" s="8">
        <v>8.1018518518518516E-5</v>
      </c>
      <c r="S1648" s="5" t="s">
        <v>37</v>
      </c>
      <c r="T1648" t="str">
        <f>IF(Tabela1[[#This Row],[STATUS_NEGOCIO]]="Enviar E-mail",1,"")</f>
        <v/>
      </c>
      <c r="U1648" t="str">
        <f>TEXT(Tabela1[[#This Row],[DATA]],"dd/mm/aaaa")</f>
        <v>22/04/2026</v>
      </c>
    </row>
    <row r="1649" spans="1:21" x14ac:dyDescent="0.25">
      <c r="A1649" s="4">
        <v>46134.687962962962</v>
      </c>
      <c r="B1649" s="5" t="s">
        <v>19</v>
      </c>
      <c r="C1649" s="5" t="s">
        <v>37</v>
      </c>
      <c r="D1649" s="5">
        <v>35</v>
      </c>
      <c r="E1649" s="6">
        <v>2326459000105</v>
      </c>
      <c r="F1649" s="5">
        <v>35</v>
      </c>
      <c r="G1649" s="7">
        <v>177688624078321</v>
      </c>
      <c r="H1649" s="5" t="s">
        <v>295</v>
      </c>
      <c r="I1649" s="5" t="s">
        <v>52</v>
      </c>
      <c r="J1649" s="5" t="s">
        <v>22</v>
      </c>
      <c r="K1649" s="5" t="s">
        <v>36</v>
      </c>
      <c r="L1649" s="5" t="s">
        <v>36</v>
      </c>
      <c r="M1649" s="5" t="s">
        <v>284</v>
      </c>
      <c r="N1649" s="5" t="s">
        <v>53</v>
      </c>
      <c r="O1649" s="5">
        <v>19</v>
      </c>
      <c r="P1649" s="5"/>
      <c r="Q1649" s="5"/>
      <c r="R1649" s="8">
        <v>0</v>
      </c>
      <c r="S1649" s="5" t="s">
        <v>37</v>
      </c>
      <c r="T1649" t="str">
        <f>IF(Tabela1[[#This Row],[STATUS_NEGOCIO]]="Enviar E-mail",1,"")</f>
        <v/>
      </c>
      <c r="U1649" t="str">
        <f>TEXT(Tabela1[[#This Row],[DATA]],"dd/mm/aaaa")</f>
        <v>22/04/2026</v>
      </c>
    </row>
    <row r="1650" spans="1:21" x14ac:dyDescent="0.25">
      <c r="A1650" s="4">
        <v>46134.688148148147</v>
      </c>
      <c r="B1650" s="5" t="s">
        <v>19</v>
      </c>
      <c r="C1650" s="5" t="s">
        <v>37</v>
      </c>
      <c r="D1650" s="5">
        <v>39</v>
      </c>
      <c r="E1650" s="6">
        <v>2510074000101</v>
      </c>
      <c r="F1650" s="5">
        <v>39</v>
      </c>
      <c r="G1650" s="7">
        <v>177688625678341</v>
      </c>
      <c r="H1650" s="5" t="s">
        <v>299</v>
      </c>
      <c r="I1650" s="5" t="s">
        <v>52</v>
      </c>
      <c r="J1650" s="5" t="s">
        <v>22</v>
      </c>
      <c r="K1650" s="5" t="s">
        <v>36</v>
      </c>
      <c r="L1650" s="5" t="s">
        <v>36</v>
      </c>
      <c r="M1650" s="5" t="s">
        <v>284</v>
      </c>
      <c r="N1650" s="5" t="s">
        <v>53</v>
      </c>
      <c r="O1650" s="5">
        <v>19</v>
      </c>
      <c r="P1650" s="5"/>
      <c r="Q1650" s="5"/>
      <c r="R1650" s="8">
        <v>0</v>
      </c>
      <c r="S1650" s="5" t="s">
        <v>37</v>
      </c>
      <c r="T1650" t="str">
        <f>IF(Tabela1[[#This Row],[STATUS_NEGOCIO]]="Enviar E-mail",1,"")</f>
        <v/>
      </c>
      <c r="U1650" t="str">
        <f>TEXT(Tabela1[[#This Row],[DATA]],"dd/mm/aaaa")</f>
        <v>22/04/2026</v>
      </c>
    </row>
    <row r="1651" spans="1:21" x14ac:dyDescent="0.25">
      <c r="A1651" s="4">
        <v>46134.68818287037</v>
      </c>
      <c r="B1651" s="5" t="s">
        <v>19</v>
      </c>
      <c r="C1651" s="5" t="s">
        <v>37</v>
      </c>
      <c r="D1651" s="5">
        <v>40</v>
      </c>
      <c r="E1651" s="6">
        <v>2604580000151</v>
      </c>
      <c r="F1651" s="5">
        <v>40</v>
      </c>
      <c r="G1651" s="7">
        <v>177688625978361</v>
      </c>
      <c r="H1651" s="5" t="s">
        <v>300</v>
      </c>
      <c r="I1651" s="5" t="s">
        <v>52</v>
      </c>
      <c r="J1651" s="5" t="s">
        <v>22</v>
      </c>
      <c r="K1651" s="5" t="s">
        <v>36</v>
      </c>
      <c r="L1651" s="5" t="s">
        <v>36</v>
      </c>
      <c r="M1651" s="5" t="s">
        <v>284</v>
      </c>
      <c r="N1651" s="5" t="s">
        <v>53</v>
      </c>
      <c r="O1651" s="5">
        <v>19</v>
      </c>
      <c r="P1651" s="5"/>
      <c r="Q1651" s="5"/>
      <c r="R1651" s="8">
        <v>0</v>
      </c>
      <c r="S1651" s="5" t="s">
        <v>37</v>
      </c>
      <c r="T1651" t="str">
        <f>IF(Tabela1[[#This Row],[STATUS_NEGOCIO]]="Enviar E-mail",1,"")</f>
        <v/>
      </c>
      <c r="U1651" t="str">
        <f>TEXT(Tabela1[[#This Row],[DATA]],"dd/mm/aaaa")</f>
        <v>22/04/2026</v>
      </c>
    </row>
    <row r="1652" spans="1:21" x14ac:dyDescent="0.25">
      <c r="A1652" s="4">
        <v>46134.688252314816</v>
      </c>
      <c r="B1652" s="5" t="s">
        <v>19</v>
      </c>
      <c r="C1652" s="5" t="s">
        <v>37</v>
      </c>
      <c r="D1652" s="5">
        <v>41</v>
      </c>
      <c r="E1652" s="6">
        <v>2605792000153</v>
      </c>
      <c r="F1652" s="5">
        <v>41</v>
      </c>
      <c r="G1652" s="7">
        <v>177688626578381</v>
      </c>
      <c r="H1652" s="5" t="s">
        <v>183</v>
      </c>
      <c r="I1652" s="5">
        <v>3003</v>
      </c>
      <c r="J1652" s="5" t="s">
        <v>22</v>
      </c>
      <c r="K1652" s="5" t="s">
        <v>23</v>
      </c>
      <c r="L1652" s="5" t="s">
        <v>31</v>
      </c>
      <c r="M1652" s="5" t="s">
        <v>284</v>
      </c>
      <c r="N1652" s="5" t="s">
        <v>53</v>
      </c>
      <c r="O1652" s="5">
        <v>128</v>
      </c>
      <c r="P1652" s="5"/>
      <c r="Q1652" s="5"/>
      <c r="R1652" s="8">
        <v>8.1018518518518516E-5</v>
      </c>
      <c r="S1652" s="5" t="s">
        <v>37</v>
      </c>
      <c r="T1652" t="str">
        <f>IF(Tabela1[[#This Row],[STATUS_NEGOCIO]]="Enviar E-mail",1,"")</f>
        <v/>
      </c>
      <c r="U1652" t="str">
        <f>TEXT(Tabela1[[#This Row],[DATA]],"dd/mm/aaaa")</f>
        <v>22/04/2026</v>
      </c>
    </row>
    <row r="1653" spans="1:21" x14ac:dyDescent="0.25">
      <c r="A1653" s="4">
        <v>46134.688368055555</v>
      </c>
      <c r="B1653" s="5" t="s">
        <v>19</v>
      </c>
      <c r="C1653" s="5" t="s">
        <v>37</v>
      </c>
      <c r="D1653" s="5">
        <v>44</v>
      </c>
      <c r="E1653" s="6">
        <v>2823246000199</v>
      </c>
      <c r="F1653" s="5">
        <v>44</v>
      </c>
      <c r="G1653" s="7">
        <v>177688627578401</v>
      </c>
      <c r="H1653" s="5" t="s">
        <v>301</v>
      </c>
      <c r="I1653" s="5">
        <v>3003</v>
      </c>
      <c r="J1653" s="5" t="s">
        <v>22</v>
      </c>
      <c r="K1653" s="5" t="s">
        <v>23</v>
      </c>
      <c r="L1653" s="5" t="s">
        <v>31</v>
      </c>
      <c r="M1653" s="5" t="s">
        <v>284</v>
      </c>
      <c r="N1653" s="5" t="s">
        <v>53</v>
      </c>
      <c r="O1653" s="5">
        <v>128</v>
      </c>
      <c r="P1653" s="5"/>
      <c r="Q1653" s="5"/>
      <c r="R1653" s="8">
        <v>8.1018518518518516E-5</v>
      </c>
      <c r="S1653" s="5" t="s">
        <v>37</v>
      </c>
      <c r="T1653" t="str">
        <f>IF(Tabela1[[#This Row],[STATUS_NEGOCIO]]="Enviar E-mail",1,"")</f>
        <v/>
      </c>
      <c r="U1653" t="str">
        <f>TEXT(Tabela1[[#This Row],[DATA]],"dd/mm/aaaa")</f>
        <v>22/04/2026</v>
      </c>
    </row>
    <row r="1654" spans="1:21" x14ac:dyDescent="0.25">
      <c r="A1654" s="4">
        <v>46134.688460648147</v>
      </c>
      <c r="B1654" s="5" t="s">
        <v>19</v>
      </c>
      <c r="C1654" s="5" t="s">
        <v>37</v>
      </c>
      <c r="D1654" s="5">
        <v>46</v>
      </c>
      <c r="E1654" s="6">
        <v>2961614000165</v>
      </c>
      <c r="F1654" s="5">
        <v>46</v>
      </c>
      <c r="G1654" s="7">
        <v>177688628378421</v>
      </c>
      <c r="H1654" s="5" t="s">
        <v>192</v>
      </c>
      <c r="I1654" s="5" t="s">
        <v>52</v>
      </c>
      <c r="J1654" s="5" t="s">
        <v>22</v>
      </c>
      <c r="K1654" s="5" t="s">
        <v>36</v>
      </c>
      <c r="L1654" s="5" t="s">
        <v>36</v>
      </c>
      <c r="M1654" s="5" t="s">
        <v>284</v>
      </c>
      <c r="N1654" s="5" t="s">
        <v>53</v>
      </c>
      <c r="O1654" s="5">
        <v>34</v>
      </c>
      <c r="P1654" s="5"/>
      <c r="Q1654" s="5"/>
      <c r="R1654" s="8">
        <v>0</v>
      </c>
      <c r="S1654" s="5" t="s">
        <v>37</v>
      </c>
      <c r="T1654" t="str">
        <f>IF(Tabela1[[#This Row],[STATUS_NEGOCIO]]="Enviar E-mail",1,"")</f>
        <v/>
      </c>
      <c r="U1654" t="str">
        <f>TEXT(Tabela1[[#This Row],[DATA]],"dd/mm/aaaa")</f>
        <v>22/04/2026</v>
      </c>
    </row>
    <row r="1655" spans="1:21" x14ac:dyDescent="0.25">
      <c r="A1655" s="4">
        <v>46134.688460648147</v>
      </c>
      <c r="B1655" s="5" t="s">
        <v>19</v>
      </c>
      <c r="C1655" s="5" t="s">
        <v>37</v>
      </c>
      <c r="D1655" s="5">
        <v>47</v>
      </c>
      <c r="E1655" s="6">
        <v>3063053000140</v>
      </c>
      <c r="F1655" s="5">
        <v>47</v>
      </c>
      <c r="G1655" s="7">
        <v>177688628378431</v>
      </c>
      <c r="H1655" s="5" t="s">
        <v>302</v>
      </c>
      <c r="I1655" s="5">
        <v>3003</v>
      </c>
      <c r="J1655" s="5" t="s">
        <v>22</v>
      </c>
      <c r="K1655" s="5" t="s">
        <v>23</v>
      </c>
      <c r="L1655" s="5" t="s">
        <v>31</v>
      </c>
      <c r="M1655" s="5" t="s">
        <v>284</v>
      </c>
      <c r="N1655" s="5" t="s">
        <v>53</v>
      </c>
      <c r="O1655" s="5">
        <v>128</v>
      </c>
      <c r="P1655" s="5"/>
      <c r="Q1655" s="5"/>
      <c r="R1655" s="8">
        <v>6.9444444444444444E-5</v>
      </c>
      <c r="S1655" s="5" t="s">
        <v>37</v>
      </c>
      <c r="T1655" t="str">
        <f>IF(Tabela1[[#This Row],[STATUS_NEGOCIO]]="Enviar E-mail",1,"")</f>
        <v/>
      </c>
      <c r="U1655" t="str">
        <f>TEXT(Tabela1[[#This Row],[DATA]],"dd/mm/aaaa")</f>
        <v>22/04/2026</v>
      </c>
    </row>
    <row r="1656" spans="1:21" x14ac:dyDescent="0.25">
      <c r="A1656" s="4">
        <v>46134.688483796293</v>
      </c>
      <c r="B1656" s="5" t="s">
        <v>19</v>
      </c>
      <c r="C1656" s="5" t="s">
        <v>37</v>
      </c>
      <c r="D1656" s="5">
        <v>49</v>
      </c>
      <c r="E1656" s="6">
        <v>3130917000107</v>
      </c>
      <c r="F1656" s="5">
        <v>49</v>
      </c>
      <c r="G1656" s="7">
        <v>177688628578451</v>
      </c>
      <c r="H1656" s="5" t="s">
        <v>303</v>
      </c>
      <c r="I1656" s="5">
        <v>3003</v>
      </c>
      <c r="J1656" s="5" t="s">
        <v>22</v>
      </c>
      <c r="K1656" s="5" t="s">
        <v>23</v>
      </c>
      <c r="L1656" s="5" t="s">
        <v>31</v>
      </c>
      <c r="M1656" s="5" t="s">
        <v>284</v>
      </c>
      <c r="N1656" s="5" t="s">
        <v>53</v>
      </c>
      <c r="O1656" s="5">
        <v>128</v>
      </c>
      <c r="P1656" s="5"/>
      <c r="Q1656" s="5"/>
      <c r="R1656" s="8">
        <v>8.1018518518518516E-5</v>
      </c>
      <c r="S1656" s="5" t="s">
        <v>37</v>
      </c>
      <c r="T1656" t="str">
        <f>IF(Tabela1[[#This Row],[STATUS_NEGOCIO]]="Enviar E-mail",1,"")</f>
        <v/>
      </c>
      <c r="U1656" t="str">
        <f>TEXT(Tabela1[[#This Row],[DATA]],"dd/mm/aaaa")</f>
        <v>22/04/2026</v>
      </c>
    </row>
    <row r="1657" spans="1:21" x14ac:dyDescent="0.25">
      <c r="A1657" s="4">
        <v>46134.688518518517</v>
      </c>
      <c r="B1657" s="5" t="s">
        <v>19</v>
      </c>
      <c r="C1657" s="5" t="s">
        <v>37</v>
      </c>
      <c r="D1657" s="5">
        <v>50</v>
      </c>
      <c r="E1657" s="6">
        <v>3135802000105</v>
      </c>
      <c r="F1657" s="5">
        <v>50</v>
      </c>
      <c r="G1657" s="7">
        <v>177688628878461</v>
      </c>
      <c r="H1657" s="5" t="s">
        <v>304</v>
      </c>
      <c r="I1657" s="5">
        <v>3003</v>
      </c>
      <c r="J1657" s="5" t="s">
        <v>22</v>
      </c>
      <c r="K1657" s="5" t="s">
        <v>23</v>
      </c>
      <c r="L1657" s="5" t="s">
        <v>31</v>
      </c>
      <c r="M1657" s="5" t="s">
        <v>284</v>
      </c>
      <c r="N1657" s="5" t="s">
        <v>53</v>
      </c>
      <c r="O1657" s="5">
        <v>128</v>
      </c>
      <c r="P1657" s="5"/>
      <c r="Q1657" s="5"/>
      <c r="R1657" s="8">
        <v>8.1018518518518516E-5</v>
      </c>
      <c r="S1657" s="5" t="s">
        <v>37</v>
      </c>
      <c r="T1657" t="str">
        <f>IF(Tabela1[[#This Row],[STATUS_NEGOCIO]]="Enviar E-mail",1,"")</f>
        <v/>
      </c>
      <c r="U1657" t="str">
        <f>TEXT(Tabela1[[#This Row],[DATA]],"dd/mm/aaaa")</f>
        <v>22/04/2026</v>
      </c>
    </row>
    <row r="1658" spans="1:21" x14ac:dyDescent="0.25">
      <c r="A1658" s="4">
        <v>46134.688530092593</v>
      </c>
      <c r="B1658" s="5" t="s">
        <v>19</v>
      </c>
      <c r="C1658" s="5" t="s">
        <v>37</v>
      </c>
      <c r="D1658" s="5">
        <v>51</v>
      </c>
      <c r="E1658" s="6">
        <v>3276131000194</v>
      </c>
      <c r="F1658" s="5">
        <v>51</v>
      </c>
      <c r="G1658" s="7">
        <v>177688628978471</v>
      </c>
      <c r="H1658" s="5" t="s">
        <v>210</v>
      </c>
      <c r="I1658" s="5">
        <v>3003</v>
      </c>
      <c r="J1658" s="5" t="s">
        <v>22</v>
      </c>
      <c r="K1658" s="5" t="s">
        <v>23</v>
      </c>
      <c r="L1658" s="5" t="s">
        <v>31</v>
      </c>
      <c r="M1658" s="5" t="s">
        <v>284</v>
      </c>
      <c r="N1658" s="5" t="s">
        <v>53</v>
      </c>
      <c r="O1658" s="5">
        <v>128</v>
      </c>
      <c r="P1658" s="5"/>
      <c r="Q1658" s="5"/>
      <c r="R1658" s="8">
        <v>8.1018518518518516E-5</v>
      </c>
      <c r="S1658" s="5" t="s">
        <v>37</v>
      </c>
      <c r="T1658" t="str">
        <f>IF(Tabela1[[#This Row],[STATUS_NEGOCIO]]="Enviar E-mail",1,"")</f>
        <v/>
      </c>
      <c r="U1658" t="str">
        <f>TEXT(Tabela1[[#This Row],[DATA]],"dd/mm/aaaa")</f>
        <v>22/04/2026</v>
      </c>
    </row>
    <row r="1659" spans="1:21" x14ac:dyDescent="0.25">
      <c r="A1659" s="4">
        <v>46134.688634259262</v>
      </c>
      <c r="B1659" s="5" t="s">
        <v>19</v>
      </c>
      <c r="C1659" s="5" t="s">
        <v>37</v>
      </c>
      <c r="D1659" s="5">
        <v>52</v>
      </c>
      <c r="E1659" s="6">
        <v>3311811000100</v>
      </c>
      <c r="F1659" s="5">
        <v>52</v>
      </c>
      <c r="G1659" s="7">
        <v>177688629878491</v>
      </c>
      <c r="H1659" s="5" t="s">
        <v>305</v>
      </c>
      <c r="I1659" s="5">
        <v>3003</v>
      </c>
      <c r="J1659" s="5" t="s">
        <v>22</v>
      </c>
      <c r="K1659" s="5" t="s">
        <v>23</v>
      </c>
      <c r="L1659" s="5" t="s">
        <v>31</v>
      </c>
      <c r="M1659" s="5" t="s">
        <v>284</v>
      </c>
      <c r="N1659" s="5" t="s">
        <v>53</v>
      </c>
      <c r="O1659" s="5">
        <v>128</v>
      </c>
      <c r="P1659" s="5"/>
      <c r="Q1659" s="5"/>
      <c r="R1659" s="8">
        <v>6.9444444444444444E-5</v>
      </c>
      <c r="S1659" s="5" t="s">
        <v>37</v>
      </c>
      <c r="T1659" t="str">
        <f>IF(Tabela1[[#This Row],[STATUS_NEGOCIO]]="Enviar E-mail",1,"")</f>
        <v/>
      </c>
      <c r="U1659" t="str">
        <f>TEXT(Tabela1[[#This Row],[DATA]],"dd/mm/aaaa")</f>
        <v>22/04/2026</v>
      </c>
    </row>
    <row r="1660" spans="1:21" x14ac:dyDescent="0.25">
      <c r="A1660" s="4">
        <v>46134.688703703701</v>
      </c>
      <c r="B1660" s="5" t="s">
        <v>19</v>
      </c>
      <c r="C1660" s="5" t="s">
        <v>37</v>
      </c>
      <c r="D1660" s="5">
        <v>53</v>
      </c>
      <c r="E1660" s="6">
        <v>3463826000185</v>
      </c>
      <c r="F1660" s="5">
        <v>53</v>
      </c>
      <c r="G1660" s="7">
        <v>177688630478501</v>
      </c>
      <c r="H1660" s="5" t="s">
        <v>306</v>
      </c>
      <c r="I1660" s="5">
        <v>3003</v>
      </c>
      <c r="J1660" s="5" t="s">
        <v>22</v>
      </c>
      <c r="K1660" s="5" t="s">
        <v>23</v>
      </c>
      <c r="L1660" s="5" t="s">
        <v>31</v>
      </c>
      <c r="M1660" s="5" t="s">
        <v>284</v>
      </c>
      <c r="N1660" s="5" t="s">
        <v>53</v>
      </c>
      <c r="O1660" s="5">
        <v>147</v>
      </c>
      <c r="P1660" s="5"/>
      <c r="Q1660" s="5"/>
      <c r="R1660" s="8">
        <v>8.1018518518518516E-5</v>
      </c>
      <c r="S1660" s="5" t="s">
        <v>37</v>
      </c>
      <c r="T1660" t="str">
        <f>IF(Tabela1[[#This Row],[STATUS_NEGOCIO]]="Enviar E-mail",1,"")</f>
        <v/>
      </c>
      <c r="U1660" t="str">
        <f>TEXT(Tabela1[[#This Row],[DATA]],"dd/mm/aaaa")</f>
        <v>22/04/2026</v>
      </c>
    </row>
    <row r="1661" spans="1:21" x14ac:dyDescent="0.25">
      <c r="A1661" s="4">
        <v>46134.688750000001</v>
      </c>
      <c r="B1661" s="5" t="s">
        <v>19</v>
      </c>
      <c r="C1661" s="5" t="s">
        <v>37</v>
      </c>
      <c r="D1661" s="5">
        <v>55</v>
      </c>
      <c r="E1661" s="6">
        <v>3488597000153</v>
      </c>
      <c r="F1661" s="5">
        <v>55</v>
      </c>
      <c r="G1661" s="7">
        <v>177688630878511</v>
      </c>
      <c r="H1661" s="5" t="s">
        <v>308</v>
      </c>
      <c r="I1661" s="5">
        <v>3003</v>
      </c>
      <c r="J1661" s="5" t="s">
        <v>22</v>
      </c>
      <c r="K1661" s="5" t="s">
        <v>23</v>
      </c>
      <c r="L1661" s="5" t="s">
        <v>31</v>
      </c>
      <c r="M1661" s="5" t="s">
        <v>284</v>
      </c>
      <c r="N1661" s="5" t="s">
        <v>53</v>
      </c>
      <c r="O1661" s="5">
        <v>128</v>
      </c>
      <c r="P1661" s="5"/>
      <c r="Q1661" s="5"/>
      <c r="R1661" s="8">
        <v>8.1018518518518516E-5</v>
      </c>
      <c r="S1661" s="5" t="s">
        <v>37</v>
      </c>
      <c r="T1661" t="str">
        <f>IF(Tabela1[[#This Row],[STATUS_NEGOCIO]]="Enviar E-mail",1,"")</f>
        <v/>
      </c>
      <c r="U1661" t="str">
        <f>TEXT(Tabela1[[#This Row],[DATA]],"dd/mm/aaaa")</f>
        <v>22/04/2026</v>
      </c>
    </row>
    <row r="1662" spans="1:21" x14ac:dyDescent="0.25">
      <c r="A1662" s="4">
        <v>46134.688796296294</v>
      </c>
      <c r="B1662" s="5" t="s">
        <v>19</v>
      </c>
      <c r="C1662" s="5" t="s">
        <v>37</v>
      </c>
      <c r="D1662" s="5">
        <v>59</v>
      </c>
      <c r="E1662" s="6">
        <v>3904574000182</v>
      </c>
      <c r="F1662" s="5">
        <v>59</v>
      </c>
      <c r="G1662" s="7">
        <v>177688631278531</v>
      </c>
      <c r="H1662" s="5" t="s">
        <v>312</v>
      </c>
      <c r="I1662" s="5">
        <v>3003</v>
      </c>
      <c r="J1662" s="5" t="s">
        <v>22</v>
      </c>
      <c r="K1662" s="5" t="s">
        <v>23</v>
      </c>
      <c r="L1662" s="5" t="s">
        <v>31</v>
      </c>
      <c r="M1662" s="5" t="s">
        <v>284</v>
      </c>
      <c r="N1662" s="5" t="s">
        <v>53</v>
      </c>
      <c r="O1662" s="5">
        <v>128</v>
      </c>
      <c r="P1662" s="5"/>
      <c r="Q1662" s="5"/>
      <c r="R1662" s="8">
        <v>6.9444444444444444E-5</v>
      </c>
      <c r="S1662" s="5" t="s">
        <v>37</v>
      </c>
      <c r="T1662" t="str">
        <f>IF(Tabela1[[#This Row],[STATUS_NEGOCIO]]="Enviar E-mail",1,"")</f>
        <v/>
      </c>
      <c r="U1662" t="str">
        <f>TEXT(Tabela1[[#This Row],[DATA]],"dd/mm/aaaa")</f>
        <v>22/04/2026</v>
      </c>
    </row>
    <row r="1663" spans="1:21" x14ac:dyDescent="0.25">
      <c r="A1663" s="4">
        <v>46134.688807870371</v>
      </c>
      <c r="B1663" s="5" t="s">
        <v>19</v>
      </c>
      <c r="C1663" s="5" t="s">
        <v>37</v>
      </c>
      <c r="D1663" s="5">
        <v>60</v>
      </c>
      <c r="E1663" s="6">
        <v>3954733000153</v>
      </c>
      <c r="F1663" s="5">
        <v>60</v>
      </c>
      <c r="G1663" s="7">
        <v>177688631378551</v>
      </c>
      <c r="H1663" s="5" t="s">
        <v>313</v>
      </c>
      <c r="I1663" s="5">
        <v>3003</v>
      </c>
      <c r="J1663" s="5" t="s">
        <v>22</v>
      </c>
      <c r="K1663" s="5" t="s">
        <v>23</v>
      </c>
      <c r="L1663" s="5" t="s">
        <v>31</v>
      </c>
      <c r="M1663" s="5" t="s">
        <v>284</v>
      </c>
      <c r="N1663" s="5" t="s">
        <v>53</v>
      </c>
      <c r="O1663" s="5">
        <v>128</v>
      </c>
      <c r="P1663" s="5"/>
      <c r="Q1663" s="5"/>
      <c r="R1663" s="8">
        <v>8.1018518518518516E-5</v>
      </c>
      <c r="S1663" s="5" t="s">
        <v>37</v>
      </c>
      <c r="T1663" t="str">
        <f>IF(Tabela1[[#This Row],[STATUS_NEGOCIO]]="Enviar E-mail",1,"")</f>
        <v/>
      </c>
      <c r="U1663" t="str">
        <f>TEXT(Tabela1[[#This Row],[DATA]],"dd/mm/aaaa")</f>
        <v>22/04/2026</v>
      </c>
    </row>
    <row r="1664" spans="1:21" x14ac:dyDescent="0.25">
      <c r="A1664" s="4">
        <v>46134.688807870371</v>
      </c>
      <c r="B1664" s="5" t="s">
        <v>19</v>
      </c>
      <c r="C1664" s="5" t="s">
        <v>37</v>
      </c>
      <c r="D1664" s="5">
        <v>61</v>
      </c>
      <c r="E1664" s="6">
        <v>3995747000115</v>
      </c>
      <c r="F1664" s="5">
        <v>61</v>
      </c>
      <c r="G1664" s="7">
        <v>177688631378571</v>
      </c>
      <c r="H1664" s="5" t="s">
        <v>314</v>
      </c>
      <c r="I1664" s="5">
        <v>3003</v>
      </c>
      <c r="J1664" s="5" t="s">
        <v>22</v>
      </c>
      <c r="K1664" s="5" t="s">
        <v>23</v>
      </c>
      <c r="L1664" s="5" t="s">
        <v>31</v>
      </c>
      <c r="M1664" s="5" t="s">
        <v>284</v>
      </c>
      <c r="N1664" s="5" t="s">
        <v>53</v>
      </c>
      <c r="O1664" s="5">
        <v>128</v>
      </c>
      <c r="P1664" s="5"/>
      <c r="Q1664" s="5"/>
      <c r="R1664" s="8">
        <v>8.1018518518518516E-5</v>
      </c>
      <c r="S1664" s="5" t="s">
        <v>37</v>
      </c>
      <c r="T1664" t="str">
        <f>IF(Tabela1[[#This Row],[STATUS_NEGOCIO]]="Enviar E-mail",1,"")</f>
        <v/>
      </c>
      <c r="U1664" t="str">
        <f>TEXT(Tabela1[[#This Row],[DATA]],"dd/mm/aaaa")</f>
        <v>22/04/2026</v>
      </c>
    </row>
    <row r="1665" spans="1:21" x14ac:dyDescent="0.25">
      <c r="A1665" s="4">
        <v>46134.688888888886</v>
      </c>
      <c r="B1665" s="5" t="s">
        <v>19</v>
      </c>
      <c r="C1665" s="5" t="s">
        <v>37</v>
      </c>
      <c r="D1665" s="5">
        <v>62</v>
      </c>
      <c r="E1665" s="6">
        <v>4028062000162</v>
      </c>
      <c r="F1665" s="5">
        <v>62</v>
      </c>
      <c r="G1665" s="7">
        <v>177688632078591</v>
      </c>
      <c r="H1665" s="5" t="s">
        <v>315</v>
      </c>
      <c r="I1665" s="5">
        <v>3003</v>
      </c>
      <c r="J1665" s="5" t="s">
        <v>22</v>
      </c>
      <c r="K1665" s="5" t="s">
        <v>23</v>
      </c>
      <c r="L1665" s="5" t="s">
        <v>31</v>
      </c>
      <c r="M1665" s="5" t="s">
        <v>284</v>
      </c>
      <c r="N1665" s="5" t="s">
        <v>53</v>
      </c>
      <c r="O1665" s="5">
        <v>147</v>
      </c>
      <c r="P1665" s="5"/>
      <c r="Q1665" s="5"/>
      <c r="R1665" s="8">
        <v>8.1018518518518516E-5</v>
      </c>
      <c r="S1665" s="5" t="s">
        <v>37</v>
      </c>
      <c r="T1665" t="str">
        <f>IF(Tabela1[[#This Row],[STATUS_NEGOCIO]]="Enviar E-mail",1,"")</f>
        <v/>
      </c>
      <c r="U1665" t="str">
        <f>TEXT(Tabela1[[#This Row],[DATA]],"dd/mm/aaaa")</f>
        <v>22/04/2026</v>
      </c>
    </row>
    <row r="1666" spans="1:21" x14ac:dyDescent="0.25">
      <c r="A1666" s="4">
        <v>46134.688923611109</v>
      </c>
      <c r="B1666" s="5" t="s">
        <v>19</v>
      </c>
      <c r="C1666" s="5" t="s">
        <v>37</v>
      </c>
      <c r="D1666" s="5">
        <v>63</v>
      </c>
      <c r="E1666" s="6">
        <v>4044746000158</v>
      </c>
      <c r="F1666" s="5">
        <v>63</v>
      </c>
      <c r="G1666" s="7">
        <v>177688632378611</v>
      </c>
      <c r="H1666" s="5" t="s">
        <v>110</v>
      </c>
      <c r="I1666" s="5">
        <v>3003</v>
      </c>
      <c r="J1666" s="5" t="s">
        <v>22</v>
      </c>
      <c r="K1666" s="5" t="s">
        <v>23</v>
      </c>
      <c r="L1666" s="5" t="s">
        <v>31</v>
      </c>
      <c r="M1666" s="5" t="s">
        <v>284</v>
      </c>
      <c r="N1666" s="5" t="s">
        <v>53</v>
      </c>
      <c r="O1666" s="5">
        <v>128</v>
      </c>
      <c r="P1666" s="5"/>
      <c r="Q1666" s="5"/>
      <c r="R1666" s="8">
        <v>6.9444444444444444E-5</v>
      </c>
      <c r="S1666" s="5" t="s">
        <v>37</v>
      </c>
      <c r="T1666" t="str">
        <f>IF(Tabela1[[#This Row],[STATUS_NEGOCIO]]="Enviar E-mail",1,"")</f>
        <v/>
      </c>
      <c r="U1666" t="str">
        <f>TEXT(Tabela1[[#This Row],[DATA]],"dd/mm/aaaa")</f>
        <v>22/04/2026</v>
      </c>
    </row>
    <row r="1667" spans="1:21" x14ac:dyDescent="0.25">
      <c r="A1667" s="4">
        <v>46134.688958333332</v>
      </c>
      <c r="B1667" s="5" t="s">
        <v>19</v>
      </c>
      <c r="C1667" s="5" t="s">
        <v>37</v>
      </c>
      <c r="D1667" s="5">
        <v>64</v>
      </c>
      <c r="E1667" s="6">
        <v>4048649000133</v>
      </c>
      <c r="F1667" s="5">
        <v>64</v>
      </c>
      <c r="G1667" s="7">
        <v>177688632678631</v>
      </c>
      <c r="H1667" s="5" t="s">
        <v>137</v>
      </c>
      <c r="I1667" s="5">
        <v>3003</v>
      </c>
      <c r="J1667" s="5" t="s">
        <v>22</v>
      </c>
      <c r="K1667" s="5" t="s">
        <v>23</v>
      </c>
      <c r="L1667" s="5" t="s">
        <v>31</v>
      </c>
      <c r="M1667" s="5" t="s">
        <v>284</v>
      </c>
      <c r="N1667" s="5" t="s">
        <v>53</v>
      </c>
      <c r="O1667" s="5">
        <v>128</v>
      </c>
      <c r="P1667" s="5"/>
      <c r="Q1667" s="5"/>
      <c r="R1667" s="8">
        <v>8.1018518518518516E-5</v>
      </c>
      <c r="S1667" s="5" t="s">
        <v>37</v>
      </c>
      <c r="T1667" t="str">
        <f>IF(Tabela1[[#This Row],[STATUS_NEGOCIO]]="Enviar E-mail",1,"")</f>
        <v/>
      </c>
      <c r="U1667" t="str">
        <f>TEXT(Tabela1[[#This Row],[DATA]],"dd/mm/aaaa")</f>
        <v>22/04/2026</v>
      </c>
    </row>
    <row r="1668" spans="1:21" x14ac:dyDescent="0.25">
      <c r="A1668" s="4">
        <v>46134.688993055555</v>
      </c>
      <c r="B1668" s="5" t="s">
        <v>19</v>
      </c>
      <c r="C1668" s="5" t="s">
        <v>27</v>
      </c>
      <c r="D1668" s="5">
        <v>65</v>
      </c>
      <c r="E1668" s="6">
        <v>4063828000140</v>
      </c>
      <c r="F1668" s="5">
        <v>65</v>
      </c>
      <c r="G1668" s="7">
        <v>177688632978661</v>
      </c>
      <c r="H1668" s="5" t="s">
        <v>316</v>
      </c>
      <c r="I1668" s="5">
        <v>3003</v>
      </c>
      <c r="J1668" s="5" t="s">
        <v>22</v>
      </c>
      <c r="K1668" s="5" t="s">
        <v>23</v>
      </c>
      <c r="L1668" s="5" t="s">
        <v>40</v>
      </c>
      <c r="M1668" s="5" t="s">
        <v>284</v>
      </c>
      <c r="N1668" s="5" t="s">
        <v>26</v>
      </c>
      <c r="O1668" s="5">
        <v>16</v>
      </c>
      <c r="P1668" s="5"/>
      <c r="Q1668" s="5"/>
      <c r="R1668" s="8">
        <v>1.6782407407407408E-3</v>
      </c>
      <c r="S1668" s="8">
        <v>1.6319444444444445E-3</v>
      </c>
      <c r="T1668">
        <f>IF(Tabela1[[#This Row],[STATUS_NEGOCIO]]="Enviar E-mail",1,"")</f>
        <v>1</v>
      </c>
      <c r="U1668" t="str">
        <f>TEXT(Tabela1[[#This Row],[DATA]],"dd/mm/aaaa")</f>
        <v>22/04/2026</v>
      </c>
    </row>
    <row r="1669" spans="1:21" x14ac:dyDescent="0.25">
      <c r="A1669" s="4">
        <v>46134.688993055555</v>
      </c>
      <c r="B1669" s="5" t="s">
        <v>19</v>
      </c>
      <c r="C1669" s="5" t="s">
        <v>37</v>
      </c>
      <c r="D1669" s="5">
        <v>66</v>
      </c>
      <c r="E1669" s="6">
        <v>4137354000133</v>
      </c>
      <c r="F1669" s="5">
        <v>66</v>
      </c>
      <c r="G1669" s="7">
        <v>177688632978671</v>
      </c>
      <c r="H1669" s="5" t="s">
        <v>136</v>
      </c>
      <c r="I1669" s="5">
        <v>3003</v>
      </c>
      <c r="J1669" s="5" t="s">
        <v>22</v>
      </c>
      <c r="K1669" s="5" t="s">
        <v>23</v>
      </c>
      <c r="L1669" s="5" t="s">
        <v>31</v>
      </c>
      <c r="M1669" s="5" t="s">
        <v>284</v>
      </c>
      <c r="N1669" s="5" t="s">
        <v>53</v>
      </c>
      <c r="O1669" s="5">
        <v>128</v>
      </c>
      <c r="P1669" s="5"/>
      <c r="Q1669" s="5"/>
      <c r="R1669" s="8">
        <v>8.1018518518518516E-5</v>
      </c>
      <c r="S1669" s="5" t="s">
        <v>37</v>
      </c>
      <c r="T1669" t="str">
        <f>IF(Tabela1[[#This Row],[STATUS_NEGOCIO]]="Enviar E-mail",1,"")</f>
        <v/>
      </c>
      <c r="U1669" t="str">
        <f>TEXT(Tabela1[[#This Row],[DATA]],"dd/mm/aaaa")</f>
        <v>22/04/2026</v>
      </c>
    </row>
    <row r="1670" spans="1:21" x14ac:dyDescent="0.25">
      <c r="A1670" s="4">
        <v>46134.689004629632</v>
      </c>
      <c r="B1670" s="5" t="s">
        <v>19</v>
      </c>
      <c r="C1670" s="5" t="s">
        <v>37</v>
      </c>
      <c r="D1670" s="5">
        <v>67</v>
      </c>
      <c r="E1670" s="6">
        <v>4160599000181</v>
      </c>
      <c r="F1670" s="5">
        <v>67</v>
      </c>
      <c r="G1670" s="7">
        <v>177688633078691</v>
      </c>
      <c r="H1670" s="5" t="s">
        <v>238</v>
      </c>
      <c r="I1670" s="5">
        <v>3003</v>
      </c>
      <c r="J1670" s="5" t="s">
        <v>22</v>
      </c>
      <c r="K1670" s="5" t="s">
        <v>23</v>
      </c>
      <c r="L1670" s="5" t="s">
        <v>31</v>
      </c>
      <c r="M1670" s="5" t="s">
        <v>284</v>
      </c>
      <c r="N1670" s="5" t="s">
        <v>53</v>
      </c>
      <c r="O1670" s="5">
        <v>128</v>
      </c>
      <c r="P1670" s="5"/>
      <c r="Q1670" s="5"/>
      <c r="R1670" s="8">
        <v>8.1018518518518516E-5</v>
      </c>
      <c r="S1670" s="5" t="s">
        <v>37</v>
      </c>
      <c r="T1670" t="str">
        <f>IF(Tabela1[[#This Row],[STATUS_NEGOCIO]]="Enviar E-mail",1,"")</f>
        <v/>
      </c>
      <c r="U1670" t="str">
        <f>TEXT(Tabela1[[#This Row],[DATA]],"dd/mm/aaaa")</f>
        <v>22/04/2026</v>
      </c>
    </row>
    <row r="1671" spans="1:21" x14ac:dyDescent="0.25">
      <c r="A1671" s="4">
        <v>46134.689016203702</v>
      </c>
      <c r="B1671" s="5" t="s">
        <v>19</v>
      </c>
      <c r="C1671" s="5" t="s">
        <v>37</v>
      </c>
      <c r="D1671" s="5">
        <v>68</v>
      </c>
      <c r="E1671" s="6">
        <v>4356149000169</v>
      </c>
      <c r="F1671" s="5">
        <v>68</v>
      </c>
      <c r="G1671" s="7">
        <v>177688633178701</v>
      </c>
      <c r="H1671" s="5" t="s">
        <v>317</v>
      </c>
      <c r="I1671" s="5">
        <v>3003</v>
      </c>
      <c r="J1671" s="5" t="s">
        <v>22</v>
      </c>
      <c r="K1671" s="5" t="s">
        <v>23</v>
      </c>
      <c r="L1671" s="5" t="s">
        <v>31</v>
      </c>
      <c r="M1671" s="5" t="s">
        <v>284</v>
      </c>
      <c r="N1671" s="5" t="s">
        <v>53</v>
      </c>
      <c r="O1671" s="5">
        <v>128</v>
      </c>
      <c r="P1671" s="5"/>
      <c r="Q1671" s="5"/>
      <c r="R1671" s="8">
        <v>6.9444444444444444E-5</v>
      </c>
      <c r="S1671" s="5" t="s">
        <v>37</v>
      </c>
      <c r="T1671" t="str">
        <f>IF(Tabela1[[#This Row],[STATUS_NEGOCIO]]="Enviar E-mail",1,"")</f>
        <v/>
      </c>
      <c r="U1671" t="str">
        <f>TEXT(Tabela1[[#This Row],[DATA]],"dd/mm/aaaa")</f>
        <v>22/04/2026</v>
      </c>
    </row>
    <row r="1672" spans="1:21" x14ac:dyDescent="0.25">
      <c r="A1672" s="4">
        <v>46134.689062500001</v>
      </c>
      <c r="B1672" s="5" t="s">
        <v>19</v>
      </c>
      <c r="C1672" s="5" t="s">
        <v>37</v>
      </c>
      <c r="D1672" s="5">
        <v>69</v>
      </c>
      <c r="E1672" s="6">
        <v>4371864000170</v>
      </c>
      <c r="F1672" s="5">
        <v>69</v>
      </c>
      <c r="G1672" s="7">
        <v>177688633578721</v>
      </c>
      <c r="H1672" s="5" t="s">
        <v>318</v>
      </c>
      <c r="I1672" s="5">
        <v>3003</v>
      </c>
      <c r="J1672" s="5" t="s">
        <v>22</v>
      </c>
      <c r="K1672" s="5" t="s">
        <v>23</v>
      </c>
      <c r="L1672" s="5" t="s">
        <v>31</v>
      </c>
      <c r="M1672" s="5" t="s">
        <v>284</v>
      </c>
      <c r="N1672" s="5" t="s">
        <v>53</v>
      </c>
      <c r="O1672" s="5">
        <v>128</v>
      </c>
      <c r="P1672" s="5"/>
      <c r="Q1672" s="5"/>
      <c r="R1672" s="8">
        <v>8.1018518518518516E-5</v>
      </c>
      <c r="S1672" s="5" t="s">
        <v>37</v>
      </c>
      <c r="T1672" t="str">
        <f>IF(Tabela1[[#This Row],[STATUS_NEGOCIO]]="Enviar E-mail",1,"")</f>
        <v/>
      </c>
      <c r="U1672" t="str">
        <f>TEXT(Tabela1[[#This Row],[DATA]],"dd/mm/aaaa")</f>
        <v>22/04/2026</v>
      </c>
    </row>
    <row r="1673" spans="1:21" x14ac:dyDescent="0.25">
      <c r="A1673" s="4">
        <v>46134.689074074071</v>
      </c>
      <c r="B1673" s="5" t="s">
        <v>19</v>
      </c>
      <c r="C1673" s="5" t="s">
        <v>20</v>
      </c>
      <c r="D1673" s="5">
        <v>70</v>
      </c>
      <c r="E1673" s="6">
        <v>4373195000176</v>
      </c>
      <c r="F1673" s="5">
        <v>70</v>
      </c>
      <c r="G1673" s="7">
        <v>177688633678741</v>
      </c>
      <c r="H1673" s="5" t="s">
        <v>319</v>
      </c>
      <c r="I1673" s="5">
        <v>3003</v>
      </c>
      <c r="J1673" s="5" t="s">
        <v>22</v>
      </c>
      <c r="K1673" s="5" t="s">
        <v>23</v>
      </c>
      <c r="L1673" s="5" t="s">
        <v>40</v>
      </c>
      <c r="M1673" s="5" t="s">
        <v>284</v>
      </c>
      <c r="N1673" s="5" t="s">
        <v>26</v>
      </c>
      <c r="O1673" s="5">
        <v>16</v>
      </c>
      <c r="P1673" s="5"/>
      <c r="Q1673" s="5"/>
      <c r="R1673" s="8">
        <v>2.3958333333333331E-3</v>
      </c>
      <c r="S1673" s="8">
        <v>2.3495370370370371E-3</v>
      </c>
      <c r="T1673">
        <f>IF(Tabela1[[#This Row],[STATUS_NEGOCIO]]="Enviar E-mail",1,"")</f>
        <v>1</v>
      </c>
      <c r="U1673" t="str">
        <f>TEXT(Tabela1[[#This Row],[DATA]],"dd/mm/aaaa")</f>
        <v>22/04/2026</v>
      </c>
    </row>
    <row r="1674" spans="1:21" x14ac:dyDescent="0.25">
      <c r="A1674" s="4">
        <v>46134.689108796294</v>
      </c>
      <c r="B1674" s="5" t="s">
        <v>19</v>
      </c>
      <c r="C1674" s="5" t="s">
        <v>37</v>
      </c>
      <c r="D1674" s="5">
        <v>71</v>
      </c>
      <c r="E1674" s="6">
        <v>4433625000106</v>
      </c>
      <c r="F1674" s="5">
        <v>71</v>
      </c>
      <c r="G1674" s="7">
        <v>177688633978771</v>
      </c>
      <c r="H1674" s="5" t="s">
        <v>320</v>
      </c>
      <c r="I1674" s="5">
        <v>3003</v>
      </c>
      <c r="J1674" s="5" t="s">
        <v>22</v>
      </c>
      <c r="K1674" s="5" t="s">
        <v>23</v>
      </c>
      <c r="L1674" s="5" t="s">
        <v>31</v>
      </c>
      <c r="M1674" s="5" t="s">
        <v>284</v>
      </c>
      <c r="N1674" s="5" t="s">
        <v>53</v>
      </c>
      <c r="O1674" s="5">
        <v>128</v>
      </c>
      <c r="P1674" s="5"/>
      <c r="Q1674" s="5"/>
      <c r="R1674" s="8">
        <v>8.1018518518518516E-5</v>
      </c>
      <c r="S1674" s="5" t="s">
        <v>37</v>
      </c>
      <c r="T1674" t="str">
        <f>IF(Tabela1[[#This Row],[STATUS_NEGOCIO]]="Enviar E-mail",1,"")</f>
        <v/>
      </c>
      <c r="U1674" t="str">
        <f>TEXT(Tabela1[[#This Row],[DATA]],"dd/mm/aaaa")</f>
        <v>22/04/2026</v>
      </c>
    </row>
    <row r="1675" spans="1:21" x14ac:dyDescent="0.25">
      <c r="A1675" s="4">
        <v>46134.689212962963</v>
      </c>
      <c r="B1675" s="5" t="s">
        <v>19</v>
      </c>
      <c r="C1675" s="5" t="s">
        <v>37</v>
      </c>
      <c r="D1675" s="5">
        <v>72</v>
      </c>
      <c r="E1675" s="6">
        <v>4652839000165</v>
      </c>
      <c r="F1675" s="5">
        <v>72</v>
      </c>
      <c r="G1675" s="7">
        <v>177688634878801</v>
      </c>
      <c r="H1675" s="5" t="s">
        <v>208</v>
      </c>
      <c r="I1675" s="5">
        <v>3003</v>
      </c>
      <c r="J1675" s="5" t="s">
        <v>22</v>
      </c>
      <c r="K1675" s="5" t="s">
        <v>23</v>
      </c>
      <c r="L1675" s="5" t="s">
        <v>31</v>
      </c>
      <c r="M1675" s="5" t="s">
        <v>284</v>
      </c>
      <c r="N1675" s="5" t="s">
        <v>53</v>
      </c>
      <c r="O1675" s="5">
        <v>128</v>
      </c>
      <c r="P1675" s="5"/>
      <c r="Q1675" s="5"/>
      <c r="R1675" s="8">
        <v>8.1018518518518516E-5</v>
      </c>
      <c r="S1675" s="5" t="s">
        <v>37</v>
      </c>
      <c r="T1675" t="str">
        <f>IF(Tabela1[[#This Row],[STATUS_NEGOCIO]]="Enviar E-mail",1,"")</f>
        <v/>
      </c>
      <c r="U1675" t="str">
        <f>TEXT(Tabela1[[#This Row],[DATA]],"dd/mm/aaaa")</f>
        <v>22/04/2026</v>
      </c>
    </row>
    <row r="1676" spans="1:21" x14ac:dyDescent="0.25">
      <c r="A1676" s="4">
        <v>46134.68922453704</v>
      </c>
      <c r="B1676" s="5" t="s">
        <v>19</v>
      </c>
      <c r="C1676" s="5" t="s">
        <v>37</v>
      </c>
      <c r="D1676" s="5">
        <v>73</v>
      </c>
      <c r="E1676" s="6">
        <v>4728735000197</v>
      </c>
      <c r="F1676" s="5">
        <v>73</v>
      </c>
      <c r="G1676" s="7">
        <v>177688634978811</v>
      </c>
      <c r="H1676" s="5" t="s">
        <v>321</v>
      </c>
      <c r="I1676" s="5">
        <v>3003</v>
      </c>
      <c r="J1676" s="5" t="s">
        <v>22</v>
      </c>
      <c r="K1676" s="5" t="s">
        <v>23</v>
      </c>
      <c r="L1676" s="5" t="s">
        <v>31</v>
      </c>
      <c r="M1676" s="5" t="s">
        <v>284</v>
      </c>
      <c r="N1676" s="5" t="s">
        <v>53</v>
      </c>
      <c r="O1676" s="5">
        <v>128</v>
      </c>
      <c r="P1676" s="5"/>
      <c r="Q1676" s="5"/>
      <c r="R1676" s="8">
        <v>6.9444444444444444E-5</v>
      </c>
      <c r="S1676" s="5" t="s">
        <v>37</v>
      </c>
      <c r="T1676" t="str">
        <f>IF(Tabela1[[#This Row],[STATUS_NEGOCIO]]="Enviar E-mail",1,"")</f>
        <v/>
      </c>
      <c r="U1676" t="str">
        <f>TEXT(Tabela1[[#This Row],[DATA]],"dd/mm/aaaa")</f>
        <v>22/04/2026</v>
      </c>
    </row>
    <row r="1677" spans="1:21" x14ac:dyDescent="0.25">
      <c r="A1677" s="4">
        <v>46134.689236111109</v>
      </c>
      <c r="B1677" s="5" t="s">
        <v>19</v>
      </c>
      <c r="C1677" s="5" t="s">
        <v>37</v>
      </c>
      <c r="D1677" s="5">
        <v>74</v>
      </c>
      <c r="E1677" s="6">
        <v>4900076000124</v>
      </c>
      <c r="F1677" s="5">
        <v>74</v>
      </c>
      <c r="G1677" s="7">
        <v>177688635078831</v>
      </c>
      <c r="H1677" s="5" t="s">
        <v>322</v>
      </c>
      <c r="I1677" s="5">
        <v>3003</v>
      </c>
      <c r="J1677" s="5" t="s">
        <v>22</v>
      </c>
      <c r="K1677" s="5" t="s">
        <v>23</v>
      </c>
      <c r="L1677" s="5" t="s">
        <v>31</v>
      </c>
      <c r="M1677" s="5" t="s">
        <v>284</v>
      </c>
      <c r="N1677" s="5" t="s">
        <v>53</v>
      </c>
      <c r="O1677" s="5">
        <v>128</v>
      </c>
      <c r="P1677" s="5"/>
      <c r="Q1677" s="5"/>
      <c r="R1677" s="8">
        <v>8.1018518518518516E-5</v>
      </c>
      <c r="S1677" s="5" t="s">
        <v>37</v>
      </c>
      <c r="T1677" t="str">
        <f>IF(Tabela1[[#This Row],[STATUS_NEGOCIO]]="Enviar E-mail",1,"")</f>
        <v/>
      </c>
      <c r="U1677" t="str">
        <f>TEXT(Tabela1[[#This Row],[DATA]],"dd/mm/aaaa")</f>
        <v>22/04/2026</v>
      </c>
    </row>
    <row r="1678" spans="1:21" x14ac:dyDescent="0.25">
      <c r="A1678" s="4">
        <v>46134.689282407409</v>
      </c>
      <c r="B1678" s="5" t="s">
        <v>19</v>
      </c>
      <c r="C1678" s="5" t="s">
        <v>37</v>
      </c>
      <c r="D1678" s="5">
        <v>75</v>
      </c>
      <c r="E1678" s="6">
        <v>4987252000107</v>
      </c>
      <c r="F1678" s="5">
        <v>75</v>
      </c>
      <c r="G1678" s="7">
        <v>177688635478851</v>
      </c>
      <c r="H1678" s="5" t="s">
        <v>323</v>
      </c>
      <c r="I1678" s="5">
        <v>3003</v>
      </c>
      <c r="J1678" s="5" t="s">
        <v>22</v>
      </c>
      <c r="K1678" s="5" t="s">
        <v>23</v>
      </c>
      <c r="L1678" s="5" t="s">
        <v>31</v>
      </c>
      <c r="M1678" s="5" t="s">
        <v>284</v>
      </c>
      <c r="N1678" s="5" t="s">
        <v>53</v>
      </c>
      <c r="O1678" s="5">
        <v>128</v>
      </c>
      <c r="P1678" s="5"/>
      <c r="Q1678" s="5"/>
      <c r="R1678" s="8">
        <v>8.1018518518518516E-5</v>
      </c>
      <c r="S1678" s="5" t="s">
        <v>37</v>
      </c>
      <c r="T1678" t="str">
        <f>IF(Tabela1[[#This Row],[STATUS_NEGOCIO]]="Enviar E-mail",1,"")</f>
        <v/>
      </c>
      <c r="U1678" t="str">
        <f>TEXT(Tabela1[[#This Row],[DATA]],"dd/mm/aaaa")</f>
        <v>22/04/2026</v>
      </c>
    </row>
    <row r="1679" spans="1:21" x14ac:dyDescent="0.25">
      <c r="A1679" s="4">
        <v>46134.689293981479</v>
      </c>
      <c r="B1679" s="5" t="s">
        <v>19</v>
      </c>
      <c r="C1679" s="5" t="s">
        <v>37</v>
      </c>
      <c r="D1679" s="5">
        <v>76</v>
      </c>
      <c r="E1679" s="6">
        <v>5068583000106</v>
      </c>
      <c r="F1679" s="5">
        <v>76</v>
      </c>
      <c r="G1679" s="7">
        <v>177688635578871</v>
      </c>
      <c r="H1679" s="5" t="s">
        <v>174</v>
      </c>
      <c r="I1679" s="5">
        <v>3003</v>
      </c>
      <c r="J1679" s="5" t="s">
        <v>22</v>
      </c>
      <c r="K1679" s="5" t="s">
        <v>23</v>
      </c>
      <c r="L1679" s="5" t="s">
        <v>31</v>
      </c>
      <c r="M1679" s="5" t="s">
        <v>284</v>
      </c>
      <c r="N1679" s="5" t="s">
        <v>53</v>
      </c>
      <c r="O1679" s="5">
        <v>147</v>
      </c>
      <c r="P1679" s="5"/>
      <c r="Q1679" s="5"/>
      <c r="R1679" s="8">
        <v>8.1018518518518516E-5</v>
      </c>
      <c r="S1679" s="5" t="s">
        <v>37</v>
      </c>
      <c r="T1679" t="str">
        <f>IF(Tabela1[[#This Row],[STATUS_NEGOCIO]]="Enviar E-mail",1,"")</f>
        <v/>
      </c>
      <c r="U1679" t="str">
        <f>TEXT(Tabela1[[#This Row],[DATA]],"dd/mm/aaaa")</f>
        <v>22/04/2026</v>
      </c>
    </row>
    <row r="1680" spans="1:21" x14ac:dyDescent="0.25">
      <c r="A1680" s="4">
        <v>46134.689340277779</v>
      </c>
      <c r="B1680" s="5" t="s">
        <v>19</v>
      </c>
      <c r="C1680" s="5" t="s">
        <v>37</v>
      </c>
      <c r="D1680" s="5">
        <v>77</v>
      </c>
      <c r="E1680" s="6">
        <v>5105470000133</v>
      </c>
      <c r="F1680" s="5">
        <v>77</v>
      </c>
      <c r="G1680" s="7">
        <v>177688635978891</v>
      </c>
      <c r="H1680" s="5" t="s">
        <v>274</v>
      </c>
      <c r="I1680" s="5">
        <v>3003</v>
      </c>
      <c r="J1680" s="5" t="s">
        <v>22</v>
      </c>
      <c r="K1680" s="5" t="s">
        <v>23</v>
      </c>
      <c r="L1680" s="5" t="s">
        <v>31</v>
      </c>
      <c r="M1680" s="5" t="s">
        <v>284</v>
      </c>
      <c r="N1680" s="5" t="s">
        <v>26</v>
      </c>
      <c r="O1680" s="5">
        <v>131</v>
      </c>
      <c r="P1680" s="5"/>
      <c r="Q1680" s="5"/>
      <c r="R1680" s="8">
        <v>2.199074074074074E-4</v>
      </c>
      <c r="S1680" s="5" t="s">
        <v>37</v>
      </c>
      <c r="T1680" t="str">
        <f>IF(Tabela1[[#This Row],[STATUS_NEGOCIO]]="Enviar E-mail",1,"")</f>
        <v/>
      </c>
      <c r="U1680" t="str">
        <f>TEXT(Tabela1[[#This Row],[DATA]],"dd/mm/aaaa")</f>
        <v>22/04/2026</v>
      </c>
    </row>
    <row r="1681" spans="1:21" x14ac:dyDescent="0.25">
      <c r="A1681" s="4">
        <v>46134.689398148148</v>
      </c>
      <c r="B1681" s="5" t="s">
        <v>19</v>
      </c>
      <c r="C1681" s="5" t="s">
        <v>37</v>
      </c>
      <c r="D1681" s="5">
        <v>78</v>
      </c>
      <c r="E1681" s="6">
        <v>5124020000198</v>
      </c>
      <c r="F1681" s="5">
        <v>78</v>
      </c>
      <c r="G1681" s="7">
        <v>177688636478911</v>
      </c>
      <c r="H1681" s="5" t="s">
        <v>268</v>
      </c>
      <c r="I1681" s="5">
        <v>3003</v>
      </c>
      <c r="J1681" s="5" t="s">
        <v>22</v>
      </c>
      <c r="K1681" s="5" t="s">
        <v>23</v>
      </c>
      <c r="L1681" s="5" t="s">
        <v>31</v>
      </c>
      <c r="M1681" s="5" t="s">
        <v>284</v>
      </c>
      <c r="N1681" s="5" t="s">
        <v>53</v>
      </c>
      <c r="O1681" s="5">
        <v>128</v>
      </c>
      <c r="P1681" s="5"/>
      <c r="Q1681" s="5"/>
      <c r="R1681" s="8">
        <v>8.1018518518518516E-5</v>
      </c>
      <c r="S1681" s="5" t="s">
        <v>37</v>
      </c>
      <c r="T1681" t="str">
        <f>IF(Tabela1[[#This Row],[STATUS_NEGOCIO]]="Enviar E-mail",1,"")</f>
        <v/>
      </c>
      <c r="U1681" t="str">
        <f>TEXT(Tabela1[[#This Row],[DATA]],"dd/mm/aaaa")</f>
        <v>22/04/2026</v>
      </c>
    </row>
    <row r="1682" spans="1:21" x14ac:dyDescent="0.25">
      <c r="A1682" s="4">
        <v>46134.689432870371</v>
      </c>
      <c r="B1682" s="5" t="s">
        <v>19</v>
      </c>
      <c r="C1682" s="5" t="s">
        <v>37</v>
      </c>
      <c r="D1682" s="5">
        <v>79</v>
      </c>
      <c r="E1682" s="6">
        <v>5133369000196</v>
      </c>
      <c r="F1682" s="5">
        <v>79</v>
      </c>
      <c r="G1682" s="7">
        <v>177688636778941</v>
      </c>
      <c r="H1682" s="5" t="s">
        <v>103</v>
      </c>
      <c r="I1682" s="5">
        <v>3003</v>
      </c>
      <c r="J1682" s="5" t="s">
        <v>22</v>
      </c>
      <c r="K1682" s="5" t="s">
        <v>23</v>
      </c>
      <c r="L1682" s="5" t="s">
        <v>31</v>
      </c>
      <c r="M1682" s="5" t="s">
        <v>284</v>
      </c>
      <c r="N1682" s="5" t="s">
        <v>53</v>
      </c>
      <c r="O1682" s="5">
        <v>128</v>
      </c>
      <c r="P1682" s="5"/>
      <c r="Q1682" s="5"/>
      <c r="R1682" s="8">
        <v>8.1018518518518516E-5</v>
      </c>
      <c r="S1682" s="5" t="s">
        <v>37</v>
      </c>
      <c r="T1682" t="str">
        <f>IF(Tabela1[[#This Row],[STATUS_NEGOCIO]]="Enviar E-mail",1,"")</f>
        <v/>
      </c>
      <c r="U1682" t="str">
        <f>TEXT(Tabela1[[#This Row],[DATA]],"dd/mm/aaaa")</f>
        <v>22/04/2026</v>
      </c>
    </row>
    <row r="1683" spans="1:21" x14ac:dyDescent="0.25">
      <c r="A1683" s="4">
        <v>46134.689479166664</v>
      </c>
      <c r="B1683" s="5" t="s">
        <v>19</v>
      </c>
      <c r="C1683" s="5" t="s">
        <v>37</v>
      </c>
      <c r="D1683" s="5">
        <v>80</v>
      </c>
      <c r="E1683" s="6">
        <v>5207886000162</v>
      </c>
      <c r="F1683" s="5">
        <v>80</v>
      </c>
      <c r="G1683" s="7">
        <v>177688637178961</v>
      </c>
      <c r="H1683" s="5" t="s">
        <v>190</v>
      </c>
      <c r="I1683" s="5">
        <v>3003</v>
      </c>
      <c r="J1683" s="5" t="s">
        <v>22</v>
      </c>
      <c r="K1683" s="5" t="s">
        <v>23</v>
      </c>
      <c r="L1683" s="5" t="s">
        <v>31</v>
      </c>
      <c r="M1683" s="5" t="s">
        <v>284</v>
      </c>
      <c r="N1683" s="5" t="s">
        <v>53</v>
      </c>
      <c r="O1683" s="5">
        <v>128</v>
      </c>
      <c r="P1683" s="5"/>
      <c r="Q1683" s="5"/>
      <c r="R1683" s="8">
        <v>8.1018518518518516E-5</v>
      </c>
      <c r="S1683" s="5" t="s">
        <v>37</v>
      </c>
      <c r="T1683" t="str">
        <f>IF(Tabela1[[#This Row],[STATUS_NEGOCIO]]="Enviar E-mail",1,"")</f>
        <v/>
      </c>
      <c r="U1683" t="str">
        <f>TEXT(Tabela1[[#This Row],[DATA]],"dd/mm/aaaa")</f>
        <v>22/04/2026</v>
      </c>
    </row>
    <row r="1684" spans="1:21" x14ac:dyDescent="0.25">
      <c r="A1684" s="4">
        <v>46134.689571759256</v>
      </c>
      <c r="B1684" s="5" t="s">
        <v>19</v>
      </c>
      <c r="C1684" s="5" t="s">
        <v>37</v>
      </c>
      <c r="D1684" s="5">
        <v>81</v>
      </c>
      <c r="E1684" s="6">
        <v>5476516000120</v>
      </c>
      <c r="F1684" s="5">
        <v>81</v>
      </c>
      <c r="G1684" s="7">
        <v>177688637978981</v>
      </c>
      <c r="H1684" s="5" t="s">
        <v>324</v>
      </c>
      <c r="I1684" s="5">
        <v>3003</v>
      </c>
      <c r="J1684" s="5" t="s">
        <v>22</v>
      </c>
      <c r="K1684" s="5" t="s">
        <v>23</v>
      </c>
      <c r="L1684" s="5" t="s">
        <v>31</v>
      </c>
      <c r="M1684" s="5" t="s">
        <v>284</v>
      </c>
      <c r="N1684" s="5" t="s">
        <v>53</v>
      </c>
      <c r="O1684" s="5">
        <v>128</v>
      </c>
      <c r="P1684" s="5"/>
      <c r="Q1684" s="5"/>
      <c r="R1684" s="8">
        <v>8.1018518518518516E-5</v>
      </c>
      <c r="S1684" s="5" t="s">
        <v>37</v>
      </c>
      <c r="T1684" t="str">
        <f>IF(Tabela1[[#This Row],[STATUS_NEGOCIO]]="Enviar E-mail",1,"")</f>
        <v/>
      </c>
      <c r="U1684" t="str">
        <f>TEXT(Tabela1[[#This Row],[DATA]],"dd/mm/aaaa")</f>
        <v>22/04/2026</v>
      </c>
    </row>
    <row r="1685" spans="1:21" x14ac:dyDescent="0.25">
      <c r="A1685" s="4">
        <v>46134.68959490741</v>
      </c>
      <c r="B1685" s="5" t="s">
        <v>19</v>
      </c>
      <c r="C1685" s="5" t="s">
        <v>37</v>
      </c>
      <c r="D1685" s="5">
        <v>82</v>
      </c>
      <c r="E1685" s="6">
        <v>5483497000160</v>
      </c>
      <c r="F1685" s="5">
        <v>82</v>
      </c>
      <c r="G1685" s="7">
        <v>177688638179001</v>
      </c>
      <c r="H1685" s="5" t="s">
        <v>58</v>
      </c>
      <c r="I1685" s="5">
        <v>3003</v>
      </c>
      <c r="J1685" s="5" t="s">
        <v>22</v>
      </c>
      <c r="K1685" s="5" t="s">
        <v>23</v>
      </c>
      <c r="L1685" s="5" t="s">
        <v>31</v>
      </c>
      <c r="M1685" s="5" t="s">
        <v>284</v>
      </c>
      <c r="N1685" s="5" t="s">
        <v>53</v>
      </c>
      <c r="O1685" s="5">
        <v>128</v>
      </c>
      <c r="P1685" s="5"/>
      <c r="Q1685" s="5"/>
      <c r="R1685" s="8">
        <v>8.1018518518518516E-5</v>
      </c>
      <c r="S1685" s="5" t="s">
        <v>37</v>
      </c>
      <c r="T1685" t="str">
        <f>IF(Tabela1[[#This Row],[STATUS_NEGOCIO]]="Enviar E-mail",1,"")</f>
        <v/>
      </c>
      <c r="U1685" t="str">
        <f>TEXT(Tabela1[[#This Row],[DATA]],"dd/mm/aaaa")</f>
        <v>22/04/2026</v>
      </c>
    </row>
    <row r="1686" spans="1:21" x14ac:dyDescent="0.25">
      <c r="A1686" s="4">
        <v>46134.689664351848</v>
      </c>
      <c r="B1686" s="5" t="s">
        <v>19</v>
      </c>
      <c r="C1686" s="5" t="s">
        <v>37</v>
      </c>
      <c r="D1686" s="5">
        <v>83</v>
      </c>
      <c r="E1686" s="6">
        <v>5485452000124</v>
      </c>
      <c r="F1686" s="5">
        <v>83</v>
      </c>
      <c r="G1686" s="7">
        <v>177688638779021</v>
      </c>
      <c r="H1686" s="5" t="s">
        <v>325</v>
      </c>
      <c r="I1686" s="5" t="s">
        <v>52</v>
      </c>
      <c r="J1686" s="5" t="s">
        <v>22</v>
      </c>
      <c r="K1686" s="5" t="s">
        <v>36</v>
      </c>
      <c r="L1686" s="5" t="s">
        <v>36</v>
      </c>
      <c r="M1686" s="5" t="s">
        <v>284</v>
      </c>
      <c r="N1686" s="5" t="s">
        <v>53</v>
      </c>
      <c r="O1686" s="5">
        <v>19</v>
      </c>
      <c r="P1686" s="5"/>
      <c r="Q1686" s="5"/>
      <c r="R1686" s="8">
        <v>0</v>
      </c>
      <c r="S1686" s="5" t="s">
        <v>37</v>
      </c>
      <c r="T1686" t="str">
        <f>IF(Tabela1[[#This Row],[STATUS_NEGOCIO]]="Enviar E-mail",1,"")</f>
        <v/>
      </c>
      <c r="U1686" t="str">
        <f>TEXT(Tabela1[[#This Row],[DATA]],"dd/mm/aaaa")</f>
        <v>22/04/2026</v>
      </c>
    </row>
    <row r="1687" spans="1:21" x14ac:dyDescent="0.25">
      <c r="A1687" s="4">
        <v>46134.689687500002</v>
      </c>
      <c r="B1687" s="5" t="s">
        <v>19</v>
      </c>
      <c r="C1687" s="5" t="s">
        <v>37</v>
      </c>
      <c r="D1687" s="5">
        <v>84</v>
      </c>
      <c r="E1687" s="6">
        <v>5487548000121</v>
      </c>
      <c r="F1687" s="5">
        <v>84</v>
      </c>
      <c r="G1687" s="7">
        <v>177688638979041</v>
      </c>
      <c r="H1687" s="5" t="s">
        <v>49</v>
      </c>
      <c r="I1687" s="5">
        <v>3003</v>
      </c>
      <c r="J1687" s="5" t="s">
        <v>22</v>
      </c>
      <c r="K1687" s="5" t="s">
        <v>23</v>
      </c>
      <c r="L1687" s="5" t="s">
        <v>31</v>
      </c>
      <c r="M1687" s="5" t="s">
        <v>284</v>
      </c>
      <c r="N1687" s="5" t="s">
        <v>53</v>
      </c>
      <c r="O1687" s="5">
        <v>128</v>
      </c>
      <c r="P1687" s="5"/>
      <c r="Q1687" s="5"/>
      <c r="R1687" s="8">
        <v>8.1018518518518516E-5</v>
      </c>
      <c r="S1687" s="5" t="s">
        <v>37</v>
      </c>
      <c r="T1687" t="str">
        <f>IF(Tabela1[[#This Row],[STATUS_NEGOCIO]]="Enviar E-mail",1,"")</f>
        <v/>
      </c>
      <c r="U1687" t="str">
        <f>TEXT(Tabela1[[#This Row],[DATA]],"dd/mm/aaaa")</f>
        <v>22/04/2026</v>
      </c>
    </row>
    <row r="1688" spans="1:21" x14ac:dyDescent="0.25">
      <c r="A1688" s="4">
        <v>46134.689710648148</v>
      </c>
      <c r="B1688" s="5" t="s">
        <v>19</v>
      </c>
      <c r="C1688" s="5" t="s">
        <v>37</v>
      </c>
      <c r="D1688" s="5">
        <v>85</v>
      </c>
      <c r="E1688" s="6">
        <v>5587109000190</v>
      </c>
      <c r="F1688" s="5">
        <v>85</v>
      </c>
      <c r="G1688" s="7">
        <v>177688639179061</v>
      </c>
      <c r="H1688" s="5" t="s">
        <v>249</v>
      </c>
      <c r="I1688" s="5">
        <v>3003</v>
      </c>
      <c r="J1688" s="5" t="s">
        <v>22</v>
      </c>
      <c r="K1688" s="5" t="s">
        <v>23</v>
      </c>
      <c r="L1688" s="5" t="s">
        <v>31</v>
      </c>
      <c r="M1688" s="5" t="s">
        <v>284</v>
      </c>
      <c r="N1688" s="5" t="s">
        <v>53</v>
      </c>
      <c r="O1688" s="5">
        <v>128</v>
      </c>
      <c r="P1688" s="5"/>
      <c r="Q1688" s="5"/>
      <c r="R1688" s="8">
        <v>6.9444444444444444E-5</v>
      </c>
      <c r="S1688" s="5" t="s">
        <v>37</v>
      </c>
      <c r="T1688" t="str">
        <f>IF(Tabela1[[#This Row],[STATUS_NEGOCIO]]="Enviar E-mail",1,"")</f>
        <v/>
      </c>
      <c r="U1688" t="str">
        <f>TEXT(Tabela1[[#This Row],[DATA]],"dd/mm/aaaa")</f>
        <v>22/04/2026</v>
      </c>
    </row>
    <row r="1689" spans="1:21" x14ac:dyDescent="0.25">
      <c r="A1689" s="4">
        <v>46134.689733796295</v>
      </c>
      <c r="B1689" s="5" t="s">
        <v>19</v>
      </c>
      <c r="C1689" s="5" t="s">
        <v>37</v>
      </c>
      <c r="D1689" s="5">
        <v>86</v>
      </c>
      <c r="E1689" s="6">
        <v>5600088000104</v>
      </c>
      <c r="F1689" s="5">
        <v>86</v>
      </c>
      <c r="G1689" s="7">
        <v>177688639379081</v>
      </c>
      <c r="H1689" s="5" t="s">
        <v>326</v>
      </c>
      <c r="I1689" s="5">
        <v>3003</v>
      </c>
      <c r="J1689" s="5" t="s">
        <v>22</v>
      </c>
      <c r="K1689" s="5" t="s">
        <v>23</v>
      </c>
      <c r="L1689" s="5" t="s">
        <v>31</v>
      </c>
      <c r="M1689" s="5" t="s">
        <v>284</v>
      </c>
      <c r="N1689" s="5" t="s">
        <v>53</v>
      </c>
      <c r="O1689" s="5">
        <v>128</v>
      </c>
      <c r="P1689" s="5"/>
      <c r="Q1689" s="5"/>
      <c r="R1689" s="8">
        <v>8.1018518518518516E-5</v>
      </c>
      <c r="S1689" s="5" t="s">
        <v>37</v>
      </c>
      <c r="T1689" t="str">
        <f>IF(Tabela1[[#This Row],[STATUS_NEGOCIO]]="Enviar E-mail",1,"")</f>
        <v/>
      </c>
      <c r="U1689" t="str">
        <f>TEXT(Tabela1[[#This Row],[DATA]],"dd/mm/aaaa")</f>
        <v>22/04/2026</v>
      </c>
    </row>
    <row r="1690" spans="1:21" x14ac:dyDescent="0.25">
      <c r="A1690" s="4">
        <v>46134.689745370371</v>
      </c>
      <c r="B1690" s="5" t="s">
        <v>19</v>
      </c>
      <c r="C1690" s="5" t="s">
        <v>37</v>
      </c>
      <c r="D1690" s="5">
        <v>88</v>
      </c>
      <c r="E1690" s="6">
        <v>5870198000188</v>
      </c>
      <c r="F1690" s="5">
        <v>88</v>
      </c>
      <c r="G1690" s="7">
        <v>177688639479101</v>
      </c>
      <c r="H1690" s="5" t="s">
        <v>135</v>
      </c>
      <c r="I1690" s="5">
        <v>3003</v>
      </c>
      <c r="J1690" s="5" t="s">
        <v>22</v>
      </c>
      <c r="K1690" s="5" t="s">
        <v>23</v>
      </c>
      <c r="L1690" s="5" t="s">
        <v>31</v>
      </c>
      <c r="M1690" s="5" t="s">
        <v>284</v>
      </c>
      <c r="N1690" s="5" t="s">
        <v>53</v>
      </c>
      <c r="O1690" s="5">
        <v>128</v>
      </c>
      <c r="P1690" s="5"/>
      <c r="Q1690" s="5"/>
      <c r="R1690" s="8">
        <v>8.1018518518518516E-5</v>
      </c>
      <c r="S1690" s="5" t="s">
        <v>37</v>
      </c>
      <c r="T1690" t="str">
        <f>IF(Tabela1[[#This Row],[STATUS_NEGOCIO]]="Enviar E-mail",1,"")</f>
        <v/>
      </c>
      <c r="U1690" t="str">
        <f>TEXT(Tabela1[[#This Row],[DATA]],"dd/mm/aaaa")</f>
        <v>22/04/2026</v>
      </c>
    </row>
    <row r="1691" spans="1:21" x14ac:dyDescent="0.25">
      <c r="A1691" s="4">
        <v>46134.689837962964</v>
      </c>
      <c r="B1691" s="5" t="s">
        <v>19</v>
      </c>
      <c r="C1691" s="5" t="s">
        <v>37</v>
      </c>
      <c r="D1691" s="5">
        <v>89</v>
      </c>
      <c r="E1691" s="6">
        <v>5887391000121</v>
      </c>
      <c r="F1691" s="5">
        <v>89</v>
      </c>
      <c r="G1691" s="7">
        <v>177688640279121</v>
      </c>
      <c r="H1691" s="5" t="s">
        <v>327</v>
      </c>
      <c r="I1691" s="5">
        <v>3003</v>
      </c>
      <c r="J1691" s="5" t="s">
        <v>22</v>
      </c>
      <c r="K1691" s="5" t="s">
        <v>23</v>
      </c>
      <c r="L1691" s="5" t="s">
        <v>31</v>
      </c>
      <c r="M1691" s="5" t="s">
        <v>284</v>
      </c>
      <c r="N1691" s="5" t="s">
        <v>53</v>
      </c>
      <c r="O1691" s="5">
        <v>128</v>
      </c>
      <c r="P1691" s="5"/>
      <c r="Q1691" s="5"/>
      <c r="R1691" s="8">
        <v>8.1018518518518516E-5</v>
      </c>
      <c r="S1691" s="5" t="s">
        <v>37</v>
      </c>
      <c r="T1691" t="str">
        <f>IF(Tabela1[[#This Row],[STATUS_NEGOCIO]]="Enviar E-mail",1,"")</f>
        <v/>
      </c>
      <c r="U1691" t="str">
        <f>TEXT(Tabela1[[#This Row],[DATA]],"dd/mm/aaaa")</f>
        <v>22/04/2026</v>
      </c>
    </row>
    <row r="1692" spans="1:21" x14ac:dyDescent="0.25">
      <c r="A1692" s="4">
        <v>46134.68986111111</v>
      </c>
      <c r="B1692" s="5" t="s">
        <v>19</v>
      </c>
      <c r="C1692" s="5" t="s">
        <v>37</v>
      </c>
      <c r="D1692" s="5">
        <v>90</v>
      </c>
      <c r="E1692" s="6">
        <v>5951912000162</v>
      </c>
      <c r="F1692" s="5">
        <v>90</v>
      </c>
      <c r="G1692" s="7">
        <v>177688640479141</v>
      </c>
      <c r="H1692" s="5" t="s">
        <v>328</v>
      </c>
      <c r="I1692" s="5">
        <v>3003</v>
      </c>
      <c r="J1692" s="5" t="s">
        <v>22</v>
      </c>
      <c r="K1692" s="5" t="s">
        <v>23</v>
      </c>
      <c r="L1692" s="5" t="s">
        <v>31</v>
      </c>
      <c r="M1692" s="5" t="s">
        <v>284</v>
      </c>
      <c r="N1692" s="5" t="s">
        <v>53</v>
      </c>
      <c r="O1692" s="5">
        <v>128</v>
      </c>
      <c r="P1692" s="5"/>
      <c r="Q1692" s="5"/>
      <c r="R1692" s="8">
        <v>8.1018518518518516E-5</v>
      </c>
      <c r="S1692" s="5" t="s">
        <v>37</v>
      </c>
      <c r="T1692" t="str">
        <f>IF(Tabela1[[#This Row],[STATUS_NEGOCIO]]="Enviar E-mail",1,"")</f>
        <v/>
      </c>
      <c r="U1692" t="str">
        <f>TEXT(Tabela1[[#This Row],[DATA]],"dd/mm/aaaa")</f>
        <v>22/04/2026</v>
      </c>
    </row>
    <row r="1693" spans="1:21" x14ac:dyDescent="0.25">
      <c r="A1693" s="4">
        <v>46134.689965277779</v>
      </c>
      <c r="B1693" s="5" t="s">
        <v>19</v>
      </c>
      <c r="C1693" s="5" t="s">
        <v>37</v>
      </c>
      <c r="D1693" s="5">
        <v>91</v>
      </c>
      <c r="E1693" s="6">
        <v>6058857000149</v>
      </c>
      <c r="F1693" s="5">
        <v>91</v>
      </c>
      <c r="G1693" s="7">
        <v>177688641379161</v>
      </c>
      <c r="H1693" s="5" t="s">
        <v>254</v>
      </c>
      <c r="I1693" s="5" t="s">
        <v>52</v>
      </c>
      <c r="J1693" s="5" t="s">
        <v>22</v>
      </c>
      <c r="K1693" s="5" t="s">
        <v>36</v>
      </c>
      <c r="L1693" s="5" t="s">
        <v>36</v>
      </c>
      <c r="M1693" s="5" t="s">
        <v>284</v>
      </c>
      <c r="N1693" s="5" t="s">
        <v>53</v>
      </c>
      <c r="O1693" s="5">
        <v>19</v>
      </c>
      <c r="P1693" s="5"/>
      <c r="Q1693" s="5"/>
      <c r="R1693" s="8">
        <v>0</v>
      </c>
      <c r="S1693" s="5" t="s">
        <v>37</v>
      </c>
      <c r="T1693" t="str">
        <f>IF(Tabela1[[#This Row],[STATUS_NEGOCIO]]="Enviar E-mail",1,"")</f>
        <v/>
      </c>
      <c r="U1693" t="str">
        <f>TEXT(Tabela1[[#This Row],[DATA]],"dd/mm/aaaa")</f>
        <v>22/04/2026</v>
      </c>
    </row>
    <row r="1694" spans="1:21" x14ac:dyDescent="0.25">
      <c r="A1694" s="4">
        <v>46134.689976851849</v>
      </c>
      <c r="B1694" s="5" t="s">
        <v>19</v>
      </c>
      <c r="C1694" s="5" t="s">
        <v>37</v>
      </c>
      <c r="D1694" s="5">
        <v>92</v>
      </c>
      <c r="E1694" s="6">
        <v>6093542000132</v>
      </c>
      <c r="F1694" s="5">
        <v>92</v>
      </c>
      <c r="G1694" s="7">
        <v>177688641479181</v>
      </c>
      <c r="H1694" s="5" t="s">
        <v>329</v>
      </c>
      <c r="I1694" s="5">
        <v>3003</v>
      </c>
      <c r="J1694" s="5" t="s">
        <v>22</v>
      </c>
      <c r="K1694" s="5" t="s">
        <v>23</v>
      </c>
      <c r="L1694" s="5" t="s">
        <v>31</v>
      </c>
      <c r="M1694" s="5" t="s">
        <v>284</v>
      </c>
      <c r="N1694" s="5" t="s">
        <v>53</v>
      </c>
      <c r="O1694" s="5">
        <v>128</v>
      </c>
      <c r="P1694" s="5"/>
      <c r="Q1694" s="5"/>
      <c r="R1694" s="8">
        <v>8.1018518518518516E-5</v>
      </c>
      <c r="S1694" s="5" t="s">
        <v>37</v>
      </c>
      <c r="T1694" t="str">
        <f>IF(Tabela1[[#This Row],[STATUS_NEGOCIO]]="Enviar E-mail",1,"")</f>
        <v/>
      </c>
      <c r="U1694" t="str">
        <f>TEXT(Tabela1[[#This Row],[DATA]],"dd/mm/aaaa")</f>
        <v>22/04/2026</v>
      </c>
    </row>
    <row r="1695" spans="1:21" x14ac:dyDescent="0.25">
      <c r="A1695" s="4">
        <v>46134.690011574072</v>
      </c>
      <c r="B1695" s="5" t="s">
        <v>19</v>
      </c>
      <c r="C1695" s="5" t="s">
        <v>37</v>
      </c>
      <c r="D1695" s="5">
        <v>93</v>
      </c>
      <c r="E1695" s="6">
        <v>6100968000176</v>
      </c>
      <c r="F1695" s="5">
        <v>93</v>
      </c>
      <c r="G1695" s="7">
        <v>177688641779201</v>
      </c>
      <c r="H1695" s="5" t="s">
        <v>330</v>
      </c>
      <c r="I1695" s="5" t="s">
        <v>52</v>
      </c>
      <c r="J1695" s="5" t="s">
        <v>22</v>
      </c>
      <c r="K1695" s="5" t="s">
        <v>36</v>
      </c>
      <c r="L1695" s="5" t="s">
        <v>36</v>
      </c>
      <c r="M1695" s="5" t="s">
        <v>284</v>
      </c>
      <c r="N1695" s="5" t="s">
        <v>53</v>
      </c>
      <c r="O1695" s="5">
        <v>1</v>
      </c>
      <c r="P1695" s="5"/>
      <c r="Q1695" s="5"/>
      <c r="R1695" s="8">
        <v>0</v>
      </c>
      <c r="S1695" s="5" t="s">
        <v>37</v>
      </c>
      <c r="T1695" t="str">
        <f>IF(Tabela1[[#This Row],[STATUS_NEGOCIO]]="Enviar E-mail",1,"")</f>
        <v/>
      </c>
      <c r="U1695" t="str">
        <f>TEXT(Tabela1[[#This Row],[DATA]],"dd/mm/aaaa")</f>
        <v>22/04/2026</v>
      </c>
    </row>
    <row r="1696" spans="1:21" x14ac:dyDescent="0.25">
      <c r="A1696" s="4">
        <v>46134.690185185187</v>
      </c>
      <c r="B1696" s="5" t="s">
        <v>19</v>
      </c>
      <c r="C1696" s="5" t="s">
        <v>37</v>
      </c>
      <c r="D1696" s="5">
        <v>94</v>
      </c>
      <c r="E1696" s="6">
        <v>6215708000146</v>
      </c>
      <c r="F1696" s="5">
        <v>94</v>
      </c>
      <c r="G1696" s="7">
        <v>177688643279221</v>
      </c>
      <c r="H1696" s="5" t="s">
        <v>180</v>
      </c>
      <c r="I1696" s="5">
        <v>3003</v>
      </c>
      <c r="J1696" s="5" t="s">
        <v>22</v>
      </c>
      <c r="K1696" s="5" t="s">
        <v>23</v>
      </c>
      <c r="L1696" s="5" t="s">
        <v>31</v>
      </c>
      <c r="M1696" s="5" t="s">
        <v>284</v>
      </c>
      <c r="N1696" s="5" t="s">
        <v>53</v>
      </c>
      <c r="O1696" s="5">
        <v>128</v>
      </c>
      <c r="P1696" s="5"/>
      <c r="Q1696" s="5"/>
      <c r="R1696" s="8">
        <v>6.9444444444444444E-5</v>
      </c>
      <c r="S1696" s="5" t="s">
        <v>37</v>
      </c>
      <c r="T1696" t="str">
        <f>IF(Tabela1[[#This Row],[STATUS_NEGOCIO]]="Enviar E-mail",1,"")</f>
        <v/>
      </c>
      <c r="U1696" t="str">
        <f>TEXT(Tabela1[[#This Row],[DATA]],"dd/mm/aaaa")</f>
        <v>22/04/2026</v>
      </c>
    </row>
    <row r="1697" spans="1:21" x14ac:dyDescent="0.25">
      <c r="A1697" s="4">
        <v>46134.690243055556</v>
      </c>
      <c r="B1697" s="5" t="s">
        <v>19</v>
      </c>
      <c r="C1697" s="5" t="s">
        <v>37</v>
      </c>
      <c r="D1697" s="5">
        <v>95</v>
      </c>
      <c r="E1697" s="6">
        <v>6236859000180</v>
      </c>
      <c r="F1697" s="5">
        <v>95</v>
      </c>
      <c r="G1697" s="7">
        <v>177688643779231</v>
      </c>
      <c r="H1697" s="5" t="s">
        <v>331</v>
      </c>
      <c r="I1697" s="5">
        <v>3003</v>
      </c>
      <c r="J1697" s="5" t="s">
        <v>22</v>
      </c>
      <c r="K1697" s="5" t="s">
        <v>23</v>
      </c>
      <c r="L1697" s="5" t="s">
        <v>31</v>
      </c>
      <c r="M1697" s="5" t="s">
        <v>284</v>
      </c>
      <c r="N1697" s="5" t="s">
        <v>53</v>
      </c>
      <c r="O1697" s="5">
        <v>128</v>
      </c>
      <c r="P1697" s="5"/>
      <c r="Q1697" s="5"/>
      <c r="R1697" s="8">
        <v>8.1018518518518516E-5</v>
      </c>
      <c r="S1697" s="5" t="s">
        <v>37</v>
      </c>
      <c r="T1697" t="str">
        <f>IF(Tabela1[[#This Row],[STATUS_NEGOCIO]]="Enviar E-mail",1,"")</f>
        <v/>
      </c>
      <c r="U1697" t="str">
        <f>TEXT(Tabela1[[#This Row],[DATA]],"dd/mm/aaaa")</f>
        <v>22/04/2026</v>
      </c>
    </row>
    <row r="1698" spans="1:21" x14ac:dyDescent="0.25">
      <c r="A1698" s="4">
        <v>46134.69027777778</v>
      </c>
      <c r="B1698" s="5" t="s">
        <v>19</v>
      </c>
      <c r="C1698" s="5" t="s">
        <v>37</v>
      </c>
      <c r="D1698" s="5">
        <v>96</v>
      </c>
      <c r="E1698" s="6">
        <v>6276371000187</v>
      </c>
      <c r="F1698" s="5">
        <v>96</v>
      </c>
      <c r="G1698" s="7">
        <v>177688644079251</v>
      </c>
      <c r="H1698" s="5" t="s">
        <v>332</v>
      </c>
      <c r="I1698" s="5">
        <v>3003</v>
      </c>
      <c r="J1698" s="5" t="s">
        <v>22</v>
      </c>
      <c r="K1698" s="5" t="s">
        <v>23</v>
      </c>
      <c r="L1698" s="5" t="s">
        <v>31</v>
      </c>
      <c r="M1698" s="5" t="s">
        <v>284</v>
      </c>
      <c r="N1698" s="5" t="s">
        <v>53</v>
      </c>
      <c r="O1698" s="5">
        <v>128</v>
      </c>
      <c r="P1698" s="5"/>
      <c r="Q1698" s="5"/>
      <c r="R1698" s="8">
        <v>8.1018518518518516E-5</v>
      </c>
      <c r="S1698" s="5" t="s">
        <v>37</v>
      </c>
      <c r="T1698" t="str">
        <f>IF(Tabela1[[#This Row],[STATUS_NEGOCIO]]="Enviar E-mail",1,"")</f>
        <v/>
      </c>
      <c r="U1698" t="str">
        <f>TEXT(Tabela1[[#This Row],[DATA]],"dd/mm/aaaa")</f>
        <v>22/04/2026</v>
      </c>
    </row>
    <row r="1699" spans="1:21" x14ac:dyDescent="0.25">
      <c r="A1699" s="4">
        <v>46134.690358796295</v>
      </c>
      <c r="B1699" s="5" t="s">
        <v>19</v>
      </c>
      <c r="C1699" s="5" t="s">
        <v>37</v>
      </c>
      <c r="D1699" s="5">
        <v>97</v>
      </c>
      <c r="E1699" s="6">
        <v>6326043000148</v>
      </c>
      <c r="F1699" s="5">
        <v>97</v>
      </c>
      <c r="G1699" s="7">
        <v>177688644779271</v>
      </c>
      <c r="H1699" s="5" t="s">
        <v>116</v>
      </c>
      <c r="I1699" s="5">
        <v>3003</v>
      </c>
      <c r="J1699" s="5" t="s">
        <v>22</v>
      </c>
      <c r="K1699" s="5" t="s">
        <v>23</v>
      </c>
      <c r="L1699" s="5" t="s">
        <v>31</v>
      </c>
      <c r="M1699" s="5" t="s">
        <v>284</v>
      </c>
      <c r="N1699" s="5" t="s">
        <v>53</v>
      </c>
      <c r="O1699" s="5">
        <v>128</v>
      </c>
      <c r="P1699" s="5"/>
      <c r="Q1699" s="5"/>
      <c r="R1699" s="8">
        <v>8.1018518518518516E-5</v>
      </c>
      <c r="S1699" s="5" t="s">
        <v>37</v>
      </c>
      <c r="T1699" t="str">
        <f>IF(Tabela1[[#This Row],[STATUS_NEGOCIO]]="Enviar E-mail",1,"")</f>
        <v/>
      </c>
      <c r="U1699" t="str">
        <f>TEXT(Tabela1[[#This Row],[DATA]],"dd/mm/aaaa")</f>
        <v>22/04/2026</v>
      </c>
    </row>
    <row r="1700" spans="1:21" x14ac:dyDescent="0.25">
      <c r="A1700" s="4">
        <v>46134.690370370372</v>
      </c>
      <c r="B1700" s="5" t="s">
        <v>19</v>
      </c>
      <c r="C1700" s="5" t="s">
        <v>37</v>
      </c>
      <c r="D1700" s="5">
        <v>98</v>
      </c>
      <c r="E1700" s="6">
        <v>6652280000107</v>
      </c>
      <c r="F1700" s="5">
        <v>98</v>
      </c>
      <c r="G1700" s="7">
        <v>177688644879281</v>
      </c>
      <c r="H1700" s="5" t="s">
        <v>333</v>
      </c>
      <c r="I1700" s="5" t="s">
        <v>52</v>
      </c>
      <c r="J1700" s="5" t="s">
        <v>22</v>
      </c>
      <c r="K1700" s="5" t="s">
        <v>36</v>
      </c>
      <c r="L1700" s="5" t="s">
        <v>36</v>
      </c>
      <c r="M1700" s="5" t="s">
        <v>284</v>
      </c>
      <c r="N1700" s="5" t="s">
        <v>53</v>
      </c>
      <c r="O1700" s="5">
        <v>1</v>
      </c>
      <c r="P1700" s="5"/>
      <c r="Q1700" s="5"/>
      <c r="R1700" s="8">
        <v>0</v>
      </c>
      <c r="S1700" s="5" t="s">
        <v>37</v>
      </c>
      <c r="T1700" t="str">
        <f>IF(Tabela1[[#This Row],[STATUS_NEGOCIO]]="Enviar E-mail",1,"")</f>
        <v/>
      </c>
      <c r="U1700" t="str">
        <f>TEXT(Tabela1[[#This Row],[DATA]],"dd/mm/aaaa")</f>
        <v>22/04/2026</v>
      </c>
    </row>
    <row r="1701" spans="1:21" x14ac:dyDescent="0.25">
      <c r="A1701" s="4">
        <v>46134.690370370372</v>
      </c>
      <c r="B1701" s="5" t="s">
        <v>19</v>
      </c>
      <c r="C1701" s="5" t="s">
        <v>37</v>
      </c>
      <c r="D1701" s="5">
        <v>99</v>
      </c>
      <c r="E1701" s="6">
        <v>6983876000181</v>
      </c>
      <c r="F1701" s="5">
        <v>99</v>
      </c>
      <c r="G1701" s="7">
        <v>177688644879291</v>
      </c>
      <c r="H1701" s="5" t="s">
        <v>334</v>
      </c>
      <c r="I1701" s="5">
        <v>3003</v>
      </c>
      <c r="J1701" s="5" t="s">
        <v>22</v>
      </c>
      <c r="K1701" s="5" t="s">
        <v>23</v>
      </c>
      <c r="L1701" s="5" t="s">
        <v>31</v>
      </c>
      <c r="M1701" s="5" t="s">
        <v>284</v>
      </c>
      <c r="N1701" s="5" t="s">
        <v>26</v>
      </c>
      <c r="O1701" s="5">
        <v>131</v>
      </c>
      <c r="P1701" s="5"/>
      <c r="Q1701" s="5"/>
      <c r="R1701" s="8">
        <v>1.5046296296296297E-4</v>
      </c>
      <c r="S1701" s="5" t="s">
        <v>37</v>
      </c>
      <c r="T1701" t="str">
        <f>IF(Tabela1[[#This Row],[STATUS_NEGOCIO]]="Enviar E-mail",1,"")</f>
        <v/>
      </c>
      <c r="U1701" t="str">
        <f>TEXT(Tabela1[[#This Row],[DATA]],"dd/mm/aaaa")</f>
        <v>22/04/2026</v>
      </c>
    </row>
    <row r="1702" spans="1:21" x14ac:dyDescent="0.25">
      <c r="A1702" s="4">
        <v>46134.690428240741</v>
      </c>
      <c r="B1702" s="5" t="s">
        <v>19</v>
      </c>
      <c r="C1702" s="5" t="s">
        <v>37</v>
      </c>
      <c r="D1702" s="5">
        <v>100</v>
      </c>
      <c r="E1702" s="6">
        <v>7042642000364</v>
      </c>
      <c r="F1702" s="5">
        <v>100</v>
      </c>
      <c r="G1702" s="7">
        <v>177688645379311</v>
      </c>
      <c r="H1702" s="5" t="s">
        <v>335</v>
      </c>
      <c r="I1702" s="5" t="s">
        <v>52</v>
      </c>
      <c r="J1702" s="5" t="s">
        <v>22</v>
      </c>
      <c r="K1702" s="5" t="s">
        <v>36</v>
      </c>
      <c r="L1702" s="5" t="s">
        <v>36</v>
      </c>
      <c r="M1702" s="5" t="s">
        <v>284</v>
      </c>
      <c r="N1702" s="5" t="s">
        <v>53</v>
      </c>
      <c r="O1702" s="5">
        <v>19</v>
      </c>
      <c r="P1702" s="5"/>
      <c r="Q1702" s="5"/>
      <c r="R1702" s="8">
        <v>0</v>
      </c>
      <c r="S1702" s="5" t="s">
        <v>37</v>
      </c>
      <c r="T1702" t="str">
        <f>IF(Tabela1[[#This Row],[STATUS_NEGOCIO]]="Enviar E-mail",1,"")</f>
        <v/>
      </c>
      <c r="U1702" t="str">
        <f>TEXT(Tabela1[[#This Row],[DATA]],"dd/mm/aaaa")</f>
        <v>22/04/2026</v>
      </c>
    </row>
    <row r="1703" spans="1:21" x14ac:dyDescent="0.25">
      <c r="A1703" s="4">
        <v>46134.690451388888</v>
      </c>
      <c r="B1703" s="5" t="s">
        <v>19</v>
      </c>
      <c r="C1703" s="5" t="s">
        <v>37</v>
      </c>
      <c r="D1703" s="5">
        <v>102</v>
      </c>
      <c r="E1703" s="6">
        <v>7211888000150</v>
      </c>
      <c r="F1703" s="5">
        <v>102</v>
      </c>
      <c r="G1703" s="7">
        <v>177688645579331</v>
      </c>
      <c r="H1703" s="5" t="s">
        <v>337</v>
      </c>
      <c r="I1703" s="5">
        <v>3003</v>
      </c>
      <c r="J1703" s="5" t="s">
        <v>22</v>
      </c>
      <c r="K1703" s="5" t="s">
        <v>23</v>
      </c>
      <c r="L1703" s="5" t="s">
        <v>31</v>
      </c>
      <c r="M1703" s="5" t="s">
        <v>284</v>
      </c>
      <c r="N1703" s="5" t="s">
        <v>53</v>
      </c>
      <c r="O1703" s="5">
        <v>128</v>
      </c>
      <c r="P1703" s="5"/>
      <c r="Q1703" s="5"/>
      <c r="R1703" s="8">
        <v>8.1018518518518516E-5</v>
      </c>
      <c r="S1703" s="5" t="s">
        <v>37</v>
      </c>
      <c r="T1703" t="str">
        <f>IF(Tabela1[[#This Row],[STATUS_NEGOCIO]]="Enviar E-mail",1,"")</f>
        <v/>
      </c>
      <c r="U1703" t="str">
        <f>TEXT(Tabela1[[#This Row],[DATA]],"dd/mm/aaaa")</f>
        <v>22/04/2026</v>
      </c>
    </row>
    <row r="1704" spans="1:21" x14ac:dyDescent="0.25">
      <c r="A1704" s="4">
        <v>46134.690462962964</v>
      </c>
      <c r="B1704" s="5" t="s">
        <v>19</v>
      </c>
      <c r="C1704" s="5" t="s">
        <v>37</v>
      </c>
      <c r="D1704" s="5">
        <v>104</v>
      </c>
      <c r="E1704" s="6">
        <v>7368744000102</v>
      </c>
      <c r="F1704" s="5">
        <v>104</v>
      </c>
      <c r="G1704" s="7">
        <v>177688645679351</v>
      </c>
      <c r="H1704" s="5" t="s">
        <v>338</v>
      </c>
      <c r="I1704" s="5">
        <v>3003</v>
      </c>
      <c r="J1704" s="5" t="s">
        <v>22</v>
      </c>
      <c r="K1704" s="5" t="s">
        <v>23</v>
      </c>
      <c r="L1704" s="5" t="s">
        <v>31</v>
      </c>
      <c r="M1704" s="5" t="s">
        <v>284</v>
      </c>
      <c r="N1704" s="5" t="s">
        <v>53</v>
      </c>
      <c r="O1704" s="5">
        <v>128</v>
      </c>
      <c r="P1704" s="5"/>
      <c r="Q1704" s="5"/>
      <c r="R1704" s="8">
        <v>8.1018518518518516E-5</v>
      </c>
      <c r="S1704" s="5" t="s">
        <v>37</v>
      </c>
      <c r="T1704" t="str">
        <f>IF(Tabela1[[#This Row],[STATUS_NEGOCIO]]="Enviar E-mail",1,"")</f>
        <v/>
      </c>
      <c r="U1704" t="str">
        <f>TEXT(Tabela1[[#This Row],[DATA]],"dd/mm/aaaa")</f>
        <v>22/04/2026</v>
      </c>
    </row>
    <row r="1705" spans="1:21" x14ac:dyDescent="0.25">
      <c r="A1705" s="4">
        <v>46134.690532407411</v>
      </c>
      <c r="B1705" s="5" t="s">
        <v>19</v>
      </c>
      <c r="C1705" s="5" t="s">
        <v>37</v>
      </c>
      <c r="D1705" s="5">
        <v>106</v>
      </c>
      <c r="E1705" s="6">
        <v>7485047000131</v>
      </c>
      <c r="F1705" s="5">
        <v>106</v>
      </c>
      <c r="G1705" s="7">
        <v>177688646279361</v>
      </c>
      <c r="H1705" s="5" t="s">
        <v>340</v>
      </c>
      <c r="I1705" s="5">
        <v>3003</v>
      </c>
      <c r="J1705" s="5" t="s">
        <v>22</v>
      </c>
      <c r="K1705" s="5" t="s">
        <v>23</v>
      </c>
      <c r="L1705" s="5" t="s">
        <v>31</v>
      </c>
      <c r="M1705" s="5" t="s">
        <v>284</v>
      </c>
      <c r="N1705" s="5" t="s">
        <v>53</v>
      </c>
      <c r="O1705" s="5">
        <v>128</v>
      </c>
      <c r="P1705" s="5"/>
      <c r="Q1705" s="5"/>
      <c r="R1705" s="8">
        <v>8.1018518518518516E-5</v>
      </c>
      <c r="S1705" s="5" t="s">
        <v>37</v>
      </c>
      <c r="T1705" t="str">
        <f>IF(Tabela1[[#This Row],[STATUS_NEGOCIO]]="Enviar E-mail",1,"")</f>
        <v/>
      </c>
      <c r="U1705" t="str">
        <f>TEXT(Tabela1[[#This Row],[DATA]],"dd/mm/aaaa")</f>
        <v>22/04/2026</v>
      </c>
    </row>
    <row r="1706" spans="1:21" x14ac:dyDescent="0.25">
      <c r="A1706" s="4">
        <v>46134.690659722219</v>
      </c>
      <c r="B1706" s="5" t="s">
        <v>19</v>
      </c>
      <c r="C1706" s="5" t="s">
        <v>37</v>
      </c>
      <c r="D1706" s="5">
        <v>108</v>
      </c>
      <c r="E1706" s="6">
        <v>7560240000190</v>
      </c>
      <c r="F1706" s="5">
        <v>108</v>
      </c>
      <c r="G1706" s="7">
        <v>177688647379381</v>
      </c>
      <c r="H1706" s="5" t="s">
        <v>165</v>
      </c>
      <c r="I1706" s="5">
        <v>3003</v>
      </c>
      <c r="J1706" s="5" t="s">
        <v>22</v>
      </c>
      <c r="K1706" s="5" t="s">
        <v>23</v>
      </c>
      <c r="L1706" s="5" t="s">
        <v>31</v>
      </c>
      <c r="M1706" s="5" t="s">
        <v>284</v>
      </c>
      <c r="N1706" s="5" t="s">
        <v>53</v>
      </c>
      <c r="O1706" s="5">
        <v>128</v>
      </c>
      <c r="P1706" s="5"/>
      <c r="Q1706" s="5"/>
      <c r="R1706" s="8">
        <v>8.1018518518518516E-5</v>
      </c>
      <c r="S1706" s="5" t="s">
        <v>37</v>
      </c>
      <c r="T1706" t="str">
        <f>IF(Tabela1[[#This Row],[STATUS_NEGOCIO]]="Enviar E-mail",1,"")</f>
        <v/>
      </c>
      <c r="U1706" t="str">
        <f>TEXT(Tabela1[[#This Row],[DATA]],"dd/mm/aaaa")</f>
        <v>22/04/2026</v>
      </c>
    </row>
    <row r="1707" spans="1:21" x14ac:dyDescent="0.25">
      <c r="A1707" s="4">
        <v>46134.690717592595</v>
      </c>
      <c r="B1707" s="5" t="s">
        <v>19</v>
      </c>
      <c r="C1707" s="5" t="s">
        <v>37</v>
      </c>
      <c r="D1707" s="5">
        <v>110</v>
      </c>
      <c r="E1707" s="6">
        <v>7585606000185</v>
      </c>
      <c r="F1707" s="5">
        <v>110</v>
      </c>
      <c r="G1707" s="7">
        <v>177688647879431</v>
      </c>
      <c r="H1707" s="5" t="s">
        <v>93</v>
      </c>
      <c r="I1707" s="5">
        <v>3003</v>
      </c>
      <c r="J1707" s="5" t="s">
        <v>22</v>
      </c>
      <c r="K1707" s="5" t="s">
        <v>23</v>
      </c>
      <c r="L1707" s="5" t="s">
        <v>31</v>
      </c>
      <c r="M1707" s="5" t="s">
        <v>284</v>
      </c>
      <c r="N1707" s="5" t="s">
        <v>53</v>
      </c>
      <c r="O1707" s="5">
        <v>128</v>
      </c>
      <c r="P1707" s="5"/>
      <c r="Q1707" s="5"/>
      <c r="R1707" s="8">
        <v>8.1018518518518516E-5</v>
      </c>
      <c r="S1707" s="5" t="s">
        <v>37</v>
      </c>
      <c r="T1707" t="str">
        <f>IF(Tabela1[[#This Row],[STATUS_NEGOCIO]]="Enviar E-mail",1,"")</f>
        <v/>
      </c>
      <c r="U1707" t="str">
        <f>TEXT(Tabela1[[#This Row],[DATA]],"dd/mm/aaaa")</f>
        <v>22/04/2026</v>
      </c>
    </row>
    <row r="1708" spans="1:21" x14ac:dyDescent="0.25">
      <c r="A1708" s="4">
        <v>46134.690752314818</v>
      </c>
      <c r="B1708" s="5" t="s">
        <v>19</v>
      </c>
      <c r="C1708" s="5" t="s">
        <v>37</v>
      </c>
      <c r="D1708" s="5">
        <v>112</v>
      </c>
      <c r="E1708" s="6">
        <v>7762793000125</v>
      </c>
      <c r="F1708" s="5">
        <v>112</v>
      </c>
      <c r="G1708" s="7">
        <v>177688648179481</v>
      </c>
      <c r="H1708" s="5" t="s">
        <v>343</v>
      </c>
      <c r="I1708" s="5">
        <v>3003</v>
      </c>
      <c r="J1708" s="5" t="s">
        <v>22</v>
      </c>
      <c r="K1708" s="5" t="s">
        <v>23</v>
      </c>
      <c r="L1708" s="5" t="s">
        <v>31</v>
      </c>
      <c r="M1708" s="5" t="s">
        <v>284</v>
      </c>
      <c r="N1708" s="5" t="s">
        <v>53</v>
      </c>
      <c r="O1708" s="5">
        <v>128</v>
      </c>
      <c r="P1708" s="5"/>
      <c r="Q1708" s="5"/>
      <c r="R1708" s="8">
        <v>8.1018518518518516E-5</v>
      </c>
      <c r="S1708" s="5" t="s">
        <v>37</v>
      </c>
      <c r="T1708" t="str">
        <f>IF(Tabela1[[#This Row],[STATUS_NEGOCIO]]="Enviar E-mail",1,"")</f>
        <v/>
      </c>
      <c r="U1708" t="str">
        <f>TEXT(Tabela1[[#This Row],[DATA]],"dd/mm/aaaa")</f>
        <v>22/04/2026</v>
      </c>
    </row>
    <row r="1709" spans="1:21" x14ac:dyDescent="0.25">
      <c r="A1709" s="4">
        <v>46134.690833333334</v>
      </c>
      <c r="B1709" s="5" t="s">
        <v>19</v>
      </c>
      <c r="C1709" s="5" t="s">
        <v>37</v>
      </c>
      <c r="D1709" s="5">
        <v>114</v>
      </c>
      <c r="E1709" s="6">
        <v>7876652000133</v>
      </c>
      <c r="F1709" s="5">
        <v>114</v>
      </c>
      <c r="G1709" s="7">
        <v>177688648879611</v>
      </c>
      <c r="H1709" s="5" t="s">
        <v>344</v>
      </c>
      <c r="I1709" s="5">
        <v>3003</v>
      </c>
      <c r="J1709" s="5" t="s">
        <v>22</v>
      </c>
      <c r="K1709" s="5" t="s">
        <v>23</v>
      </c>
      <c r="L1709" s="5" t="s">
        <v>31</v>
      </c>
      <c r="M1709" s="5" t="s">
        <v>284</v>
      </c>
      <c r="N1709" s="5" t="s">
        <v>53</v>
      </c>
      <c r="O1709" s="5">
        <v>128</v>
      </c>
      <c r="P1709" s="5"/>
      <c r="Q1709" s="5"/>
      <c r="R1709" s="8">
        <v>8.1018518518518516E-5</v>
      </c>
      <c r="S1709" s="5" t="s">
        <v>37</v>
      </c>
      <c r="T1709" t="str">
        <f>IF(Tabela1[[#This Row],[STATUS_NEGOCIO]]="Enviar E-mail",1,"")</f>
        <v/>
      </c>
      <c r="U1709" t="str">
        <f>TEXT(Tabela1[[#This Row],[DATA]],"dd/mm/aaaa")</f>
        <v>22/04/2026</v>
      </c>
    </row>
    <row r="1710" spans="1:21" x14ac:dyDescent="0.25">
      <c r="A1710" s="4">
        <v>46134.690833333334</v>
      </c>
      <c r="B1710" s="5" t="s">
        <v>19</v>
      </c>
      <c r="C1710" s="5" t="s">
        <v>37</v>
      </c>
      <c r="D1710" s="5">
        <v>115</v>
      </c>
      <c r="E1710" s="6">
        <v>7955927000124</v>
      </c>
      <c r="F1710" s="5">
        <v>115</v>
      </c>
      <c r="G1710" s="7">
        <v>177688648879621</v>
      </c>
      <c r="H1710" s="5" t="s">
        <v>79</v>
      </c>
      <c r="I1710" s="5">
        <v>3003</v>
      </c>
      <c r="J1710" s="5" t="s">
        <v>22</v>
      </c>
      <c r="K1710" s="5" t="s">
        <v>23</v>
      </c>
      <c r="L1710" s="5" t="s">
        <v>31</v>
      </c>
      <c r="M1710" s="5" t="s">
        <v>284</v>
      </c>
      <c r="N1710" s="5" t="s">
        <v>53</v>
      </c>
      <c r="O1710" s="5">
        <v>128</v>
      </c>
      <c r="P1710" s="5"/>
      <c r="Q1710" s="5"/>
      <c r="R1710" s="8">
        <v>8.1018518518518516E-5</v>
      </c>
      <c r="S1710" s="5" t="s">
        <v>37</v>
      </c>
      <c r="T1710" t="str">
        <f>IF(Tabela1[[#This Row],[STATUS_NEGOCIO]]="Enviar E-mail",1,"")</f>
        <v/>
      </c>
      <c r="U1710" t="str">
        <f>TEXT(Tabela1[[#This Row],[DATA]],"dd/mm/aaaa")</f>
        <v>22/04/2026</v>
      </c>
    </row>
    <row r="1711" spans="1:21" x14ac:dyDescent="0.25">
      <c r="A1711" s="4">
        <v>46134.690879629627</v>
      </c>
      <c r="B1711" s="5" t="s">
        <v>19</v>
      </c>
      <c r="C1711" s="5" t="s">
        <v>37</v>
      </c>
      <c r="D1711" s="5">
        <v>116</v>
      </c>
      <c r="E1711" s="6">
        <v>8083779000168</v>
      </c>
      <c r="F1711" s="5">
        <v>116</v>
      </c>
      <c r="G1711" s="7">
        <v>177688649279651</v>
      </c>
      <c r="H1711" s="5" t="s">
        <v>345</v>
      </c>
      <c r="I1711" s="5">
        <v>3003</v>
      </c>
      <c r="J1711" s="5" t="s">
        <v>22</v>
      </c>
      <c r="K1711" s="5" t="s">
        <v>23</v>
      </c>
      <c r="L1711" s="5" t="s">
        <v>31</v>
      </c>
      <c r="M1711" s="5" t="s">
        <v>284</v>
      </c>
      <c r="N1711" s="5" t="s">
        <v>53</v>
      </c>
      <c r="O1711" s="5">
        <v>147</v>
      </c>
      <c r="P1711" s="5"/>
      <c r="Q1711" s="5"/>
      <c r="R1711" s="8">
        <v>8.1018518518518516E-5</v>
      </c>
      <c r="S1711" s="5" t="s">
        <v>37</v>
      </c>
      <c r="T1711" t="str">
        <f>IF(Tabela1[[#This Row],[STATUS_NEGOCIO]]="Enviar E-mail",1,"")</f>
        <v/>
      </c>
      <c r="U1711" t="str">
        <f>TEXT(Tabela1[[#This Row],[DATA]],"dd/mm/aaaa")</f>
        <v>22/04/2026</v>
      </c>
    </row>
    <row r="1712" spans="1:21" x14ac:dyDescent="0.25">
      <c r="A1712" s="4">
        <v>46134.691064814811</v>
      </c>
      <c r="B1712" s="5" t="s">
        <v>19</v>
      </c>
      <c r="C1712" s="5" t="s">
        <v>37</v>
      </c>
      <c r="D1712" s="5">
        <v>118</v>
      </c>
      <c r="E1712" s="6">
        <v>8144303000190</v>
      </c>
      <c r="F1712" s="5">
        <v>118</v>
      </c>
      <c r="G1712" s="7">
        <v>177688650879711</v>
      </c>
      <c r="H1712" s="5" t="s">
        <v>346</v>
      </c>
      <c r="I1712" s="5">
        <v>3003</v>
      </c>
      <c r="J1712" s="5" t="s">
        <v>22</v>
      </c>
      <c r="K1712" s="5" t="s">
        <v>23</v>
      </c>
      <c r="L1712" s="5" t="s">
        <v>31</v>
      </c>
      <c r="M1712" s="5" t="s">
        <v>284</v>
      </c>
      <c r="N1712" s="5" t="s">
        <v>53</v>
      </c>
      <c r="O1712" s="5">
        <v>128</v>
      </c>
      <c r="P1712" s="5"/>
      <c r="Q1712" s="5"/>
      <c r="R1712" s="8">
        <v>8.1018518518518516E-5</v>
      </c>
      <c r="S1712" s="5" t="s">
        <v>37</v>
      </c>
      <c r="T1712" t="str">
        <f>IF(Tabela1[[#This Row],[STATUS_NEGOCIO]]="Enviar E-mail",1,"")</f>
        <v/>
      </c>
      <c r="U1712" t="str">
        <f>TEXT(Tabela1[[#This Row],[DATA]],"dd/mm/aaaa")</f>
        <v>22/04/2026</v>
      </c>
    </row>
    <row r="1713" spans="1:21" x14ac:dyDescent="0.25">
      <c r="A1713" s="4">
        <v>46134.69127314815</v>
      </c>
      <c r="B1713" s="5" t="s">
        <v>19</v>
      </c>
      <c r="C1713" s="5" t="s">
        <v>37</v>
      </c>
      <c r="D1713" s="5">
        <v>120</v>
      </c>
      <c r="E1713" s="6">
        <v>8226364000104</v>
      </c>
      <c r="F1713" s="5">
        <v>120</v>
      </c>
      <c r="G1713" s="7">
        <v>177688652679751</v>
      </c>
      <c r="H1713" s="5" t="s">
        <v>348</v>
      </c>
      <c r="I1713" s="5">
        <v>3003</v>
      </c>
      <c r="J1713" s="5" t="s">
        <v>22</v>
      </c>
      <c r="K1713" s="5" t="s">
        <v>23</v>
      </c>
      <c r="L1713" s="5" t="s">
        <v>31</v>
      </c>
      <c r="M1713" s="5" t="s">
        <v>284</v>
      </c>
      <c r="N1713" s="5" t="s">
        <v>53</v>
      </c>
      <c r="O1713" s="5">
        <v>128</v>
      </c>
      <c r="P1713" s="5"/>
      <c r="Q1713" s="5"/>
      <c r="R1713" s="8">
        <v>8.1018518518518516E-5</v>
      </c>
      <c r="S1713" s="5" t="s">
        <v>37</v>
      </c>
      <c r="T1713" t="str">
        <f>IF(Tabela1[[#This Row],[STATUS_NEGOCIO]]="Enviar E-mail",1,"")</f>
        <v/>
      </c>
      <c r="U1713" t="str">
        <f>TEXT(Tabela1[[#This Row],[DATA]],"dd/mm/aaaa")</f>
        <v>22/04/2026</v>
      </c>
    </row>
    <row r="1714" spans="1:21" x14ac:dyDescent="0.25">
      <c r="A1714" s="4">
        <v>46134.691412037035</v>
      </c>
      <c r="B1714" s="5" t="s">
        <v>19</v>
      </c>
      <c r="C1714" s="5" t="s">
        <v>37</v>
      </c>
      <c r="D1714" s="5">
        <v>113</v>
      </c>
      <c r="E1714" s="6">
        <v>7783371000136</v>
      </c>
      <c r="F1714" s="5">
        <v>113</v>
      </c>
      <c r="G1714" s="7">
        <v>177688648379531</v>
      </c>
      <c r="H1714" s="5" t="s">
        <v>84</v>
      </c>
      <c r="I1714" s="5">
        <v>3003</v>
      </c>
      <c r="J1714" s="5" t="s">
        <v>22</v>
      </c>
      <c r="K1714" s="5" t="s">
        <v>23</v>
      </c>
      <c r="L1714" s="5" t="s">
        <v>31</v>
      </c>
      <c r="M1714" s="5" t="s">
        <v>284</v>
      </c>
      <c r="N1714" s="5" t="s">
        <v>26</v>
      </c>
      <c r="O1714" s="5">
        <v>131</v>
      </c>
      <c r="P1714" s="5"/>
      <c r="Q1714" s="5"/>
      <c r="R1714" s="8">
        <v>6.7129629629629625E-4</v>
      </c>
      <c r="S1714" s="5" t="s">
        <v>37</v>
      </c>
      <c r="T1714" t="str">
        <f>IF(Tabela1[[#This Row],[STATUS_NEGOCIO]]="Enviar E-mail",1,"")</f>
        <v/>
      </c>
      <c r="U1714" t="str">
        <f>TEXT(Tabela1[[#This Row],[DATA]],"dd/mm/aaaa")</f>
        <v>22/04/2026</v>
      </c>
    </row>
    <row r="1715" spans="1:21" x14ac:dyDescent="0.25">
      <c r="A1715" s="4">
        <v>46134.691469907404</v>
      </c>
      <c r="B1715" s="5" t="s">
        <v>19</v>
      </c>
      <c r="C1715" s="5" t="s">
        <v>37</v>
      </c>
      <c r="D1715" s="5">
        <v>121</v>
      </c>
      <c r="E1715" s="6">
        <v>8311819000262</v>
      </c>
      <c r="F1715" s="5">
        <v>121</v>
      </c>
      <c r="G1715" s="7">
        <v>177688654379961</v>
      </c>
      <c r="H1715" s="5" t="s">
        <v>349</v>
      </c>
      <c r="I1715" s="5">
        <v>3003</v>
      </c>
      <c r="J1715" s="5" t="s">
        <v>22</v>
      </c>
      <c r="K1715" s="5" t="s">
        <v>23</v>
      </c>
      <c r="L1715" s="5" t="s">
        <v>31</v>
      </c>
      <c r="M1715" s="5" t="s">
        <v>284</v>
      </c>
      <c r="N1715" s="5" t="s">
        <v>53</v>
      </c>
      <c r="O1715" s="5">
        <v>128</v>
      </c>
      <c r="P1715" s="5"/>
      <c r="Q1715" s="5"/>
      <c r="R1715" s="8">
        <v>8.1018518518518516E-5</v>
      </c>
      <c r="S1715" s="5" t="s">
        <v>37</v>
      </c>
      <c r="T1715" t="str">
        <f>IF(Tabela1[[#This Row],[STATUS_NEGOCIO]]="Enviar E-mail",1,"")</f>
        <v/>
      </c>
      <c r="U1715" t="str">
        <f>TEXT(Tabela1[[#This Row],[DATA]],"dd/mm/aaaa")</f>
        <v>22/04/2026</v>
      </c>
    </row>
    <row r="1716" spans="1:21" x14ac:dyDescent="0.25">
      <c r="A1716" s="4">
        <v>46134.691493055558</v>
      </c>
      <c r="B1716" s="5" t="s">
        <v>19</v>
      </c>
      <c r="C1716" s="5" t="s">
        <v>37</v>
      </c>
      <c r="D1716" s="5">
        <v>122</v>
      </c>
      <c r="E1716" s="6">
        <v>8518829000354</v>
      </c>
      <c r="F1716" s="5">
        <v>122</v>
      </c>
      <c r="G1716" s="7">
        <v>177688654579981</v>
      </c>
      <c r="H1716" s="5" t="s">
        <v>350</v>
      </c>
      <c r="I1716" s="5">
        <v>3003</v>
      </c>
      <c r="J1716" s="5" t="s">
        <v>22</v>
      </c>
      <c r="K1716" s="5" t="s">
        <v>23</v>
      </c>
      <c r="L1716" s="5" t="s">
        <v>31</v>
      </c>
      <c r="M1716" s="5" t="s">
        <v>284</v>
      </c>
      <c r="N1716" s="5" t="s">
        <v>53</v>
      </c>
      <c r="O1716" s="5">
        <v>128</v>
      </c>
      <c r="P1716" s="5"/>
      <c r="Q1716" s="5"/>
      <c r="R1716" s="8">
        <v>8.1018518518518516E-5</v>
      </c>
      <c r="S1716" s="5" t="s">
        <v>37</v>
      </c>
      <c r="T1716" t="str">
        <f>IF(Tabela1[[#This Row],[STATUS_NEGOCIO]]="Enviar E-mail",1,"")</f>
        <v/>
      </c>
      <c r="U1716" t="str">
        <f>TEXT(Tabela1[[#This Row],[DATA]],"dd/mm/aaaa")</f>
        <v>22/04/2026</v>
      </c>
    </row>
    <row r="1717" spans="1:21" x14ac:dyDescent="0.25">
      <c r="A1717" s="4">
        <v>46134.691516203704</v>
      </c>
      <c r="B1717" s="5" t="s">
        <v>19</v>
      </c>
      <c r="C1717" s="5" t="s">
        <v>27</v>
      </c>
      <c r="D1717" s="5">
        <v>123</v>
      </c>
      <c r="E1717" s="6">
        <v>8537926000122</v>
      </c>
      <c r="F1717" s="5">
        <v>123</v>
      </c>
      <c r="G1717" s="7">
        <v>177688654779991</v>
      </c>
      <c r="H1717" s="5" t="s">
        <v>351</v>
      </c>
      <c r="I1717" s="5">
        <v>3003</v>
      </c>
      <c r="J1717" s="5" t="s">
        <v>22</v>
      </c>
      <c r="K1717" s="5" t="s">
        <v>23</v>
      </c>
      <c r="L1717" s="5" t="s">
        <v>265</v>
      </c>
      <c r="M1717" s="5" t="s">
        <v>284</v>
      </c>
      <c r="N1717" s="5" t="s">
        <v>26</v>
      </c>
      <c r="O1717" s="5">
        <v>16</v>
      </c>
      <c r="P1717" s="5"/>
      <c r="Q1717" s="5"/>
      <c r="R1717" s="8">
        <v>6.9444444444444444E-5</v>
      </c>
      <c r="S1717" s="5" t="s">
        <v>37</v>
      </c>
      <c r="T1717" t="str">
        <f>IF(Tabela1[[#This Row],[STATUS_NEGOCIO]]="Enviar E-mail",1,"")</f>
        <v/>
      </c>
      <c r="U1717" t="str">
        <f>TEXT(Tabela1[[#This Row],[DATA]],"dd/mm/aaaa")</f>
        <v>22/04/2026</v>
      </c>
    </row>
    <row r="1718" spans="1:21" x14ac:dyDescent="0.25">
      <c r="A1718" s="4">
        <v>46134.691516203704</v>
      </c>
      <c r="B1718" s="5" t="s">
        <v>19</v>
      </c>
      <c r="C1718" s="5" t="s">
        <v>37</v>
      </c>
      <c r="D1718" s="5">
        <v>124</v>
      </c>
      <c r="E1718" s="6">
        <v>8599024000110</v>
      </c>
      <c r="F1718" s="5">
        <v>124</v>
      </c>
      <c r="G1718" s="7">
        <v>177688654780001</v>
      </c>
      <c r="H1718" s="5" t="s">
        <v>352</v>
      </c>
      <c r="I1718" s="5">
        <v>3003</v>
      </c>
      <c r="J1718" s="5" t="s">
        <v>22</v>
      </c>
      <c r="K1718" s="5" t="s">
        <v>23</v>
      </c>
      <c r="L1718" s="5" t="s">
        <v>31</v>
      </c>
      <c r="M1718" s="5" t="s">
        <v>284</v>
      </c>
      <c r="N1718" s="5" t="s">
        <v>53</v>
      </c>
      <c r="O1718" s="5">
        <v>128</v>
      </c>
      <c r="P1718" s="5"/>
      <c r="Q1718" s="5"/>
      <c r="R1718" s="8">
        <v>8.1018518518518516E-5</v>
      </c>
      <c r="S1718" s="5" t="s">
        <v>37</v>
      </c>
      <c r="T1718" t="str">
        <f>IF(Tabela1[[#This Row],[STATUS_NEGOCIO]]="Enviar E-mail",1,"")</f>
        <v/>
      </c>
      <c r="U1718" t="str">
        <f>TEXT(Tabela1[[#This Row],[DATA]],"dd/mm/aaaa")</f>
        <v>22/04/2026</v>
      </c>
    </row>
    <row r="1719" spans="1:21" x14ac:dyDescent="0.25">
      <c r="A1719" s="4">
        <v>46134.691516203704</v>
      </c>
      <c r="B1719" s="5" t="s">
        <v>19</v>
      </c>
      <c r="C1719" s="5" t="s">
        <v>37</v>
      </c>
      <c r="D1719" s="5">
        <v>126</v>
      </c>
      <c r="E1719" s="6">
        <v>8764146000115</v>
      </c>
      <c r="F1719" s="5">
        <v>126</v>
      </c>
      <c r="G1719" s="7">
        <v>177688654780011</v>
      </c>
      <c r="H1719" s="5" t="s">
        <v>354</v>
      </c>
      <c r="I1719" s="5">
        <v>3003</v>
      </c>
      <c r="J1719" s="5" t="s">
        <v>22</v>
      </c>
      <c r="K1719" s="5" t="s">
        <v>23</v>
      </c>
      <c r="L1719" s="5" t="s">
        <v>31</v>
      </c>
      <c r="M1719" s="5" t="s">
        <v>284</v>
      </c>
      <c r="N1719" s="5" t="s">
        <v>53</v>
      </c>
      <c r="O1719" s="5">
        <v>128</v>
      </c>
      <c r="P1719" s="5"/>
      <c r="Q1719" s="5"/>
      <c r="R1719" s="8">
        <v>8.1018518518518516E-5</v>
      </c>
      <c r="S1719" s="5" t="s">
        <v>37</v>
      </c>
      <c r="T1719" t="str">
        <f>IF(Tabela1[[#This Row],[STATUS_NEGOCIO]]="Enviar E-mail",1,"")</f>
        <v/>
      </c>
      <c r="U1719" t="str">
        <f>TEXT(Tabela1[[#This Row],[DATA]],"dd/mm/aaaa")</f>
        <v>22/04/2026</v>
      </c>
    </row>
    <row r="1720" spans="1:21" x14ac:dyDescent="0.25">
      <c r="A1720" s="4">
        <v>46134.691516203704</v>
      </c>
      <c r="B1720" s="5" t="s">
        <v>19</v>
      </c>
      <c r="C1720" s="5" t="s">
        <v>37</v>
      </c>
      <c r="D1720" s="5">
        <v>127</v>
      </c>
      <c r="E1720" s="6">
        <v>8879331000155</v>
      </c>
      <c r="F1720" s="5">
        <v>127</v>
      </c>
      <c r="G1720" s="7">
        <v>177688654780021</v>
      </c>
      <c r="H1720" s="5" t="s">
        <v>355</v>
      </c>
      <c r="I1720" s="5" t="s">
        <v>52</v>
      </c>
      <c r="J1720" s="5" t="s">
        <v>22</v>
      </c>
      <c r="K1720" s="5" t="s">
        <v>36</v>
      </c>
      <c r="L1720" s="5" t="s">
        <v>36</v>
      </c>
      <c r="M1720" s="5" t="s">
        <v>284</v>
      </c>
      <c r="N1720" s="5" t="s">
        <v>53</v>
      </c>
      <c r="O1720" s="5">
        <v>34</v>
      </c>
      <c r="P1720" s="5"/>
      <c r="Q1720" s="5"/>
      <c r="R1720" s="8">
        <v>0</v>
      </c>
      <c r="S1720" s="5" t="s">
        <v>37</v>
      </c>
      <c r="T1720" t="str">
        <f>IF(Tabela1[[#This Row],[STATUS_NEGOCIO]]="Enviar E-mail",1,"")</f>
        <v/>
      </c>
      <c r="U1720" t="str">
        <f>TEXT(Tabela1[[#This Row],[DATA]],"dd/mm/aaaa")</f>
        <v>22/04/2026</v>
      </c>
    </row>
    <row r="1721" spans="1:21" x14ac:dyDescent="0.25">
      <c r="A1721" s="4">
        <v>46134.69158564815</v>
      </c>
      <c r="B1721" s="5" t="s">
        <v>19</v>
      </c>
      <c r="C1721" s="5" t="s">
        <v>37</v>
      </c>
      <c r="D1721" s="5">
        <v>128</v>
      </c>
      <c r="E1721" s="6">
        <v>8892204000196</v>
      </c>
      <c r="F1721" s="5">
        <v>128</v>
      </c>
      <c r="G1721" s="7">
        <v>177688655380091</v>
      </c>
      <c r="H1721" s="5" t="s">
        <v>356</v>
      </c>
      <c r="I1721" s="5">
        <v>3003</v>
      </c>
      <c r="J1721" s="5" t="s">
        <v>22</v>
      </c>
      <c r="K1721" s="5" t="s">
        <v>23</v>
      </c>
      <c r="L1721" s="5" t="s">
        <v>31</v>
      </c>
      <c r="M1721" s="5" t="s">
        <v>284</v>
      </c>
      <c r="N1721" s="5" t="s">
        <v>53</v>
      </c>
      <c r="O1721" s="5">
        <v>128</v>
      </c>
      <c r="P1721" s="5"/>
      <c r="Q1721" s="5"/>
      <c r="R1721" s="8">
        <v>5.7870370370370373E-5</v>
      </c>
      <c r="S1721" s="5" t="s">
        <v>37</v>
      </c>
      <c r="T1721" t="str">
        <f>IF(Tabela1[[#This Row],[STATUS_NEGOCIO]]="Enviar E-mail",1,"")</f>
        <v/>
      </c>
      <c r="U1721" t="str">
        <f>TEXT(Tabela1[[#This Row],[DATA]],"dd/mm/aaaa")</f>
        <v>22/04/2026</v>
      </c>
    </row>
    <row r="1722" spans="1:21" x14ac:dyDescent="0.25">
      <c r="A1722" s="4">
        <v>46134.691701388889</v>
      </c>
      <c r="B1722" s="5" t="s">
        <v>19</v>
      </c>
      <c r="C1722" s="5" t="s">
        <v>37</v>
      </c>
      <c r="D1722" s="5">
        <v>129</v>
      </c>
      <c r="E1722" s="6">
        <v>8912389000153</v>
      </c>
      <c r="F1722" s="5">
        <v>129</v>
      </c>
      <c r="G1722" s="7">
        <v>177688656380121</v>
      </c>
      <c r="H1722" s="5" t="s">
        <v>357</v>
      </c>
      <c r="I1722" s="5">
        <v>3003</v>
      </c>
      <c r="J1722" s="5" t="s">
        <v>22</v>
      </c>
      <c r="K1722" s="5" t="s">
        <v>23</v>
      </c>
      <c r="L1722" s="5" t="s">
        <v>31</v>
      </c>
      <c r="M1722" s="5" t="s">
        <v>284</v>
      </c>
      <c r="N1722" s="5" t="s">
        <v>53</v>
      </c>
      <c r="O1722" s="5">
        <v>128</v>
      </c>
      <c r="P1722" s="5"/>
      <c r="Q1722" s="5"/>
      <c r="R1722" s="8">
        <v>6.9444444444444444E-5</v>
      </c>
      <c r="S1722" s="5" t="s">
        <v>37</v>
      </c>
      <c r="T1722" t="str">
        <f>IF(Tabela1[[#This Row],[STATUS_NEGOCIO]]="Enviar E-mail",1,"")</f>
        <v/>
      </c>
      <c r="U1722" t="str">
        <f>TEXT(Tabela1[[#This Row],[DATA]],"dd/mm/aaaa")</f>
        <v>22/04/2026</v>
      </c>
    </row>
    <row r="1723" spans="1:21" x14ac:dyDescent="0.25">
      <c r="A1723" s="4">
        <v>46134.691747685189</v>
      </c>
      <c r="B1723" s="5" t="s">
        <v>19</v>
      </c>
      <c r="C1723" s="5" t="s">
        <v>37</v>
      </c>
      <c r="D1723" s="5">
        <v>131</v>
      </c>
      <c r="E1723" s="6">
        <v>8973205000165</v>
      </c>
      <c r="F1723" s="5">
        <v>131</v>
      </c>
      <c r="G1723" s="7">
        <v>177688656780141</v>
      </c>
      <c r="H1723" s="5" t="s">
        <v>359</v>
      </c>
      <c r="I1723" s="5">
        <v>3003</v>
      </c>
      <c r="J1723" s="5" t="s">
        <v>22</v>
      </c>
      <c r="K1723" s="5" t="s">
        <v>23</v>
      </c>
      <c r="L1723" s="5" t="s">
        <v>31</v>
      </c>
      <c r="M1723" s="5" t="s">
        <v>284</v>
      </c>
      <c r="N1723" s="5" t="s">
        <v>53</v>
      </c>
      <c r="O1723" s="5">
        <v>128</v>
      </c>
      <c r="P1723" s="5"/>
      <c r="Q1723" s="5"/>
      <c r="R1723" s="8">
        <v>8.1018518518518516E-5</v>
      </c>
      <c r="S1723" s="5" t="s">
        <v>37</v>
      </c>
      <c r="T1723" t="str">
        <f>IF(Tabela1[[#This Row],[STATUS_NEGOCIO]]="Enviar E-mail",1,"")</f>
        <v/>
      </c>
      <c r="U1723" t="str">
        <f>TEXT(Tabela1[[#This Row],[DATA]],"dd/mm/aaaa")</f>
        <v>22/04/2026</v>
      </c>
    </row>
    <row r="1724" spans="1:21" x14ac:dyDescent="0.25">
      <c r="A1724" s="4">
        <v>46134.691770833335</v>
      </c>
      <c r="B1724" s="5" t="s">
        <v>19</v>
      </c>
      <c r="C1724" s="5" t="s">
        <v>37</v>
      </c>
      <c r="D1724" s="5">
        <v>132</v>
      </c>
      <c r="E1724" s="6">
        <v>8996355000194</v>
      </c>
      <c r="F1724" s="5">
        <v>132</v>
      </c>
      <c r="G1724" s="7">
        <v>177688656980161</v>
      </c>
      <c r="H1724" s="5" t="s">
        <v>360</v>
      </c>
      <c r="I1724" s="5">
        <v>3003</v>
      </c>
      <c r="J1724" s="5" t="s">
        <v>22</v>
      </c>
      <c r="K1724" s="5" t="s">
        <v>23</v>
      </c>
      <c r="L1724" s="5" t="s">
        <v>31</v>
      </c>
      <c r="M1724" s="5" t="s">
        <v>284</v>
      </c>
      <c r="N1724" s="5" t="s">
        <v>53</v>
      </c>
      <c r="O1724" s="5">
        <v>128</v>
      </c>
      <c r="P1724" s="5"/>
      <c r="Q1724" s="5"/>
      <c r="R1724" s="8">
        <v>8.1018518518518516E-5</v>
      </c>
      <c r="S1724" s="5" t="s">
        <v>37</v>
      </c>
      <c r="T1724" t="str">
        <f>IF(Tabela1[[#This Row],[STATUS_NEGOCIO]]="Enviar E-mail",1,"")</f>
        <v/>
      </c>
      <c r="U1724" t="str">
        <f>TEXT(Tabela1[[#This Row],[DATA]],"dd/mm/aaaa")</f>
        <v>22/04/2026</v>
      </c>
    </row>
    <row r="1725" spans="1:21" x14ac:dyDescent="0.25">
      <c r="A1725" s="4">
        <v>46134.691782407404</v>
      </c>
      <c r="B1725" s="5" t="s">
        <v>19</v>
      </c>
      <c r="C1725" s="5" t="s">
        <v>37</v>
      </c>
      <c r="D1725" s="5">
        <v>133</v>
      </c>
      <c r="E1725" s="6">
        <v>9082639000138</v>
      </c>
      <c r="F1725" s="5">
        <v>133</v>
      </c>
      <c r="G1725" s="7">
        <v>177688657080181</v>
      </c>
      <c r="H1725" s="5" t="s">
        <v>41</v>
      </c>
      <c r="I1725" s="5">
        <v>3003</v>
      </c>
      <c r="J1725" s="5" t="s">
        <v>22</v>
      </c>
      <c r="K1725" s="5" t="s">
        <v>23</v>
      </c>
      <c r="L1725" s="5" t="s">
        <v>31</v>
      </c>
      <c r="M1725" s="5" t="s">
        <v>284</v>
      </c>
      <c r="N1725" s="5" t="s">
        <v>53</v>
      </c>
      <c r="O1725" s="5">
        <v>128</v>
      </c>
      <c r="P1725" s="5"/>
      <c r="Q1725" s="5"/>
      <c r="R1725" s="8">
        <v>8.1018518518518516E-5</v>
      </c>
      <c r="S1725" s="5" t="s">
        <v>37</v>
      </c>
      <c r="T1725" t="str">
        <f>IF(Tabela1[[#This Row],[STATUS_NEGOCIO]]="Enviar E-mail",1,"")</f>
        <v/>
      </c>
      <c r="U1725" t="str">
        <f>TEXT(Tabela1[[#This Row],[DATA]],"dd/mm/aaaa")</f>
        <v>22/04/2026</v>
      </c>
    </row>
    <row r="1726" spans="1:21" x14ac:dyDescent="0.25">
      <c r="A1726" s="4">
        <v>46134.691817129627</v>
      </c>
      <c r="B1726" s="5" t="s">
        <v>19</v>
      </c>
      <c r="C1726" s="5" t="s">
        <v>20</v>
      </c>
      <c r="D1726" s="5">
        <v>134</v>
      </c>
      <c r="E1726" s="6">
        <v>9158698000142</v>
      </c>
      <c r="F1726" s="5">
        <v>134</v>
      </c>
      <c r="G1726" s="7">
        <v>177688657380201</v>
      </c>
      <c r="H1726" s="5" t="s">
        <v>107</v>
      </c>
      <c r="I1726" s="5">
        <v>3003</v>
      </c>
      <c r="J1726" s="5" t="s">
        <v>22</v>
      </c>
      <c r="K1726" s="5" t="s">
        <v>23</v>
      </c>
      <c r="L1726" s="5" t="s">
        <v>40</v>
      </c>
      <c r="M1726" s="5" t="s">
        <v>284</v>
      </c>
      <c r="N1726" s="5" t="s">
        <v>32</v>
      </c>
      <c r="O1726" s="5">
        <v>16</v>
      </c>
      <c r="P1726" s="5"/>
      <c r="Q1726" s="5"/>
      <c r="R1726" s="8">
        <v>1.736111111111111E-3</v>
      </c>
      <c r="S1726" s="8">
        <v>1.6782407407407408E-3</v>
      </c>
      <c r="T1726">
        <f>IF(Tabela1[[#This Row],[STATUS_NEGOCIO]]="Enviar E-mail",1,"")</f>
        <v>1</v>
      </c>
      <c r="U1726" t="str">
        <f>TEXT(Tabela1[[#This Row],[DATA]],"dd/mm/aaaa")</f>
        <v>22/04/2026</v>
      </c>
    </row>
    <row r="1727" spans="1:21" x14ac:dyDescent="0.25">
      <c r="A1727" s="4">
        <v>46134.691840277781</v>
      </c>
      <c r="B1727" s="5" t="s">
        <v>19</v>
      </c>
      <c r="C1727" s="5" t="s">
        <v>37</v>
      </c>
      <c r="D1727" s="5">
        <v>136</v>
      </c>
      <c r="E1727" s="6">
        <v>9232340000112</v>
      </c>
      <c r="F1727" s="5">
        <v>136</v>
      </c>
      <c r="G1727" s="7">
        <v>177688657580221</v>
      </c>
      <c r="H1727" s="5" t="s">
        <v>362</v>
      </c>
      <c r="I1727" s="5">
        <v>3003</v>
      </c>
      <c r="J1727" s="5" t="s">
        <v>22</v>
      </c>
      <c r="K1727" s="5" t="s">
        <v>23</v>
      </c>
      <c r="L1727" s="5" t="s">
        <v>31</v>
      </c>
      <c r="M1727" s="5" t="s">
        <v>284</v>
      </c>
      <c r="N1727" s="5" t="s">
        <v>53</v>
      </c>
      <c r="O1727" s="5">
        <v>128</v>
      </c>
      <c r="P1727" s="5"/>
      <c r="Q1727" s="5"/>
      <c r="R1727" s="8">
        <v>8.1018518518518516E-5</v>
      </c>
      <c r="S1727" s="5" t="s">
        <v>37</v>
      </c>
      <c r="T1727" t="str">
        <f>IF(Tabela1[[#This Row],[STATUS_NEGOCIO]]="Enviar E-mail",1,"")</f>
        <v/>
      </c>
      <c r="U1727" t="str">
        <f>TEXT(Tabela1[[#This Row],[DATA]],"dd/mm/aaaa")</f>
        <v>22/04/2026</v>
      </c>
    </row>
    <row r="1728" spans="1:21" x14ac:dyDescent="0.25">
      <c r="A1728" s="4">
        <v>46134.691863425927</v>
      </c>
      <c r="B1728" s="5" t="s">
        <v>19</v>
      </c>
      <c r="C1728" s="5" t="s">
        <v>37</v>
      </c>
      <c r="D1728" s="5">
        <v>137</v>
      </c>
      <c r="E1728" s="6">
        <v>9243828000145</v>
      </c>
      <c r="F1728" s="5">
        <v>137</v>
      </c>
      <c r="G1728" s="7">
        <v>177688657780241</v>
      </c>
      <c r="H1728" s="5" t="s">
        <v>80</v>
      </c>
      <c r="I1728" s="5">
        <v>3003</v>
      </c>
      <c r="J1728" s="5" t="s">
        <v>22</v>
      </c>
      <c r="K1728" s="5" t="s">
        <v>23</v>
      </c>
      <c r="L1728" s="5" t="s">
        <v>31</v>
      </c>
      <c r="M1728" s="5" t="s">
        <v>284</v>
      </c>
      <c r="N1728" s="5" t="s">
        <v>53</v>
      </c>
      <c r="O1728" s="5">
        <v>128</v>
      </c>
      <c r="P1728" s="5"/>
      <c r="Q1728" s="5"/>
      <c r="R1728" s="8">
        <v>8.1018518518518516E-5</v>
      </c>
      <c r="S1728" s="5" t="s">
        <v>37</v>
      </c>
      <c r="T1728" t="str">
        <f>IF(Tabela1[[#This Row],[STATUS_NEGOCIO]]="Enviar E-mail",1,"")</f>
        <v/>
      </c>
      <c r="U1728" t="str">
        <f>TEXT(Tabela1[[#This Row],[DATA]],"dd/mm/aaaa")</f>
        <v>22/04/2026</v>
      </c>
    </row>
    <row r="1729" spans="1:21" x14ac:dyDescent="0.25">
      <c r="A1729" s="4">
        <v>46134.692013888889</v>
      </c>
      <c r="B1729" s="5" t="s">
        <v>19</v>
      </c>
      <c r="C1729" s="5" t="s">
        <v>37</v>
      </c>
      <c r="D1729" s="5">
        <v>141</v>
      </c>
      <c r="E1729" s="6">
        <v>9477090000180</v>
      </c>
      <c r="F1729" s="5">
        <v>141</v>
      </c>
      <c r="G1729" s="7">
        <v>177688659080301</v>
      </c>
      <c r="H1729" s="5" t="s">
        <v>364</v>
      </c>
      <c r="I1729" s="5">
        <v>3003</v>
      </c>
      <c r="J1729" s="5" t="s">
        <v>22</v>
      </c>
      <c r="K1729" s="5" t="s">
        <v>23</v>
      </c>
      <c r="L1729" s="5" t="s">
        <v>31</v>
      </c>
      <c r="M1729" s="5" t="s">
        <v>284</v>
      </c>
      <c r="N1729" s="5" t="s">
        <v>53</v>
      </c>
      <c r="O1729" s="5">
        <v>128</v>
      </c>
      <c r="P1729" s="5"/>
      <c r="Q1729" s="5"/>
      <c r="R1729" s="8">
        <v>8.1018518518518516E-5</v>
      </c>
      <c r="S1729" s="5" t="s">
        <v>37</v>
      </c>
      <c r="T1729" t="str">
        <f>IF(Tabela1[[#This Row],[STATUS_NEGOCIO]]="Enviar E-mail",1,"")</f>
        <v/>
      </c>
      <c r="U1729" t="str">
        <f>TEXT(Tabela1[[#This Row],[DATA]],"dd/mm/aaaa")</f>
        <v>22/04/2026</v>
      </c>
    </row>
    <row r="1730" spans="1:21" x14ac:dyDescent="0.25">
      <c r="A1730" s="4">
        <v>46134.692037037035</v>
      </c>
      <c r="B1730" s="5" t="s">
        <v>19</v>
      </c>
      <c r="C1730" s="5" t="s">
        <v>37</v>
      </c>
      <c r="D1730" s="5">
        <v>143</v>
      </c>
      <c r="E1730" s="6">
        <v>10199619000120</v>
      </c>
      <c r="F1730" s="5">
        <v>143</v>
      </c>
      <c r="G1730" s="7">
        <v>177688659280321</v>
      </c>
      <c r="H1730" s="5" t="s">
        <v>366</v>
      </c>
      <c r="I1730" s="5">
        <v>3003</v>
      </c>
      <c r="J1730" s="5" t="s">
        <v>22</v>
      </c>
      <c r="K1730" s="5" t="s">
        <v>23</v>
      </c>
      <c r="L1730" s="5" t="s">
        <v>31</v>
      </c>
      <c r="M1730" s="5" t="s">
        <v>284</v>
      </c>
      <c r="N1730" s="5" t="s">
        <v>53</v>
      </c>
      <c r="O1730" s="5">
        <v>128</v>
      </c>
      <c r="P1730" s="5"/>
      <c r="Q1730" s="5"/>
      <c r="R1730" s="8">
        <v>6.9444444444444444E-5</v>
      </c>
      <c r="S1730" s="5" t="s">
        <v>37</v>
      </c>
      <c r="T1730" t="str">
        <f>IF(Tabela1[[#This Row],[STATUS_NEGOCIO]]="Enviar E-mail",1,"")</f>
        <v/>
      </c>
      <c r="U1730" t="str">
        <f>TEXT(Tabela1[[#This Row],[DATA]],"dd/mm/aaaa")</f>
        <v>22/04/2026</v>
      </c>
    </row>
    <row r="1731" spans="1:21" x14ac:dyDescent="0.25">
      <c r="A1731" s="4">
        <v>46134.692129629628</v>
      </c>
      <c r="B1731" s="5" t="s">
        <v>19</v>
      </c>
      <c r="C1731" s="5" t="s">
        <v>37</v>
      </c>
      <c r="D1731" s="5">
        <v>144</v>
      </c>
      <c r="E1731" s="6">
        <v>10312430000100</v>
      </c>
      <c r="F1731" s="5">
        <v>144</v>
      </c>
      <c r="G1731" s="7">
        <v>177688660080361</v>
      </c>
      <c r="H1731" s="5" t="s">
        <v>367</v>
      </c>
      <c r="I1731" s="5">
        <v>3003</v>
      </c>
      <c r="J1731" s="5" t="s">
        <v>22</v>
      </c>
      <c r="K1731" s="5" t="s">
        <v>23</v>
      </c>
      <c r="L1731" s="5" t="s">
        <v>31</v>
      </c>
      <c r="M1731" s="5" t="s">
        <v>284</v>
      </c>
      <c r="N1731" s="5" t="s">
        <v>53</v>
      </c>
      <c r="O1731" s="5">
        <v>128</v>
      </c>
      <c r="P1731" s="5"/>
      <c r="Q1731" s="5"/>
      <c r="R1731" s="8">
        <v>8.1018518518518516E-5</v>
      </c>
      <c r="S1731" s="5" t="s">
        <v>37</v>
      </c>
      <c r="T1731" t="str">
        <f>IF(Tabela1[[#This Row],[STATUS_NEGOCIO]]="Enviar E-mail",1,"")</f>
        <v/>
      </c>
      <c r="U1731" t="str">
        <f>TEXT(Tabela1[[#This Row],[DATA]],"dd/mm/aaaa")</f>
        <v>22/04/2026</v>
      </c>
    </row>
    <row r="1732" spans="1:21" x14ac:dyDescent="0.25">
      <c r="A1732" s="4">
        <v>46134.692141203705</v>
      </c>
      <c r="B1732" s="5" t="s">
        <v>19</v>
      </c>
      <c r="C1732" s="5" t="s">
        <v>37</v>
      </c>
      <c r="D1732" s="5">
        <v>145</v>
      </c>
      <c r="E1732" s="6">
        <v>10320742000158</v>
      </c>
      <c r="F1732" s="5">
        <v>145</v>
      </c>
      <c r="G1732" s="7">
        <v>177688660180411</v>
      </c>
      <c r="H1732" s="5" t="s">
        <v>368</v>
      </c>
      <c r="I1732" s="5">
        <v>3003</v>
      </c>
      <c r="J1732" s="5" t="s">
        <v>22</v>
      </c>
      <c r="K1732" s="5" t="s">
        <v>23</v>
      </c>
      <c r="L1732" s="5" t="s">
        <v>31</v>
      </c>
      <c r="M1732" s="5" t="s">
        <v>284</v>
      </c>
      <c r="N1732" s="5" t="s">
        <v>53</v>
      </c>
      <c r="O1732" s="5">
        <v>128</v>
      </c>
      <c r="P1732" s="5"/>
      <c r="Q1732" s="5"/>
      <c r="R1732" s="8">
        <v>8.1018518518518516E-5</v>
      </c>
      <c r="S1732" s="5" t="s">
        <v>37</v>
      </c>
      <c r="T1732" t="str">
        <f>IF(Tabela1[[#This Row],[STATUS_NEGOCIO]]="Enviar E-mail",1,"")</f>
        <v/>
      </c>
      <c r="U1732" t="str">
        <f>TEXT(Tabela1[[#This Row],[DATA]],"dd/mm/aaaa")</f>
        <v>22/04/2026</v>
      </c>
    </row>
    <row r="1733" spans="1:21" x14ac:dyDescent="0.25">
      <c r="A1733" s="4">
        <v>46134.692152777781</v>
      </c>
      <c r="B1733" s="5" t="s">
        <v>19</v>
      </c>
      <c r="C1733" s="5" t="s">
        <v>37</v>
      </c>
      <c r="D1733" s="5">
        <v>146</v>
      </c>
      <c r="E1733" s="6">
        <v>10335794000106</v>
      </c>
      <c r="F1733" s="5">
        <v>146</v>
      </c>
      <c r="G1733" s="7">
        <v>177688660280431</v>
      </c>
      <c r="H1733" s="5" t="s">
        <v>163</v>
      </c>
      <c r="I1733" s="5">
        <v>3003</v>
      </c>
      <c r="J1733" s="5" t="s">
        <v>22</v>
      </c>
      <c r="K1733" s="5" t="s">
        <v>23</v>
      </c>
      <c r="L1733" s="5" t="s">
        <v>31</v>
      </c>
      <c r="M1733" s="5" t="s">
        <v>284</v>
      </c>
      <c r="N1733" s="5" t="s">
        <v>53</v>
      </c>
      <c r="O1733" s="5">
        <v>128</v>
      </c>
      <c r="P1733" s="5"/>
      <c r="Q1733" s="5"/>
      <c r="R1733" s="8">
        <v>8.1018518518518516E-5</v>
      </c>
      <c r="S1733" s="5" t="s">
        <v>37</v>
      </c>
      <c r="T1733" t="str">
        <f>IF(Tabela1[[#This Row],[STATUS_NEGOCIO]]="Enviar E-mail",1,"")</f>
        <v/>
      </c>
      <c r="U1733" t="str">
        <f>TEXT(Tabela1[[#This Row],[DATA]],"dd/mm/aaaa")</f>
        <v>22/04/2026</v>
      </c>
    </row>
    <row r="1734" spans="1:21" x14ac:dyDescent="0.25">
      <c r="A1734" s="4">
        <v>46134.692199074074</v>
      </c>
      <c r="B1734" s="5" t="s">
        <v>19</v>
      </c>
      <c r="C1734" s="5" t="s">
        <v>37</v>
      </c>
      <c r="D1734" s="5">
        <v>147</v>
      </c>
      <c r="E1734" s="6">
        <v>10364002000113</v>
      </c>
      <c r="F1734" s="5">
        <v>147</v>
      </c>
      <c r="G1734" s="7">
        <v>177688660680451</v>
      </c>
      <c r="H1734" s="5" t="s">
        <v>369</v>
      </c>
      <c r="I1734" s="5">
        <v>3003</v>
      </c>
      <c r="J1734" s="5" t="s">
        <v>22</v>
      </c>
      <c r="K1734" s="5" t="s">
        <v>23</v>
      </c>
      <c r="L1734" s="5" t="s">
        <v>31</v>
      </c>
      <c r="M1734" s="5" t="s">
        <v>284</v>
      </c>
      <c r="N1734" s="5" t="s">
        <v>53</v>
      </c>
      <c r="O1734" s="5">
        <v>128</v>
      </c>
      <c r="P1734" s="5"/>
      <c r="Q1734" s="5"/>
      <c r="R1734" s="8">
        <v>8.1018518518518516E-5</v>
      </c>
      <c r="S1734" s="5" t="s">
        <v>37</v>
      </c>
      <c r="T1734" t="str">
        <f>IF(Tabela1[[#This Row],[STATUS_NEGOCIO]]="Enviar E-mail",1,"")</f>
        <v/>
      </c>
      <c r="U1734" t="str">
        <f>TEXT(Tabela1[[#This Row],[DATA]],"dd/mm/aaaa")</f>
        <v>22/04/2026</v>
      </c>
    </row>
    <row r="1735" spans="1:21" x14ac:dyDescent="0.25">
      <c r="A1735" s="4">
        <v>46134.692314814813</v>
      </c>
      <c r="B1735" s="5" t="s">
        <v>19</v>
      </c>
      <c r="C1735" s="5" t="s">
        <v>37</v>
      </c>
      <c r="D1735" s="5">
        <v>148</v>
      </c>
      <c r="E1735" s="6">
        <v>10379649000119</v>
      </c>
      <c r="F1735" s="5">
        <v>148</v>
      </c>
      <c r="G1735" s="7">
        <v>177688661680561</v>
      </c>
      <c r="H1735" s="5" t="s">
        <v>96</v>
      </c>
      <c r="I1735" s="5" t="s">
        <v>52</v>
      </c>
      <c r="J1735" s="5" t="s">
        <v>22</v>
      </c>
      <c r="K1735" s="5" t="s">
        <v>36</v>
      </c>
      <c r="L1735" s="5" t="s">
        <v>36</v>
      </c>
      <c r="M1735" s="5" t="s">
        <v>284</v>
      </c>
      <c r="N1735" s="5" t="s">
        <v>53</v>
      </c>
      <c r="O1735" s="5">
        <v>19</v>
      </c>
      <c r="P1735" s="5"/>
      <c r="Q1735" s="5"/>
      <c r="R1735" s="8">
        <v>0</v>
      </c>
      <c r="S1735" s="5" t="s">
        <v>37</v>
      </c>
      <c r="T1735" t="str">
        <f>IF(Tabela1[[#This Row],[STATUS_NEGOCIO]]="Enviar E-mail",1,"")</f>
        <v/>
      </c>
      <c r="U1735" t="str">
        <f>TEXT(Tabela1[[#This Row],[DATA]],"dd/mm/aaaa")</f>
        <v>22/04/2026</v>
      </c>
    </row>
    <row r="1736" spans="1:21" x14ac:dyDescent="0.25">
      <c r="A1736" s="4">
        <v>46134.692361111112</v>
      </c>
      <c r="B1736" s="5" t="s">
        <v>19</v>
      </c>
      <c r="C1736" s="5" t="s">
        <v>37</v>
      </c>
      <c r="D1736" s="5">
        <v>149</v>
      </c>
      <c r="E1736" s="6">
        <v>10433504000159</v>
      </c>
      <c r="F1736" s="5">
        <v>149</v>
      </c>
      <c r="G1736" s="7">
        <v>177688662080601</v>
      </c>
      <c r="H1736" s="5" t="s">
        <v>370</v>
      </c>
      <c r="I1736" s="5">
        <v>3003</v>
      </c>
      <c r="J1736" s="5" t="s">
        <v>22</v>
      </c>
      <c r="K1736" s="5" t="s">
        <v>23</v>
      </c>
      <c r="L1736" s="5" t="s">
        <v>31</v>
      </c>
      <c r="M1736" s="5" t="s">
        <v>284</v>
      </c>
      <c r="N1736" s="5" t="s">
        <v>53</v>
      </c>
      <c r="O1736" s="5">
        <v>128</v>
      </c>
      <c r="P1736" s="5"/>
      <c r="Q1736" s="5"/>
      <c r="R1736" s="8">
        <v>8.1018518518518516E-5</v>
      </c>
      <c r="S1736" s="5" t="s">
        <v>37</v>
      </c>
      <c r="T1736" t="str">
        <f>IF(Tabela1[[#This Row],[STATUS_NEGOCIO]]="Enviar E-mail",1,"")</f>
        <v/>
      </c>
      <c r="U1736" t="str">
        <f>TEXT(Tabela1[[#This Row],[DATA]],"dd/mm/aaaa")</f>
        <v>22/04/2026</v>
      </c>
    </row>
    <row r="1737" spans="1:21" x14ac:dyDescent="0.25">
      <c r="A1737" s="4">
        <v>46134.692361111112</v>
      </c>
      <c r="B1737" s="5" t="s">
        <v>19</v>
      </c>
      <c r="C1737" s="5" t="s">
        <v>37</v>
      </c>
      <c r="D1737" s="5">
        <v>150</v>
      </c>
      <c r="E1737" s="6">
        <v>10443491000107</v>
      </c>
      <c r="F1737" s="5">
        <v>150</v>
      </c>
      <c r="G1737" s="7">
        <v>177688662080611</v>
      </c>
      <c r="H1737" s="5" t="s">
        <v>371</v>
      </c>
      <c r="I1737" s="5" t="s">
        <v>52</v>
      </c>
      <c r="J1737" s="5" t="s">
        <v>22</v>
      </c>
      <c r="K1737" s="5" t="s">
        <v>36</v>
      </c>
      <c r="L1737" s="5" t="s">
        <v>36</v>
      </c>
      <c r="M1737" s="5" t="s">
        <v>284</v>
      </c>
      <c r="N1737" s="5" t="s">
        <v>53</v>
      </c>
      <c r="O1737" s="5">
        <v>19</v>
      </c>
      <c r="P1737" s="5"/>
      <c r="Q1737" s="5"/>
      <c r="R1737" s="8">
        <v>0</v>
      </c>
      <c r="S1737" s="5" t="s">
        <v>37</v>
      </c>
      <c r="T1737" t="str">
        <f>IF(Tabela1[[#This Row],[STATUS_NEGOCIO]]="Enviar E-mail",1,"")</f>
        <v/>
      </c>
      <c r="U1737" t="str">
        <f>TEXT(Tabela1[[#This Row],[DATA]],"dd/mm/aaaa")</f>
        <v>22/04/2026</v>
      </c>
    </row>
    <row r="1738" spans="1:21" x14ac:dyDescent="0.25">
      <c r="A1738" s="4">
        <v>46134.692395833335</v>
      </c>
      <c r="B1738" s="5" t="s">
        <v>19</v>
      </c>
      <c r="C1738" s="5" t="s">
        <v>37</v>
      </c>
      <c r="D1738" s="5">
        <v>151</v>
      </c>
      <c r="E1738" s="6">
        <v>10479198000191</v>
      </c>
      <c r="F1738" s="5">
        <v>151</v>
      </c>
      <c r="G1738" s="7">
        <v>177688662380631</v>
      </c>
      <c r="H1738" s="5" t="s">
        <v>69</v>
      </c>
      <c r="I1738" s="5">
        <v>3003</v>
      </c>
      <c r="J1738" s="5" t="s">
        <v>22</v>
      </c>
      <c r="K1738" s="5" t="s">
        <v>23</v>
      </c>
      <c r="L1738" s="5" t="s">
        <v>31</v>
      </c>
      <c r="M1738" s="5" t="s">
        <v>284</v>
      </c>
      <c r="N1738" s="5" t="s">
        <v>53</v>
      </c>
      <c r="O1738" s="5">
        <v>128</v>
      </c>
      <c r="P1738" s="5"/>
      <c r="Q1738" s="5"/>
      <c r="R1738" s="8">
        <v>8.1018518518518516E-5</v>
      </c>
      <c r="S1738" s="5" t="s">
        <v>37</v>
      </c>
      <c r="T1738" t="str">
        <f>IF(Tabela1[[#This Row],[STATUS_NEGOCIO]]="Enviar E-mail",1,"")</f>
        <v/>
      </c>
      <c r="U1738" t="str">
        <f>TEXT(Tabela1[[#This Row],[DATA]],"dd/mm/aaaa")</f>
        <v>22/04/2026</v>
      </c>
    </row>
    <row r="1739" spans="1:21" x14ac:dyDescent="0.25">
      <c r="A1739" s="4">
        <v>46134.69253472222</v>
      </c>
      <c r="B1739" s="5" t="s">
        <v>19</v>
      </c>
      <c r="C1739" s="5" t="s">
        <v>37</v>
      </c>
      <c r="D1739" s="5">
        <v>153</v>
      </c>
      <c r="E1739" s="6">
        <v>10594727000106</v>
      </c>
      <c r="F1739" s="5">
        <v>153</v>
      </c>
      <c r="G1739" s="7">
        <v>177688663580661</v>
      </c>
      <c r="H1739" s="5" t="s">
        <v>373</v>
      </c>
      <c r="I1739" s="5">
        <v>3003</v>
      </c>
      <c r="J1739" s="5" t="s">
        <v>22</v>
      </c>
      <c r="K1739" s="5" t="s">
        <v>23</v>
      </c>
      <c r="L1739" s="5" t="s">
        <v>31</v>
      </c>
      <c r="M1739" s="5" t="s">
        <v>284</v>
      </c>
      <c r="N1739" s="5" t="s">
        <v>53</v>
      </c>
      <c r="O1739" s="5">
        <v>128</v>
      </c>
      <c r="P1739" s="5"/>
      <c r="Q1739" s="5"/>
      <c r="R1739" s="8">
        <v>3.4722222222222222E-5</v>
      </c>
      <c r="S1739" s="5" t="s">
        <v>37</v>
      </c>
      <c r="T1739" t="str">
        <f>IF(Tabela1[[#This Row],[STATUS_NEGOCIO]]="Enviar E-mail",1,"")</f>
        <v/>
      </c>
      <c r="U1739" t="str">
        <f>TEXT(Tabela1[[#This Row],[DATA]],"dd/mm/aaaa")</f>
        <v>22/04/2026</v>
      </c>
    </row>
    <row r="1740" spans="1:21" x14ac:dyDescent="0.25">
      <c r="A1740" s="4">
        <v>46134.692546296297</v>
      </c>
      <c r="B1740" s="5" t="s">
        <v>19</v>
      </c>
      <c r="C1740" s="5" t="s">
        <v>37</v>
      </c>
      <c r="D1740" s="5">
        <v>154</v>
      </c>
      <c r="E1740" s="6">
        <v>10737265000120</v>
      </c>
      <c r="F1740" s="5">
        <v>154</v>
      </c>
      <c r="G1740" s="7">
        <v>177688663680671</v>
      </c>
      <c r="H1740" s="5" t="s">
        <v>374</v>
      </c>
      <c r="I1740" s="5">
        <v>3003</v>
      </c>
      <c r="J1740" s="5" t="s">
        <v>22</v>
      </c>
      <c r="K1740" s="5" t="s">
        <v>23</v>
      </c>
      <c r="L1740" s="5" t="s">
        <v>31</v>
      </c>
      <c r="M1740" s="5" t="s">
        <v>284</v>
      </c>
      <c r="N1740" s="5" t="s">
        <v>53</v>
      </c>
      <c r="O1740" s="5">
        <v>128</v>
      </c>
      <c r="P1740" s="5"/>
      <c r="Q1740" s="5"/>
      <c r="R1740" s="8">
        <v>8.1018518518518516E-5</v>
      </c>
      <c r="S1740" s="5" t="s">
        <v>37</v>
      </c>
      <c r="T1740" t="str">
        <f>IF(Tabela1[[#This Row],[STATUS_NEGOCIO]]="Enviar E-mail",1,"")</f>
        <v/>
      </c>
      <c r="U1740" t="str">
        <f>TEXT(Tabela1[[#This Row],[DATA]],"dd/mm/aaaa")</f>
        <v>22/04/2026</v>
      </c>
    </row>
    <row r="1741" spans="1:21" x14ac:dyDescent="0.25">
      <c r="A1741" s="4">
        <v>46134.692696759259</v>
      </c>
      <c r="B1741" s="5" t="s">
        <v>19</v>
      </c>
      <c r="C1741" s="5" t="s">
        <v>37</v>
      </c>
      <c r="D1741" s="5">
        <v>155</v>
      </c>
      <c r="E1741" s="6">
        <v>10745721000184</v>
      </c>
      <c r="F1741" s="5">
        <v>155</v>
      </c>
      <c r="G1741" s="7">
        <v>177688664980761</v>
      </c>
      <c r="H1741" s="5" t="s">
        <v>375</v>
      </c>
      <c r="I1741" s="5">
        <v>3003</v>
      </c>
      <c r="J1741" s="5" t="s">
        <v>22</v>
      </c>
      <c r="K1741" s="5" t="s">
        <v>23</v>
      </c>
      <c r="L1741" s="5" t="s">
        <v>31</v>
      </c>
      <c r="M1741" s="5" t="s">
        <v>284</v>
      </c>
      <c r="N1741" s="5" t="s">
        <v>53</v>
      </c>
      <c r="O1741" s="5">
        <v>147</v>
      </c>
      <c r="P1741" s="5"/>
      <c r="Q1741" s="5"/>
      <c r="R1741" s="8">
        <v>8.1018518518518516E-5</v>
      </c>
      <c r="S1741" s="5" t="s">
        <v>37</v>
      </c>
      <c r="T1741" t="str">
        <f>IF(Tabela1[[#This Row],[STATUS_NEGOCIO]]="Enviar E-mail",1,"")</f>
        <v/>
      </c>
      <c r="U1741" t="str">
        <f>TEXT(Tabela1[[#This Row],[DATA]],"dd/mm/aaaa")</f>
        <v>22/04/2026</v>
      </c>
    </row>
    <row r="1742" spans="1:21" x14ac:dyDescent="0.25">
      <c r="A1742" s="4">
        <v>46134.692708333336</v>
      </c>
      <c r="B1742" s="5" t="s">
        <v>19</v>
      </c>
      <c r="C1742" s="5" t="s">
        <v>37</v>
      </c>
      <c r="D1742" s="5">
        <v>156</v>
      </c>
      <c r="E1742" s="6">
        <v>10746169000149</v>
      </c>
      <c r="F1742" s="5">
        <v>156</v>
      </c>
      <c r="G1742" s="7">
        <v>177688665080811</v>
      </c>
      <c r="H1742" s="5" t="s">
        <v>376</v>
      </c>
      <c r="I1742" s="5">
        <v>3003</v>
      </c>
      <c r="J1742" s="5" t="s">
        <v>22</v>
      </c>
      <c r="K1742" s="5" t="s">
        <v>23</v>
      </c>
      <c r="L1742" s="5" t="s">
        <v>31</v>
      </c>
      <c r="M1742" s="5" t="s">
        <v>284</v>
      </c>
      <c r="N1742" s="5" t="s">
        <v>53</v>
      </c>
      <c r="O1742" s="5">
        <v>128</v>
      </c>
      <c r="P1742" s="5"/>
      <c r="Q1742" s="5"/>
      <c r="R1742" s="8">
        <v>8.1018518518518516E-5</v>
      </c>
      <c r="S1742" s="5" t="s">
        <v>37</v>
      </c>
      <c r="T1742" t="str">
        <f>IF(Tabela1[[#This Row],[STATUS_NEGOCIO]]="Enviar E-mail",1,"")</f>
        <v/>
      </c>
      <c r="U1742" t="str">
        <f>TEXT(Tabela1[[#This Row],[DATA]],"dd/mm/aaaa")</f>
        <v>22/04/2026</v>
      </c>
    </row>
    <row r="1743" spans="1:21" x14ac:dyDescent="0.25">
      <c r="A1743" s="4">
        <v>46134.692719907405</v>
      </c>
      <c r="B1743" s="5" t="s">
        <v>19</v>
      </c>
      <c r="C1743" s="5" t="s">
        <v>27</v>
      </c>
      <c r="D1743" s="5">
        <v>157</v>
      </c>
      <c r="E1743" s="6">
        <v>10790942000174</v>
      </c>
      <c r="F1743" s="5">
        <v>157</v>
      </c>
      <c r="G1743" s="7">
        <v>177688665180821</v>
      </c>
      <c r="H1743" s="5" t="s">
        <v>377</v>
      </c>
      <c r="I1743" s="5">
        <v>3003</v>
      </c>
      <c r="J1743" s="5" t="s">
        <v>22</v>
      </c>
      <c r="K1743" s="5" t="s">
        <v>23</v>
      </c>
      <c r="L1743" s="5" t="s">
        <v>265</v>
      </c>
      <c r="M1743" s="5" t="s">
        <v>284</v>
      </c>
      <c r="N1743" s="5" t="s">
        <v>26</v>
      </c>
      <c r="O1743" s="5">
        <v>16</v>
      </c>
      <c r="P1743" s="5"/>
      <c r="Q1743" s="5"/>
      <c r="R1743" s="8">
        <v>9.2592592592592588E-5</v>
      </c>
      <c r="S1743" s="8">
        <v>2.3148148148148147E-5</v>
      </c>
      <c r="T1743" t="str">
        <f>IF(Tabela1[[#This Row],[STATUS_NEGOCIO]]="Enviar E-mail",1,"")</f>
        <v/>
      </c>
      <c r="U1743" t="str">
        <f>TEXT(Tabela1[[#This Row],[DATA]],"dd/mm/aaaa")</f>
        <v>22/04/2026</v>
      </c>
    </row>
    <row r="1744" spans="1:21" x14ac:dyDescent="0.25">
      <c r="A1744" s="4">
        <v>46134.692719907405</v>
      </c>
      <c r="B1744" s="5" t="s">
        <v>19</v>
      </c>
      <c r="C1744" s="5" t="s">
        <v>37</v>
      </c>
      <c r="D1744" s="5">
        <v>158</v>
      </c>
      <c r="E1744" s="6">
        <v>10888515000123</v>
      </c>
      <c r="F1744" s="5">
        <v>158</v>
      </c>
      <c r="G1744" s="7">
        <v>177688665180841</v>
      </c>
      <c r="H1744" s="5" t="s">
        <v>378</v>
      </c>
      <c r="I1744" s="5">
        <v>3003</v>
      </c>
      <c r="J1744" s="5" t="s">
        <v>22</v>
      </c>
      <c r="K1744" s="5" t="s">
        <v>23</v>
      </c>
      <c r="L1744" s="5" t="s">
        <v>31</v>
      </c>
      <c r="M1744" s="5" t="s">
        <v>284</v>
      </c>
      <c r="N1744" s="5" t="s">
        <v>53</v>
      </c>
      <c r="O1744" s="5">
        <v>128</v>
      </c>
      <c r="P1744" s="5"/>
      <c r="Q1744" s="5"/>
      <c r="R1744" s="8">
        <v>6.9444444444444444E-5</v>
      </c>
      <c r="S1744" s="5" t="s">
        <v>37</v>
      </c>
      <c r="T1744" t="str">
        <f>IF(Tabela1[[#This Row],[STATUS_NEGOCIO]]="Enviar E-mail",1,"")</f>
        <v/>
      </c>
      <c r="U1744" t="str">
        <f>TEXT(Tabela1[[#This Row],[DATA]],"dd/mm/aaaa")</f>
        <v>22/04/2026</v>
      </c>
    </row>
    <row r="1745" spans="1:21" x14ac:dyDescent="0.25">
      <c r="A1745" s="4">
        <v>46134.692812499998</v>
      </c>
      <c r="B1745" s="5" t="s">
        <v>19</v>
      </c>
      <c r="C1745" s="5" t="s">
        <v>37</v>
      </c>
      <c r="D1745" s="5">
        <v>159</v>
      </c>
      <c r="E1745" s="6">
        <v>10984785000138</v>
      </c>
      <c r="F1745" s="5">
        <v>159</v>
      </c>
      <c r="G1745" s="7">
        <v>177688665980861</v>
      </c>
      <c r="H1745" s="5" t="s">
        <v>29</v>
      </c>
      <c r="I1745" s="5">
        <v>3003</v>
      </c>
      <c r="J1745" s="5" t="s">
        <v>22</v>
      </c>
      <c r="K1745" s="5" t="s">
        <v>23</v>
      </c>
      <c r="L1745" s="5" t="s">
        <v>31</v>
      </c>
      <c r="M1745" s="5" t="s">
        <v>284</v>
      </c>
      <c r="N1745" s="5" t="s">
        <v>53</v>
      </c>
      <c r="O1745" s="5">
        <v>128</v>
      </c>
      <c r="P1745" s="5"/>
      <c r="Q1745" s="5"/>
      <c r="R1745" s="8">
        <v>8.1018518518518516E-5</v>
      </c>
      <c r="S1745" s="5" t="s">
        <v>37</v>
      </c>
      <c r="T1745" t="str">
        <f>IF(Tabela1[[#This Row],[STATUS_NEGOCIO]]="Enviar E-mail",1,"")</f>
        <v/>
      </c>
      <c r="U1745" t="str">
        <f>TEXT(Tabela1[[#This Row],[DATA]],"dd/mm/aaaa")</f>
        <v>22/04/2026</v>
      </c>
    </row>
    <row r="1746" spans="1:21" x14ac:dyDescent="0.25">
      <c r="A1746" s="4">
        <v>46134.692858796298</v>
      </c>
      <c r="B1746" s="5" t="s">
        <v>19</v>
      </c>
      <c r="C1746" s="5" t="s">
        <v>37</v>
      </c>
      <c r="D1746" s="5">
        <v>160</v>
      </c>
      <c r="E1746" s="6">
        <v>11013156000123</v>
      </c>
      <c r="F1746" s="5">
        <v>160</v>
      </c>
      <c r="G1746" s="7">
        <v>177688666380881</v>
      </c>
      <c r="H1746" s="5" t="s">
        <v>379</v>
      </c>
      <c r="I1746" s="5">
        <v>3003</v>
      </c>
      <c r="J1746" s="5" t="s">
        <v>22</v>
      </c>
      <c r="K1746" s="5" t="s">
        <v>23</v>
      </c>
      <c r="L1746" s="5" t="s">
        <v>31</v>
      </c>
      <c r="M1746" s="5" t="s">
        <v>284</v>
      </c>
      <c r="N1746" s="5" t="s">
        <v>53</v>
      </c>
      <c r="O1746" s="5">
        <v>128</v>
      </c>
      <c r="P1746" s="5"/>
      <c r="Q1746" s="5"/>
      <c r="R1746" s="8">
        <v>8.1018518518518516E-5</v>
      </c>
      <c r="S1746" s="5" t="s">
        <v>37</v>
      </c>
      <c r="T1746" t="str">
        <f>IF(Tabela1[[#This Row],[STATUS_NEGOCIO]]="Enviar E-mail",1,"")</f>
        <v/>
      </c>
      <c r="U1746" t="str">
        <f>TEXT(Tabela1[[#This Row],[DATA]],"dd/mm/aaaa")</f>
        <v>22/04/2026</v>
      </c>
    </row>
    <row r="1747" spans="1:21" x14ac:dyDescent="0.25">
      <c r="A1747" s="4">
        <v>46134.692858796298</v>
      </c>
      <c r="B1747" s="5" t="s">
        <v>19</v>
      </c>
      <c r="C1747" s="5" t="s">
        <v>37</v>
      </c>
      <c r="D1747" s="5">
        <v>161</v>
      </c>
      <c r="E1747" s="6">
        <v>11117005000115</v>
      </c>
      <c r="F1747" s="5">
        <v>161</v>
      </c>
      <c r="G1747" s="7">
        <v>177688666380891</v>
      </c>
      <c r="H1747" s="5" t="s">
        <v>380</v>
      </c>
      <c r="I1747" s="5">
        <v>3003</v>
      </c>
      <c r="J1747" s="5" t="s">
        <v>22</v>
      </c>
      <c r="K1747" s="5" t="s">
        <v>23</v>
      </c>
      <c r="L1747" s="5" t="s">
        <v>31</v>
      </c>
      <c r="M1747" s="5" t="s">
        <v>284</v>
      </c>
      <c r="N1747" s="5" t="s">
        <v>53</v>
      </c>
      <c r="O1747" s="5">
        <v>128</v>
      </c>
      <c r="P1747" s="5"/>
      <c r="Q1747" s="5"/>
      <c r="R1747" s="8">
        <v>8.1018518518518516E-5</v>
      </c>
      <c r="S1747" s="5" t="s">
        <v>37</v>
      </c>
      <c r="T1747" t="str">
        <f>IF(Tabela1[[#This Row],[STATUS_NEGOCIO]]="Enviar E-mail",1,"")</f>
        <v/>
      </c>
      <c r="U1747" t="str">
        <f>TEXT(Tabela1[[#This Row],[DATA]],"dd/mm/aaaa")</f>
        <v>22/04/2026</v>
      </c>
    </row>
    <row r="1748" spans="1:21" x14ac:dyDescent="0.25">
      <c r="A1748" s="4">
        <v>46134.692870370367</v>
      </c>
      <c r="B1748" s="5" t="s">
        <v>19</v>
      </c>
      <c r="C1748" s="5" t="s">
        <v>37</v>
      </c>
      <c r="D1748" s="5">
        <v>163</v>
      </c>
      <c r="E1748" s="6">
        <v>11360283000107</v>
      </c>
      <c r="F1748" s="5">
        <v>163</v>
      </c>
      <c r="G1748" s="7">
        <v>177688666480911</v>
      </c>
      <c r="H1748" s="5" t="s">
        <v>382</v>
      </c>
      <c r="I1748" s="5">
        <v>3003</v>
      </c>
      <c r="J1748" s="5" t="s">
        <v>22</v>
      </c>
      <c r="K1748" s="5" t="s">
        <v>23</v>
      </c>
      <c r="L1748" s="5" t="s">
        <v>31</v>
      </c>
      <c r="M1748" s="5" t="s">
        <v>284</v>
      </c>
      <c r="N1748" s="5" t="s">
        <v>53</v>
      </c>
      <c r="O1748" s="5">
        <v>128</v>
      </c>
      <c r="P1748" s="5"/>
      <c r="Q1748" s="5"/>
      <c r="R1748" s="8">
        <v>8.1018518518518516E-5</v>
      </c>
      <c r="S1748" s="5" t="s">
        <v>37</v>
      </c>
      <c r="T1748" t="str">
        <f>IF(Tabela1[[#This Row],[STATUS_NEGOCIO]]="Enviar E-mail",1,"")</f>
        <v/>
      </c>
      <c r="U1748" t="str">
        <f>TEXT(Tabela1[[#This Row],[DATA]],"dd/mm/aaaa")</f>
        <v>22/04/2026</v>
      </c>
    </row>
    <row r="1749" spans="1:21" x14ac:dyDescent="0.25">
      <c r="A1749" s="4">
        <v>46134.692962962959</v>
      </c>
      <c r="B1749" s="5" t="s">
        <v>19</v>
      </c>
      <c r="C1749" s="5" t="s">
        <v>37</v>
      </c>
      <c r="D1749" s="5">
        <v>164</v>
      </c>
      <c r="E1749" s="6">
        <v>11642542000184</v>
      </c>
      <c r="F1749" s="5">
        <v>164</v>
      </c>
      <c r="G1749" s="7">
        <v>177688667280931</v>
      </c>
      <c r="H1749" s="5" t="s">
        <v>383</v>
      </c>
      <c r="I1749" s="5">
        <v>3003</v>
      </c>
      <c r="J1749" s="5" t="s">
        <v>22</v>
      </c>
      <c r="K1749" s="5" t="s">
        <v>23</v>
      </c>
      <c r="L1749" s="5" t="s">
        <v>31</v>
      </c>
      <c r="M1749" s="5" t="s">
        <v>284</v>
      </c>
      <c r="N1749" s="5" t="s">
        <v>53</v>
      </c>
      <c r="O1749" s="5">
        <v>147</v>
      </c>
      <c r="P1749" s="5"/>
      <c r="Q1749" s="5"/>
      <c r="R1749" s="8">
        <v>5.7870370370370373E-5</v>
      </c>
      <c r="S1749" s="5" t="s">
        <v>37</v>
      </c>
      <c r="T1749" t="str">
        <f>IF(Tabela1[[#This Row],[STATUS_NEGOCIO]]="Enviar E-mail",1,"")</f>
        <v/>
      </c>
      <c r="U1749" t="str">
        <f>TEXT(Tabela1[[#This Row],[DATA]],"dd/mm/aaaa")</f>
        <v>22/04/2026</v>
      </c>
    </row>
    <row r="1750" spans="1:21" x14ac:dyDescent="0.25">
      <c r="A1750" s="4">
        <v>46134.692986111113</v>
      </c>
      <c r="B1750" s="5" t="s">
        <v>19</v>
      </c>
      <c r="C1750" s="5" t="s">
        <v>37</v>
      </c>
      <c r="D1750" s="5">
        <v>165</v>
      </c>
      <c r="E1750" s="6">
        <v>11649203000120</v>
      </c>
      <c r="F1750" s="5">
        <v>165</v>
      </c>
      <c r="G1750" s="7">
        <v>177688667480941</v>
      </c>
      <c r="H1750" s="5" t="s">
        <v>384</v>
      </c>
      <c r="I1750" s="5">
        <v>3003</v>
      </c>
      <c r="J1750" s="5" t="s">
        <v>22</v>
      </c>
      <c r="K1750" s="5" t="s">
        <v>23</v>
      </c>
      <c r="L1750" s="5" t="s">
        <v>31</v>
      </c>
      <c r="M1750" s="5" t="s">
        <v>284</v>
      </c>
      <c r="N1750" s="5" t="s">
        <v>53</v>
      </c>
      <c r="O1750" s="5">
        <v>128</v>
      </c>
      <c r="P1750" s="5"/>
      <c r="Q1750" s="5"/>
      <c r="R1750" s="8">
        <v>8.1018518518518516E-5</v>
      </c>
      <c r="S1750" s="5" t="s">
        <v>37</v>
      </c>
      <c r="T1750" t="str">
        <f>IF(Tabela1[[#This Row],[STATUS_NEGOCIO]]="Enviar E-mail",1,"")</f>
        <v/>
      </c>
      <c r="U1750" t="str">
        <f>TEXT(Tabela1[[#This Row],[DATA]],"dd/mm/aaaa")</f>
        <v>22/04/2026</v>
      </c>
    </row>
    <row r="1751" spans="1:21" x14ac:dyDescent="0.25">
      <c r="A1751" s="4">
        <v>46134.692997685182</v>
      </c>
      <c r="B1751" s="5" t="s">
        <v>19</v>
      </c>
      <c r="C1751" s="5" t="s">
        <v>37</v>
      </c>
      <c r="D1751" s="5">
        <v>166</v>
      </c>
      <c r="E1751" s="6">
        <v>11661920000177</v>
      </c>
      <c r="F1751" s="5">
        <v>166</v>
      </c>
      <c r="G1751" s="7">
        <v>177688667580971</v>
      </c>
      <c r="H1751" s="5" t="s">
        <v>385</v>
      </c>
      <c r="I1751" s="5">
        <v>3003</v>
      </c>
      <c r="J1751" s="5" t="s">
        <v>22</v>
      </c>
      <c r="K1751" s="5" t="s">
        <v>23</v>
      </c>
      <c r="L1751" s="5" t="s">
        <v>31</v>
      </c>
      <c r="M1751" s="5" t="s">
        <v>284</v>
      </c>
      <c r="N1751" s="5" t="s">
        <v>53</v>
      </c>
      <c r="O1751" s="5">
        <v>128</v>
      </c>
      <c r="P1751" s="5"/>
      <c r="Q1751" s="5"/>
      <c r="R1751" s="8">
        <v>8.1018518518518516E-5</v>
      </c>
      <c r="S1751" s="5" t="s">
        <v>37</v>
      </c>
      <c r="T1751" t="str">
        <f>IF(Tabela1[[#This Row],[STATUS_NEGOCIO]]="Enviar E-mail",1,"")</f>
        <v/>
      </c>
      <c r="U1751" t="str">
        <f>TEXT(Tabela1[[#This Row],[DATA]],"dd/mm/aaaa")</f>
        <v>22/04/2026</v>
      </c>
    </row>
    <row r="1752" spans="1:21" x14ac:dyDescent="0.25">
      <c r="A1752" s="4">
        <v>46134.693032407406</v>
      </c>
      <c r="B1752" s="5" t="s">
        <v>19</v>
      </c>
      <c r="C1752" s="5" t="s">
        <v>37</v>
      </c>
      <c r="D1752" s="5">
        <v>167</v>
      </c>
      <c r="E1752" s="6">
        <v>11701732000125</v>
      </c>
      <c r="F1752" s="5">
        <v>167</v>
      </c>
      <c r="G1752" s="7">
        <v>177688667881051</v>
      </c>
      <c r="H1752" s="5" t="s">
        <v>98</v>
      </c>
      <c r="I1752" s="5">
        <v>3003</v>
      </c>
      <c r="J1752" s="5" t="s">
        <v>22</v>
      </c>
      <c r="K1752" s="5" t="s">
        <v>23</v>
      </c>
      <c r="L1752" s="5" t="s">
        <v>31</v>
      </c>
      <c r="M1752" s="5" t="s">
        <v>284</v>
      </c>
      <c r="N1752" s="5" t="s">
        <v>53</v>
      </c>
      <c r="O1752" s="5">
        <v>128</v>
      </c>
      <c r="P1752" s="5"/>
      <c r="Q1752" s="5"/>
      <c r="R1752" s="8">
        <v>8.1018518518518516E-5</v>
      </c>
      <c r="S1752" s="5" t="s">
        <v>37</v>
      </c>
      <c r="T1752" t="str">
        <f>IF(Tabela1[[#This Row],[STATUS_NEGOCIO]]="Enviar E-mail",1,"")</f>
        <v/>
      </c>
      <c r="U1752" t="str">
        <f>TEXT(Tabela1[[#This Row],[DATA]],"dd/mm/aaaa")</f>
        <v>22/04/2026</v>
      </c>
    </row>
    <row r="1753" spans="1:21" x14ac:dyDescent="0.25">
      <c r="A1753" s="4">
        <v>46134.693043981482</v>
      </c>
      <c r="B1753" s="5" t="s">
        <v>19</v>
      </c>
      <c r="C1753" s="5" t="s">
        <v>37</v>
      </c>
      <c r="D1753" s="5">
        <v>169</v>
      </c>
      <c r="E1753" s="6">
        <v>11750615000151</v>
      </c>
      <c r="F1753" s="5">
        <v>169</v>
      </c>
      <c r="G1753" s="7">
        <v>177688667981071</v>
      </c>
      <c r="H1753" s="5" t="s">
        <v>176</v>
      </c>
      <c r="I1753" s="5">
        <v>3003</v>
      </c>
      <c r="J1753" s="5" t="s">
        <v>22</v>
      </c>
      <c r="K1753" s="5" t="s">
        <v>23</v>
      </c>
      <c r="L1753" s="5" t="s">
        <v>31</v>
      </c>
      <c r="M1753" s="5" t="s">
        <v>284</v>
      </c>
      <c r="N1753" s="5" t="s">
        <v>53</v>
      </c>
      <c r="O1753" s="5">
        <v>147</v>
      </c>
      <c r="P1753" s="5"/>
      <c r="Q1753" s="5"/>
      <c r="R1753" s="8">
        <v>8.1018518518518516E-5</v>
      </c>
      <c r="S1753" s="5" t="s">
        <v>37</v>
      </c>
      <c r="T1753" t="str">
        <f>IF(Tabela1[[#This Row],[STATUS_NEGOCIO]]="Enviar E-mail",1,"")</f>
        <v/>
      </c>
      <c r="U1753" t="str">
        <f>TEXT(Tabela1[[#This Row],[DATA]],"dd/mm/aaaa")</f>
        <v>22/04/2026</v>
      </c>
    </row>
    <row r="1754" spans="1:21" x14ac:dyDescent="0.25">
      <c r="A1754" s="4">
        <v>46134.693067129629</v>
      </c>
      <c r="B1754" s="5" t="s">
        <v>19</v>
      </c>
      <c r="C1754" s="5" t="s">
        <v>37</v>
      </c>
      <c r="D1754" s="5">
        <v>170</v>
      </c>
      <c r="E1754" s="6">
        <v>12022419000123</v>
      </c>
      <c r="F1754" s="5">
        <v>170</v>
      </c>
      <c r="G1754" s="7">
        <v>177688668181091</v>
      </c>
      <c r="H1754" s="5" t="s">
        <v>386</v>
      </c>
      <c r="I1754" s="5">
        <v>3003</v>
      </c>
      <c r="J1754" s="5" t="s">
        <v>22</v>
      </c>
      <c r="K1754" s="5" t="s">
        <v>23</v>
      </c>
      <c r="L1754" s="5" t="s">
        <v>31</v>
      </c>
      <c r="M1754" s="5" t="s">
        <v>284</v>
      </c>
      <c r="N1754" s="5" t="s">
        <v>53</v>
      </c>
      <c r="O1754" s="5">
        <v>147</v>
      </c>
      <c r="P1754" s="5"/>
      <c r="Q1754" s="5"/>
      <c r="R1754" s="8">
        <v>8.1018518518518516E-5</v>
      </c>
      <c r="S1754" s="5" t="s">
        <v>37</v>
      </c>
      <c r="T1754" t="str">
        <f>IF(Tabela1[[#This Row],[STATUS_NEGOCIO]]="Enviar E-mail",1,"")</f>
        <v/>
      </c>
      <c r="U1754" t="str">
        <f>TEXT(Tabela1[[#This Row],[DATA]],"dd/mm/aaaa")</f>
        <v>22/04/2026</v>
      </c>
    </row>
    <row r="1755" spans="1:21" x14ac:dyDescent="0.25">
      <c r="A1755" s="4">
        <v>46134.693148148152</v>
      </c>
      <c r="B1755" s="5" t="s">
        <v>19</v>
      </c>
      <c r="C1755" s="5" t="s">
        <v>37</v>
      </c>
      <c r="D1755" s="5">
        <v>171</v>
      </c>
      <c r="E1755" s="6">
        <v>12072761000138</v>
      </c>
      <c r="F1755" s="5">
        <v>171</v>
      </c>
      <c r="G1755" s="7">
        <v>177688668881121</v>
      </c>
      <c r="H1755" s="5" t="s">
        <v>131</v>
      </c>
      <c r="I1755" s="5" t="s">
        <v>52</v>
      </c>
      <c r="J1755" s="5" t="s">
        <v>22</v>
      </c>
      <c r="K1755" s="5" t="s">
        <v>36</v>
      </c>
      <c r="L1755" s="5" t="s">
        <v>36</v>
      </c>
      <c r="M1755" s="5" t="s">
        <v>284</v>
      </c>
      <c r="N1755" s="5" t="s">
        <v>53</v>
      </c>
      <c r="O1755" s="5">
        <v>1</v>
      </c>
      <c r="P1755" s="5"/>
      <c r="Q1755" s="5"/>
      <c r="R1755" s="8">
        <v>0</v>
      </c>
      <c r="S1755" s="5" t="s">
        <v>37</v>
      </c>
      <c r="T1755" t="str">
        <f>IF(Tabela1[[#This Row],[STATUS_NEGOCIO]]="Enviar E-mail",1,"")</f>
        <v/>
      </c>
      <c r="U1755" t="str">
        <f>TEXT(Tabela1[[#This Row],[DATA]],"dd/mm/aaaa")</f>
        <v>22/04/2026</v>
      </c>
    </row>
    <row r="1756" spans="1:21" x14ac:dyDescent="0.25">
      <c r="A1756" s="4">
        <v>46134.693148148152</v>
      </c>
      <c r="B1756" s="5" t="s">
        <v>19</v>
      </c>
      <c r="C1756" s="5" t="s">
        <v>37</v>
      </c>
      <c r="D1756" s="5">
        <v>173</v>
      </c>
      <c r="E1756" s="6">
        <v>12266091000190</v>
      </c>
      <c r="F1756" s="5">
        <v>173</v>
      </c>
      <c r="G1756" s="7">
        <v>177688668881131</v>
      </c>
      <c r="H1756" s="5" t="s">
        <v>144</v>
      </c>
      <c r="I1756" s="5">
        <v>3003</v>
      </c>
      <c r="J1756" s="5" t="s">
        <v>22</v>
      </c>
      <c r="K1756" s="5" t="s">
        <v>23</v>
      </c>
      <c r="L1756" s="5" t="s">
        <v>31</v>
      </c>
      <c r="M1756" s="5" t="s">
        <v>284</v>
      </c>
      <c r="N1756" s="5" t="s">
        <v>53</v>
      </c>
      <c r="O1756" s="5">
        <v>131</v>
      </c>
      <c r="P1756" s="5"/>
      <c r="Q1756" s="5"/>
      <c r="R1756" s="8">
        <v>3.4722222222222222E-5</v>
      </c>
      <c r="S1756" s="5" t="s">
        <v>37</v>
      </c>
      <c r="T1756" t="str">
        <f>IF(Tabela1[[#This Row],[STATUS_NEGOCIO]]="Enviar E-mail",1,"")</f>
        <v/>
      </c>
      <c r="U1756" t="str">
        <f>TEXT(Tabela1[[#This Row],[DATA]],"dd/mm/aaaa")</f>
        <v>22/04/2026</v>
      </c>
    </row>
    <row r="1757" spans="1:21" x14ac:dyDescent="0.25">
      <c r="A1757" s="4">
        <v>46134.693148148152</v>
      </c>
      <c r="B1757" s="5" t="s">
        <v>19</v>
      </c>
      <c r="C1757" s="5" t="s">
        <v>37</v>
      </c>
      <c r="D1757" s="5">
        <v>174</v>
      </c>
      <c r="E1757" s="6">
        <v>12284895000112</v>
      </c>
      <c r="F1757" s="5">
        <v>174</v>
      </c>
      <c r="G1757" s="7">
        <v>177688668881141</v>
      </c>
      <c r="H1757" s="5" t="s">
        <v>388</v>
      </c>
      <c r="I1757" s="5">
        <v>3003</v>
      </c>
      <c r="J1757" s="5" t="s">
        <v>22</v>
      </c>
      <c r="K1757" s="5" t="s">
        <v>23</v>
      </c>
      <c r="L1757" s="5" t="s">
        <v>31</v>
      </c>
      <c r="M1757" s="5" t="s">
        <v>284</v>
      </c>
      <c r="N1757" s="5" t="s">
        <v>53</v>
      </c>
      <c r="O1757" s="5">
        <v>128</v>
      </c>
      <c r="P1757" s="5"/>
      <c r="Q1757" s="5"/>
      <c r="R1757" s="8">
        <v>8.1018518518518516E-5</v>
      </c>
      <c r="S1757" s="5" t="s">
        <v>37</v>
      </c>
      <c r="T1757" t="str">
        <f>IF(Tabela1[[#This Row],[STATUS_NEGOCIO]]="Enviar E-mail",1,"")</f>
        <v/>
      </c>
      <c r="U1757" t="str">
        <f>TEXT(Tabela1[[#This Row],[DATA]],"dd/mm/aaaa")</f>
        <v>22/04/2026</v>
      </c>
    </row>
    <row r="1758" spans="1:21" x14ac:dyDescent="0.25">
      <c r="A1758" s="4">
        <v>46134.693240740744</v>
      </c>
      <c r="B1758" s="5" t="s">
        <v>19</v>
      </c>
      <c r="C1758" s="5" t="s">
        <v>37</v>
      </c>
      <c r="D1758" s="5">
        <v>176</v>
      </c>
      <c r="E1758" s="6">
        <v>12584713000129</v>
      </c>
      <c r="F1758" s="5">
        <v>176</v>
      </c>
      <c r="G1758" s="7">
        <v>177688669681161</v>
      </c>
      <c r="H1758" s="5" t="s">
        <v>390</v>
      </c>
      <c r="I1758" s="5">
        <v>3003</v>
      </c>
      <c r="J1758" s="5" t="s">
        <v>22</v>
      </c>
      <c r="K1758" s="5" t="s">
        <v>23</v>
      </c>
      <c r="L1758" s="5" t="s">
        <v>31</v>
      </c>
      <c r="M1758" s="5" t="s">
        <v>284</v>
      </c>
      <c r="N1758" s="5" t="s">
        <v>53</v>
      </c>
      <c r="O1758" s="5">
        <v>128</v>
      </c>
      <c r="P1758" s="5"/>
      <c r="Q1758" s="5"/>
      <c r="R1758" s="8">
        <v>8.1018518518518516E-5</v>
      </c>
      <c r="S1758" s="5" t="s">
        <v>37</v>
      </c>
      <c r="T1758" t="str">
        <f>IF(Tabela1[[#This Row],[STATUS_NEGOCIO]]="Enviar E-mail",1,"")</f>
        <v/>
      </c>
      <c r="U1758" t="str">
        <f>TEXT(Tabela1[[#This Row],[DATA]],"dd/mm/aaaa")</f>
        <v>22/04/2026</v>
      </c>
    </row>
    <row r="1759" spans="1:21" x14ac:dyDescent="0.25">
      <c r="A1759" s="4">
        <v>46134.69326388889</v>
      </c>
      <c r="B1759" s="5" t="s">
        <v>19</v>
      </c>
      <c r="C1759" s="5" t="s">
        <v>37</v>
      </c>
      <c r="D1759" s="5">
        <v>177</v>
      </c>
      <c r="E1759" s="6">
        <v>12710766000149</v>
      </c>
      <c r="F1759" s="5">
        <v>177</v>
      </c>
      <c r="G1759" s="7">
        <v>177688669881181</v>
      </c>
      <c r="H1759" s="5" t="s">
        <v>181</v>
      </c>
      <c r="I1759" s="5">
        <v>3003</v>
      </c>
      <c r="J1759" s="5" t="s">
        <v>22</v>
      </c>
      <c r="K1759" s="5" t="s">
        <v>23</v>
      </c>
      <c r="L1759" s="5" t="s">
        <v>31</v>
      </c>
      <c r="M1759" s="5" t="s">
        <v>284</v>
      </c>
      <c r="N1759" s="5" t="s">
        <v>53</v>
      </c>
      <c r="O1759" s="5">
        <v>128</v>
      </c>
      <c r="P1759" s="5"/>
      <c r="Q1759" s="5"/>
      <c r="R1759" s="8">
        <v>8.1018518518518516E-5</v>
      </c>
      <c r="S1759" s="5" t="s">
        <v>37</v>
      </c>
      <c r="T1759" t="str">
        <f>IF(Tabela1[[#This Row],[STATUS_NEGOCIO]]="Enviar E-mail",1,"")</f>
        <v/>
      </c>
      <c r="U1759" t="str">
        <f>TEXT(Tabela1[[#This Row],[DATA]],"dd/mm/aaaa")</f>
        <v>22/04/2026</v>
      </c>
    </row>
    <row r="1760" spans="1:21" x14ac:dyDescent="0.25">
      <c r="A1760" s="4">
        <v>46134.693379629629</v>
      </c>
      <c r="B1760" s="5" t="s">
        <v>19</v>
      </c>
      <c r="C1760" s="5" t="s">
        <v>37</v>
      </c>
      <c r="D1760" s="5">
        <v>178</v>
      </c>
      <c r="E1760" s="6">
        <v>12959066000192</v>
      </c>
      <c r="F1760" s="5">
        <v>178</v>
      </c>
      <c r="G1760" s="7">
        <v>177688670881221</v>
      </c>
      <c r="H1760" s="5" t="s">
        <v>391</v>
      </c>
      <c r="I1760" s="5">
        <v>3003</v>
      </c>
      <c r="J1760" s="5" t="s">
        <v>22</v>
      </c>
      <c r="K1760" s="5" t="s">
        <v>23</v>
      </c>
      <c r="L1760" s="5" t="s">
        <v>31</v>
      </c>
      <c r="M1760" s="5" t="s">
        <v>284</v>
      </c>
      <c r="N1760" s="5" t="s">
        <v>53</v>
      </c>
      <c r="O1760" s="5">
        <v>128</v>
      </c>
      <c r="P1760" s="5"/>
      <c r="Q1760" s="5"/>
      <c r="R1760" s="8">
        <v>8.1018518518518516E-5</v>
      </c>
      <c r="S1760" s="5" t="s">
        <v>37</v>
      </c>
      <c r="T1760" t="str">
        <f>IF(Tabela1[[#This Row],[STATUS_NEGOCIO]]="Enviar E-mail",1,"")</f>
        <v/>
      </c>
      <c r="U1760" t="str">
        <f>TEXT(Tabela1[[#This Row],[DATA]],"dd/mm/aaaa")</f>
        <v>22/04/2026</v>
      </c>
    </row>
    <row r="1761" spans="1:21" x14ac:dyDescent="0.25">
      <c r="A1761" s="4">
        <v>46134.693379629629</v>
      </c>
      <c r="B1761" s="5" t="s">
        <v>19</v>
      </c>
      <c r="C1761" s="5" t="s">
        <v>37</v>
      </c>
      <c r="D1761" s="5">
        <v>179</v>
      </c>
      <c r="E1761" s="6">
        <v>12995318000139</v>
      </c>
      <c r="F1761" s="5">
        <v>179</v>
      </c>
      <c r="G1761" s="7">
        <v>177688670881231</v>
      </c>
      <c r="H1761" s="5" t="s">
        <v>392</v>
      </c>
      <c r="I1761" s="5">
        <v>3003</v>
      </c>
      <c r="J1761" s="5" t="s">
        <v>22</v>
      </c>
      <c r="K1761" s="5" t="s">
        <v>23</v>
      </c>
      <c r="L1761" s="5" t="s">
        <v>31</v>
      </c>
      <c r="M1761" s="5" t="s">
        <v>284</v>
      </c>
      <c r="N1761" s="5" t="s">
        <v>53</v>
      </c>
      <c r="O1761" s="5">
        <v>128</v>
      </c>
      <c r="P1761" s="5"/>
      <c r="Q1761" s="5"/>
      <c r="R1761" s="8">
        <v>8.1018518518518516E-5</v>
      </c>
      <c r="S1761" s="5" t="s">
        <v>37</v>
      </c>
      <c r="T1761" t="str">
        <f>IF(Tabela1[[#This Row],[STATUS_NEGOCIO]]="Enviar E-mail",1,"")</f>
        <v/>
      </c>
      <c r="U1761" t="str">
        <f>TEXT(Tabela1[[#This Row],[DATA]],"dd/mm/aaaa")</f>
        <v>22/04/2026</v>
      </c>
    </row>
    <row r="1762" spans="1:21" x14ac:dyDescent="0.25">
      <c r="A1762" s="4">
        <v>46134.693391203706</v>
      </c>
      <c r="B1762" s="5" t="s">
        <v>19</v>
      </c>
      <c r="C1762" s="5" t="s">
        <v>37</v>
      </c>
      <c r="D1762" s="5">
        <v>180</v>
      </c>
      <c r="E1762" s="6">
        <v>13065020000192</v>
      </c>
      <c r="F1762" s="5">
        <v>180</v>
      </c>
      <c r="G1762" s="7">
        <v>177688670981251</v>
      </c>
      <c r="H1762" s="5" t="s">
        <v>393</v>
      </c>
      <c r="I1762" s="5">
        <v>3003</v>
      </c>
      <c r="J1762" s="5" t="s">
        <v>22</v>
      </c>
      <c r="K1762" s="5" t="s">
        <v>23</v>
      </c>
      <c r="L1762" s="5" t="s">
        <v>31</v>
      </c>
      <c r="M1762" s="5" t="s">
        <v>284</v>
      </c>
      <c r="N1762" s="5" t="s">
        <v>53</v>
      </c>
      <c r="O1762" s="5">
        <v>128</v>
      </c>
      <c r="P1762" s="5"/>
      <c r="Q1762" s="5"/>
      <c r="R1762" s="8">
        <v>8.1018518518518516E-5</v>
      </c>
      <c r="S1762" s="5" t="s">
        <v>37</v>
      </c>
      <c r="T1762" t="str">
        <f>IF(Tabela1[[#This Row],[STATUS_NEGOCIO]]="Enviar E-mail",1,"")</f>
        <v/>
      </c>
      <c r="U1762" t="str">
        <f>TEXT(Tabela1[[#This Row],[DATA]],"dd/mm/aaaa")</f>
        <v>22/04/2026</v>
      </c>
    </row>
    <row r="1763" spans="1:21" x14ac:dyDescent="0.25">
      <c r="A1763" s="4">
        <v>46134.693437499998</v>
      </c>
      <c r="B1763" s="5" t="s">
        <v>19</v>
      </c>
      <c r="C1763" s="5" t="s">
        <v>37</v>
      </c>
      <c r="D1763" s="5">
        <v>181</v>
      </c>
      <c r="E1763" s="6">
        <v>13262186000107</v>
      </c>
      <c r="F1763" s="5">
        <v>181</v>
      </c>
      <c r="G1763" s="7">
        <v>177688671381271</v>
      </c>
      <c r="H1763" s="5" t="s">
        <v>394</v>
      </c>
      <c r="I1763" s="5">
        <v>3003</v>
      </c>
      <c r="J1763" s="5" t="s">
        <v>22</v>
      </c>
      <c r="K1763" s="5" t="s">
        <v>23</v>
      </c>
      <c r="L1763" s="5" t="s">
        <v>31</v>
      </c>
      <c r="M1763" s="5" t="s">
        <v>284</v>
      </c>
      <c r="N1763" s="5" t="s">
        <v>53</v>
      </c>
      <c r="O1763" s="5">
        <v>128</v>
      </c>
      <c r="P1763" s="5"/>
      <c r="Q1763" s="5"/>
      <c r="R1763" s="8">
        <v>6.9444444444444444E-5</v>
      </c>
      <c r="S1763" s="5" t="s">
        <v>37</v>
      </c>
      <c r="T1763" t="str">
        <f>IF(Tabela1[[#This Row],[STATUS_NEGOCIO]]="Enviar E-mail",1,"")</f>
        <v/>
      </c>
      <c r="U1763" t="str">
        <f>TEXT(Tabela1[[#This Row],[DATA]],"dd/mm/aaaa")</f>
        <v>22/04/2026</v>
      </c>
    </row>
    <row r="1764" spans="1:21" x14ac:dyDescent="0.25">
      <c r="A1764" s="4">
        <v>46134.693553240744</v>
      </c>
      <c r="B1764" s="5" t="s">
        <v>19</v>
      </c>
      <c r="C1764" s="5" t="s">
        <v>37</v>
      </c>
      <c r="D1764" s="5">
        <v>183</v>
      </c>
      <c r="E1764" s="6">
        <v>13385694000174</v>
      </c>
      <c r="F1764" s="5">
        <v>183</v>
      </c>
      <c r="G1764" s="7">
        <v>177688672381291</v>
      </c>
      <c r="H1764" s="5" t="s">
        <v>396</v>
      </c>
      <c r="I1764" s="5">
        <v>3003</v>
      </c>
      <c r="J1764" s="5" t="s">
        <v>22</v>
      </c>
      <c r="K1764" s="5" t="s">
        <v>23</v>
      </c>
      <c r="L1764" s="5" t="s">
        <v>31</v>
      </c>
      <c r="M1764" s="5" t="s">
        <v>284</v>
      </c>
      <c r="N1764" s="5" t="s">
        <v>53</v>
      </c>
      <c r="O1764" s="5">
        <v>128</v>
      </c>
      <c r="P1764" s="5"/>
      <c r="Q1764" s="5"/>
      <c r="R1764" s="8">
        <v>8.1018518518518516E-5</v>
      </c>
      <c r="S1764" s="5" t="s">
        <v>37</v>
      </c>
      <c r="T1764" t="str">
        <f>IF(Tabela1[[#This Row],[STATUS_NEGOCIO]]="Enviar E-mail",1,"")</f>
        <v/>
      </c>
      <c r="U1764" t="str">
        <f>TEXT(Tabela1[[#This Row],[DATA]],"dd/mm/aaaa")</f>
        <v>22/04/2026</v>
      </c>
    </row>
    <row r="1765" spans="1:21" x14ac:dyDescent="0.25">
      <c r="A1765" s="4">
        <v>46134.693576388891</v>
      </c>
      <c r="B1765" s="5" t="s">
        <v>19</v>
      </c>
      <c r="C1765" s="5" t="s">
        <v>37</v>
      </c>
      <c r="D1765" s="5">
        <v>184</v>
      </c>
      <c r="E1765" s="6">
        <v>13410313000160</v>
      </c>
      <c r="F1765" s="5">
        <v>184</v>
      </c>
      <c r="G1765" s="7">
        <v>177688672581321</v>
      </c>
      <c r="H1765" s="5" t="s">
        <v>397</v>
      </c>
      <c r="I1765" s="5" t="s">
        <v>52</v>
      </c>
      <c r="J1765" s="5" t="s">
        <v>22</v>
      </c>
      <c r="K1765" s="5" t="s">
        <v>36</v>
      </c>
      <c r="L1765" s="5" t="s">
        <v>36</v>
      </c>
      <c r="M1765" s="5" t="s">
        <v>284</v>
      </c>
      <c r="N1765" s="5" t="s">
        <v>53</v>
      </c>
      <c r="O1765" s="5">
        <v>34</v>
      </c>
      <c r="P1765" s="5"/>
      <c r="Q1765" s="5"/>
      <c r="R1765" s="8">
        <v>0</v>
      </c>
      <c r="S1765" s="5" t="s">
        <v>37</v>
      </c>
      <c r="T1765" t="str">
        <f>IF(Tabela1[[#This Row],[STATUS_NEGOCIO]]="Enviar E-mail",1,"")</f>
        <v/>
      </c>
      <c r="U1765" t="str">
        <f>TEXT(Tabela1[[#This Row],[DATA]],"dd/mm/aaaa")</f>
        <v>22/04/2026</v>
      </c>
    </row>
    <row r="1766" spans="1:21" x14ac:dyDescent="0.25">
      <c r="A1766" s="4">
        <v>46134.693576388891</v>
      </c>
      <c r="B1766" s="5" t="s">
        <v>19</v>
      </c>
      <c r="C1766" s="5" t="s">
        <v>37</v>
      </c>
      <c r="D1766" s="5">
        <v>187</v>
      </c>
      <c r="E1766" s="6">
        <v>13464960000154</v>
      </c>
      <c r="F1766" s="5">
        <v>187</v>
      </c>
      <c r="G1766" s="7">
        <v>177688672581331</v>
      </c>
      <c r="H1766" s="5" t="s">
        <v>399</v>
      </c>
      <c r="I1766" s="5">
        <v>3003</v>
      </c>
      <c r="J1766" s="5" t="s">
        <v>22</v>
      </c>
      <c r="K1766" s="5" t="s">
        <v>23</v>
      </c>
      <c r="L1766" s="5" t="s">
        <v>31</v>
      </c>
      <c r="M1766" s="5" t="s">
        <v>284</v>
      </c>
      <c r="N1766" s="5" t="s">
        <v>53</v>
      </c>
      <c r="O1766" s="5">
        <v>128</v>
      </c>
      <c r="P1766" s="5"/>
      <c r="Q1766" s="5"/>
      <c r="R1766" s="8">
        <v>8.1018518518518516E-5</v>
      </c>
      <c r="S1766" s="5" t="s">
        <v>37</v>
      </c>
      <c r="T1766" t="str">
        <f>IF(Tabela1[[#This Row],[STATUS_NEGOCIO]]="Enviar E-mail",1,"")</f>
        <v/>
      </c>
      <c r="U1766" t="str">
        <f>TEXT(Tabela1[[#This Row],[DATA]],"dd/mm/aaaa")</f>
        <v>22/04/2026</v>
      </c>
    </row>
    <row r="1767" spans="1:21" x14ac:dyDescent="0.25">
      <c r="A1767" s="4">
        <v>46134.693576388891</v>
      </c>
      <c r="B1767" s="5" t="s">
        <v>19</v>
      </c>
      <c r="C1767" s="5" t="s">
        <v>37</v>
      </c>
      <c r="D1767" s="5">
        <v>190</v>
      </c>
      <c r="E1767" s="6">
        <v>13744177000144</v>
      </c>
      <c r="F1767" s="5">
        <v>190</v>
      </c>
      <c r="G1767" s="7">
        <v>177688672581361</v>
      </c>
      <c r="H1767" s="5" t="s">
        <v>401</v>
      </c>
      <c r="I1767" s="5">
        <v>3003</v>
      </c>
      <c r="J1767" s="5" t="s">
        <v>22</v>
      </c>
      <c r="K1767" s="5" t="s">
        <v>23</v>
      </c>
      <c r="L1767" s="5" t="s">
        <v>31</v>
      </c>
      <c r="M1767" s="5" t="s">
        <v>284</v>
      </c>
      <c r="N1767" s="5" t="s">
        <v>53</v>
      </c>
      <c r="O1767" s="5">
        <v>128</v>
      </c>
      <c r="P1767" s="5"/>
      <c r="Q1767" s="5"/>
      <c r="R1767" s="8">
        <v>8.1018518518518516E-5</v>
      </c>
      <c r="S1767" s="5" t="s">
        <v>37</v>
      </c>
      <c r="T1767" t="str">
        <f>IF(Tabela1[[#This Row],[STATUS_NEGOCIO]]="Enviar E-mail",1,"")</f>
        <v/>
      </c>
      <c r="U1767" t="str">
        <f>TEXT(Tabela1[[#This Row],[DATA]],"dd/mm/aaaa")</f>
        <v>22/04/2026</v>
      </c>
    </row>
    <row r="1768" spans="1:21" x14ac:dyDescent="0.25">
      <c r="A1768" s="4">
        <v>46134.69358796296</v>
      </c>
      <c r="B1768" s="5" t="s">
        <v>19</v>
      </c>
      <c r="C1768" s="5" t="s">
        <v>37</v>
      </c>
      <c r="D1768" s="5">
        <v>192</v>
      </c>
      <c r="E1768" s="6">
        <v>14059527000104</v>
      </c>
      <c r="F1768" s="5">
        <v>192</v>
      </c>
      <c r="G1768" s="7">
        <v>177688672681371</v>
      </c>
      <c r="H1768" s="5" t="s">
        <v>402</v>
      </c>
      <c r="I1768" s="5">
        <v>3003</v>
      </c>
      <c r="J1768" s="5" t="s">
        <v>22</v>
      </c>
      <c r="K1768" s="5" t="s">
        <v>23</v>
      </c>
      <c r="L1768" s="5" t="s">
        <v>31</v>
      </c>
      <c r="M1768" s="5" t="s">
        <v>284</v>
      </c>
      <c r="N1768" s="5" t="s">
        <v>53</v>
      </c>
      <c r="O1768" s="5">
        <v>128</v>
      </c>
      <c r="P1768" s="5"/>
      <c r="Q1768" s="5"/>
      <c r="R1768" s="8">
        <v>8.1018518518518516E-5</v>
      </c>
      <c r="S1768" s="5" t="s">
        <v>37</v>
      </c>
      <c r="T1768" t="str">
        <f>IF(Tabela1[[#This Row],[STATUS_NEGOCIO]]="Enviar E-mail",1,"")</f>
        <v/>
      </c>
      <c r="U1768" t="str">
        <f>TEXT(Tabela1[[#This Row],[DATA]],"dd/mm/aaaa")</f>
        <v>22/04/2026</v>
      </c>
    </row>
    <row r="1769" spans="1:21" x14ac:dyDescent="0.25">
      <c r="A1769" s="4">
        <v>46134.693657407406</v>
      </c>
      <c r="B1769" s="5" t="s">
        <v>19</v>
      </c>
      <c r="C1769" s="5" t="s">
        <v>37</v>
      </c>
      <c r="D1769" s="5">
        <v>193</v>
      </c>
      <c r="E1769" s="6">
        <v>14370573000111</v>
      </c>
      <c r="F1769" s="5">
        <v>193</v>
      </c>
      <c r="G1769" s="7">
        <v>177688673281391</v>
      </c>
      <c r="H1769" s="5" t="s">
        <v>86</v>
      </c>
      <c r="I1769" s="5" t="s">
        <v>52</v>
      </c>
      <c r="J1769" s="5" t="s">
        <v>22</v>
      </c>
      <c r="K1769" s="5" t="s">
        <v>36</v>
      </c>
      <c r="L1769" s="5" t="s">
        <v>36</v>
      </c>
      <c r="M1769" s="5" t="s">
        <v>284</v>
      </c>
      <c r="N1769" s="5" t="s">
        <v>53</v>
      </c>
      <c r="O1769" s="5">
        <v>1</v>
      </c>
      <c r="P1769" s="5"/>
      <c r="Q1769" s="5"/>
      <c r="R1769" s="8">
        <v>0</v>
      </c>
      <c r="S1769" s="5" t="s">
        <v>37</v>
      </c>
      <c r="T1769" t="str">
        <f>IF(Tabela1[[#This Row],[STATUS_NEGOCIO]]="Enviar E-mail",1,"")</f>
        <v/>
      </c>
      <c r="U1769" t="str">
        <f>TEXT(Tabela1[[#This Row],[DATA]],"dd/mm/aaaa")</f>
        <v>22/04/2026</v>
      </c>
    </row>
    <row r="1770" spans="1:21" x14ac:dyDescent="0.25">
      <c r="A1770" s="4">
        <v>46134.693657407406</v>
      </c>
      <c r="B1770" s="5" t="s">
        <v>19</v>
      </c>
      <c r="C1770" s="5" t="s">
        <v>37</v>
      </c>
      <c r="D1770" s="5">
        <v>194</v>
      </c>
      <c r="E1770" s="6">
        <v>14440968000143</v>
      </c>
      <c r="F1770" s="5">
        <v>194</v>
      </c>
      <c r="G1770" s="7">
        <v>177688673281401</v>
      </c>
      <c r="H1770" s="5" t="s">
        <v>403</v>
      </c>
      <c r="I1770" s="5">
        <v>3003</v>
      </c>
      <c r="J1770" s="5" t="s">
        <v>22</v>
      </c>
      <c r="K1770" s="5" t="s">
        <v>23</v>
      </c>
      <c r="L1770" s="5" t="s">
        <v>31</v>
      </c>
      <c r="M1770" s="5" t="s">
        <v>284</v>
      </c>
      <c r="N1770" s="5" t="s">
        <v>53</v>
      </c>
      <c r="O1770" s="5">
        <v>128</v>
      </c>
      <c r="P1770" s="5"/>
      <c r="Q1770" s="5"/>
      <c r="R1770" s="8">
        <v>8.1018518518518516E-5</v>
      </c>
      <c r="S1770" s="5" t="s">
        <v>37</v>
      </c>
      <c r="T1770" t="str">
        <f>IF(Tabela1[[#This Row],[STATUS_NEGOCIO]]="Enviar E-mail",1,"")</f>
        <v/>
      </c>
      <c r="U1770" t="str">
        <f>TEXT(Tabela1[[#This Row],[DATA]],"dd/mm/aaaa")</f>
        <v>22/04/2026</v>
      </c>
    </row>
    <row r="1771" spans="1:21" x14ac:dyDescent="0.25">
      <c r="A1771" s="4">
        <v>46134.693784722222</v>
      </c>
      <c r="B1771" s="5" t="s">
        <v>19</v>
      </c>
      <c r="C1771" s="5" t="s">
        <v>37</v>
      </c>
      <c r="D1771" s="5">
        <v>195</v>
      </c>
      <c r="E1771" s="6">
        <v>14450781000120</v>
      </c>
      <c r="F1771" s="5">
        <v>195</v>
      </c>
      <c r="G1771" s="7">
        <v>177688674381421</v>
      </c>
      <c r="H1771" s="5" t="s">
        <v>145</v>
      </c>
      <c r="I1771" s="5">
        <v>3003</v>
      </c>
      <c r="J1771" s="5" t="s">
        <v>22</v>
      </c>
      <c r="K1771" s="5" t="s">
        <v>23</v>
      </c>
      <c r="L1771" s="5" t="s">
        <v>31</v>
      </c>
      <c r="M1771" s="5" t="s">
        <v>284</v>
      </c>
      <c r="N1771" s="5" t="s">
        <v>53</v>
      </c>
      <c r="O1771" s="5">
        <v>147</v>
      </c>
      <c r="P1771" s="5"/>
      <c r="Q1771" s="5"/>
      <c r="R1771" s="8">
        <v>8.1018518518518516E-5</v>
      </c>
      <c r="S1771" s="5" t="s">
        <v>37</v>
      </c>
      <c r="T1771" t="str">
        <f>IF(Tabela1[[#This Row],[STATUS_NEGOCIO]]="Enviar E-mail",1,"")</f>
        <v/>
      </c>
      <c r="U1771" t="str">
        <f>TEXT(Tabela1[[#This Row],[DATA]],"dd/mm/aaaa")</f>
        <v>22/04/2026</v>
      </c>
    </row>
    <row r="1772" spans="1:21" x14ac:dyDescent="0.25">
      <c r="A1772" s="4">
        <v>46134.693796296298</v>
      </c>
      <c r="B1772" s="5" t="s">
        <v>19</v>
      </c>
      <c r="C1772" s="5" t="s">
        <v>37</v>
      </c>
      <c r="D1772" s="5">
        <v>196</v>
      </c>
      <c r="E1772" s="6">
        <v>14565807000186</v>
      </c>
      <c r="F1772" s="5">
        <v>196</v>
      </c>
      <c r="G1772" s="7">
        <v>177688674481441</v>
      </c>
      <c r="H1772" s="5" t="s">
        <v>226</v>
      </c>
      <c r="I1772" s="5">
        <v>3003</v>
      </c>
      <c r="J1772" s="5" t="s">
        <v>22</v>
      </c>
      <c r="K1772" s="5" t="s">
        <v>23</v>
      </c>
      <c r="L1772" s="5" t="s">
        <v>31</v>
      </c>
      <c r="M1772" s="5" t="s">
        <v>284</v>
      </c>
      <c r="N1772" s="5" t="s">
        <v>53</v>
      </c>
      <c r="O1772" s="5">
        <v>128</v>
      </c>
      <c r="P1772" s="5"/>
      <c r="Q1772" s="5"/>
      <c r="R1772" s="8">
        <v>8.1018518518518516E-5</v>
      </c>
      <c r="S1772" s="5" t="s">
        <v>37</v>
      </c>
      <c r="T1772" t="str">
        <f>IF(Tabela1[[#This Row],[STATUS_NEGOCIO]]="Enviar E-mail",1,"")</f>
        <v/>
      </c>
      <c r="U1772" t="str">
        <f>TEXT(Tabela1[[#This Row],[DATA]],"dd/mm/aaaa")</f>
        <v>22/04/2026</v>
      </c>
    </row>
    <row r="1773" spans="1:21" x14ac:dyDescent="0.25">
      <c r="A1773" s="4">
        <v>46134.693831018521</v>
      </c>
      <c r="B1773" s="5" t="s">
        <v>19</v>
      </c>
      <c r="C1773" s="5" t="s">
        <v>37</v>
      </c>
      <c r="D1773" s="5">
        <v>197</v>
      </c>
      <c r="E1773" s="6">
        <v>14766966000149</v>
      </c>
      <c r="F1773" s="5">
        <v>197</v>
      </c>
      <c r="G1773" s="7">
        <v>177688674781461</v>
      </c>
      <c r="H1773" s="5" t="s">
        <v>142</v>
      </c>
      <c r="I1773" s="5">
        <v>3003</v>
      </c>
      <c r="J1773" s="5" t="s">
        <v>22</v>
      </c>
      <c r="K1773" s="5" t="s">
        <v>23</v>
      </c>
      <c r="L1773" s="5" t="s">
        <v>31</v>
      </c>
      <c r="M1773" s="5" t="s">
        <v>284</v>
      </c>
      <c r="N1773" s="5" t="s">
        <v>53</v>
      </c>
      <c r="O1773" s="5">
        <v>128</v>
      </c>
      <c r="P1773" s="5"/>
      <c r="Q1773" s="5"/>
      <c r="R1773" s="8">
        <v>8.1018518518518516E-5</v>
      </c>
      <c r="S1773" s="5" t="s">
        <v>37</v>
      </c>
      <c r="T1773" t="str">
        <f>IF(Tabela1[[#This Row],[STATUS_NEGOCIO]]="Enviar E-mail",1,"")</f>
        <v/>
      </c>
      <c r="U1773" t="str">
        <f>TEXT(Tabela1[[#This Row],[DATA]],"dd/mm/aaaa")</f>
        <v>22/04/2026</v>
      </c>
    </row>
    <row r="1774" spans="1:21" x14ac:dyDescent="0.25">
      <c r="A1774" s="4">
        <v>46134.693842592591</v>
      </c>
      <c r="B1774" s="5" t="s">
        <v>19</v>
      </c>
      <c r="C1774" s="5" t="s">
        <v>37</v>
      </c>
      <c r="D1774" s="5">
        <v>198</v>
      </c>
      <c r="E1774" s="6">
        <v>14811950000100</v>
      </c>
      <c r="F1774" s="5">
        <v>198</v>
      </c>
      <c r="G1774" s="7">
        <v>177688674881481</v>
      </c>
      <c r="H1774" s="5" t="s">
        <v>404</v>
      </c>
      <c r="I1774" s="5">
        <v>3003</v>
      </c>
      <c r="J1774" s="5" t="s">
        <v>22</v>
      </c>
      <c r="K1774" s="5" t="s">
        <v>23</v>
      </c>
      <c r="L1774" s="5" t="s">
        <v>31</v>
      </c>
      <c r="M1774" s="5" t="s">
        <v>284</v>
      </c>
      <c r="N1774" s="5" t="s">
        <v>53</v>
      </c>
      <c r="O1774" s="5">
        <v>128</v>
      </c>
      <c r="P1774" s="5"/>
      <c r="Q1774" s="5"/>
      <c r="R1774" s="8">
        <v>8.1018518518518516E-5</v>
      </c>
      <c r="S1774" s="5" t="s">
        <v>37</v>
      </c>
      <c r="T1774" t="str">
        <f>IF(Tabela1[[#This Row],[STATUS_NEGOCIO]]="Enviar E-mail",1,"")</f>
        <v/>
      </c>
      <c r="U1774" t="str">
        <f>TEXT(Tabela1[[#This Row],[DATA]],"dd/mm/aaaa")</f>
        <v>22/04/2026</v>
      </c>
    </row>
    <row r="1775" spans="1:21" x14ac:dyDescent="0.25">
      <c r="A1775" s="4">
        <v>46134.693842592591</v>
      </c>
      <c r="B1775" s="5" t="s">
        <v>19</v>
      </c>
      <c r="C1775" s="5" t="s">
        <v>37</v>
      </c>
      <c r="D1775" s="5">
        <v>199</v>
      </c>
      <c r="E1775" s="6">
        <v>14965593000135</v>
      </c>
      <c r="F1775" s="5">
        <v>199</v>
      </c>
      <c r="G1775" s="7">
        <v>177688674881501</v>
      </c>
      <c r="H1775" s="5" t="s">
        <v>405</v>
      </c>
      <c r="I1775" s="5">
        <v>3003</v>
      </c>
      <c r="J1775" s="5" t="s">
        <v>22</v>
      </c>
      <c r="K1775" s="5" t="s">
        <v>23</v>
      </c>
      <c r="L1775" s="5" t="s">
        <v>31</v>
      </c>
      <c r="M1775" s="5" t="s">
        <v>284</v>
      </c>
      <c r="N1775" s="5" t="s">
        <v>53</v>
      </c>
      <c r="O1775" s="5">
        <v>147</v>
      </c>
      <c r="P1775" s="5"/>
      <c r="Q1775" s="5"/>
      <c r="R1775" s="8">
        <v>8.1018518518518516E-5</v>
      </c>
      <c r="S1775" s="5" t="s">
        <v>37</v>
      </c>
      <c r="T1775" t="str">
        <f>IF(Tabela1[[#This Row],[STATUS_NEGOCIO]]="Enviar E-mail",1,"")</f>
        <v/>
      </c>
      <c r="U1775" t="str">
        <f>TEXT(Tabela1[[#This Row],[DATA]],"dd/mm/aaaa")</f>
        <v>22/04/2026</v>
      </c>
    </row>
    <row r="1776" spans="1:21" x14ac:dyDescent="0.25">
      <c r="A1776" s="4">
        <v>46134.69390046296</v>
      </c>
      <c r="B1776" s="5" t="s">
        <v>19</v>
      </c>
      <c r="C1776" s="5" t="s">
        <v>37</v>
      </c>
      <c r="D1776" s="5">
        <v>200</v>
      </c>
      <c r="E1776" s="6">
        <v>15255973000149</v>
      </c>
      <c r="F1776" s="5">
        <v>200</v>
      </c>
      <c r="G1776" s="7">
        <v>177688675381521</v>
      </c>
      <c r="H1776" s="5" t="s">
        <v>406</v>
      </c>
      <c r="I1776" s="5">
        <v>3003</v>
      </c>
      <c r="J1776" s="5" t="s">
        <v>22</v>
      </c>
      <c r="K1776" s="5" t="s">
        <v>23</v>
      </c>
      <c r="L1776" s="5" t="s">
        <v>31</v>
      </c>
      <c r="M1776" s="5" t="s">
        <v>284</v>
      </c>
      <c r="N1776" s="5" t="s">
        <v>53</v>
      </c>
      <c r="O1776" s="5">
        <v>128</v>
      </c>
      <c r="P1776" s="5"/>
      <c r="Q1776" s="5"/>
      <c r="R1776" s="8">
        <v>8.1018518518518516E-5</v>
      </c>
      <c r="S1776" s="5" t="s">
        <v>37</v>
      </c>
      <c r="T1776" t="str">
        <f>IF(Tabela1[[#This Row],[STATUS_NEGOCIO]]="Enviar E-mail",1,"")</f>
        <v/>
      </c>
      <c r="U1776" t="str">
        <f>TEXT(Tabela1[[#This Row],[DATA]],"dd/mm/aaaa")</f>
        <v>22/04/2026</v>
      </c>
    </row>
    <row r="1777" spans="1:21" x14ac:dyDescent="0.25">
      <c r="A1777" s="4">
        <v>46134.693912037037</v>
      </c>
      <c r="B1777" s="5" t="s">
        <v>19</v>
      </c>
      <c r="C1777" s="5" t="s">
        <v>37</v>
      </c>
      <c r="D1777" s="5">
        <v>202</v>
      </c>
      <c r="E1777" s="6">
        <v>16385008000153</v>
      </c>
      <c r="F1777" s="5">
        <v>202</v>
      </c>
      <c r="G1777" s="7">
        <v>177688675481541</v>
      </c>
      <c r="H1777" s="5" t="s">
        <v>408</v>
      </c>
      <c r="I1777" s="5">
        <v>3003</v>
      </c>
      <c r="J1777" s="5" t="s">
        <v>22</v>
      </c>
      <c r="K1777" s="5" t="s">
        <v>23</v>
      </c>
      <c r="L1777" s="5" t="s">
        <v>31</v>
      </c>
      <c r="M1777" s="5" t="s">
        <v>284</v>
      </c>
      <c r="N1777" s="5" t="s">
        <v>53</v>
      </c>
      <c r="O1777" s="5">
        <v>128</v>
      </c>
      <c r="P1777" s="5"/>
      <c r="Q1777" s="5"/>
      <c r="R1777" s="8">
        <v>8.1018518518518516E-5</v>
      </c>
      <c r="S1777" s="5" t="s">
        <v>37</v>
      </c>
      <c r="T1777" t="str">
        <f>IF(Tabela1[[#This Row],[STATUS_NEGOCIO]]="Enviar E-mail",1,"")</f>
        <v/>
      </c>
      <c r="U1777" t="str">
        <f>TEXT(Tabela1[[#This Row],[DATA]],"dd/mm/aaaa")</f>
        <v>22/04/2026</v>
      </c>
    </row>
    <row r="1778" spans="1:21" x14ac:dyDescent="0.25">
      <c r="A1778" s="4">
        <v>46134.693935185183</v>
      </c>
      <c r="B1778" s="5" t="s">
        <v>19</v>
      </c>
      <c r="C1778" s="5" t="s">
        <v>37</v>
      </c>
      <c r="D1778" s="5">
        <v>203</v>
      </c>
      <c r="E1778" s="6">
        <v>16720728000128</v>
      </c>
      <c r="F1778" s="5">
        <v>203</v>
      </c>
      <c r="G1778" s="7">
        <v>177688675681561</v>
      </c>
      <c r="H1778" s="5" t="s">
        <v>409</v>
      </c>
      <c r="I1778" s="5">
        <v>3003</v>
      </c>
      <c r="J1778" s="5" t="s">
        <v>22</v>
      </c>
      <c r="K1778" s="5" t="s">
        <v>23</v>
      </c>
      <c r="L1778" s="5" t="s">
        <v>31</v>
      </c>
      <c r="M1778" s="5" t="s">
        <v>284</v>
      </c>
      <c r="N1778" s="5" t="s">
        <v>53</v>
      </c>
      <c r="O1778" s="5">
        <v>128</v>
      </c>
      <c r="P1778" s="5"/>
      <c r="Q1778" s="5"/>
      <c r="R1778" s="8">
        <v>8.1018518518518516E-5</v>
      </c>
      <c r="S1778" s="5" t="s">
        <v>37</v>
      </c>
      <c r="T1778" t="str">
        <f>IF(Tabela1[[#This Row],[STATUS_NEGOCIO]]="Enviar E-mail",1,"")</f>
        <v/>
      </c>
      <c r="U1778" t="str">
        <f>TEXT(Tabela1[[#This Row],[DATA]],"dd/mm/aaaa")</f>
        <v>22/04/2026</v>
      </c>
    </row>
    <row r="1779" spans="1:21" x14ac:dyDescent="0.25">
      <c r="A1779" s="4">
        <v>46134.693993055553</v>
      </c>
      <c r="B1779" s="5" t="s">
        <v>19</v>
      </c>
      <c r="C1779" s="5" t="s">
        <v>37</v>
      </c>
      <c r="D1779" s="5">
        <v>204</v>
      </c>
      <c r="E1779" s="6">
        <v>16918406000198</v>
      </c>
      <c r="F1779" s="5">
        <v>204</v>
      </c>
      <c r="G1779" s="7">
        <v>177688676181581</v>
      </c>
      <c r="H1779" s="5" t="s">
        <v>410</v>
      </c>
      <c r="I1779" s="5">
        <v>3003</v>
      </c>
      <c r="J1779" s="5" t="s">
        <v>22</v>
      </c>
      <c r="K1779" s="5" t="s">
        <v>23</v>
      </c>
      <c r="L1779" s="5" t="s">
        <v>31</v>
      </c>
      <c r="M1779" s="5" t="s">
        <v>284</v>
      </c>
      <c r="N1779" s="5" t="s">
        <v>53</v>
      </c>
      <c r="O1779" s="5">
        <v>131</v>
      </c>
      <c r="P1779" s="5"/>
      <c r="Q1779" s="5"/>
      <c r="R1779" s="8">
        <v>0</v>
      </c>
      <c r="S1779" s="5" t="s">
        <v>37</v>
      </c>
      <c r="T1779" t="str">
        <f>IF(Tabela1[[#This Row],[STATUS_NEGOCIO]]="Enviar E-mail",1,"")</f>
        <v/>
      </c>
      <c r="U1779" t="str">
        <f>TEXT(Tabela1[[#This Row],[DATA]],"dd/mm/aaaa")</f>
        <v>22/04/2026</v>
      </c>
    </row>
    <row r="1780" spans="1:21" x14ac:dyDescent="0.25">
      <c r="A1780" s="4">
        <v>46134.694074074076</v>
      </c>
      <c r="B1780" s="5" t="s">
        <v>19</v>
      </c>
      <c r="C1780" s="5" t="s">
        <v>37</v>
      </c>
      <c r="D1780" s="5">
        <v>205</v>
      </c>
      <c r="E1780" s="6">
        <v>16918406000198</v>
      </c>
      <c r="F1780" s="5">
        <v>205</v>
      </c>
      <c r="G1780" s="7">
        <v>177688676881721</v>
      </c>
      <c r="H1780" s="5" t="s">
        <v>410</v>
      </c>
      <c r="I1780" s="5">
        <v>3003</v>
      </c>
      <c r="J1780" s="5" t="s">
        <v>22</v>
      </c>
      <c r="K1780" s="5" t="s">
        <v>23</v>
      </c>
      <c r="L1780" s="5" t="s">
        <v>31</v>
      </c>
      <c r="M1780" s="5" t="s">
        <v>284</v>
      </c>
      <c r="N1780" s="5" t="s">
        <v>53</v>
      </c>
      <c r="O1780" s="5">
        <v>128</v>
      </c>
      <c r="P1780" s="5"/>
      <c r="Q1780" s="5"/>
      <c r="R1780" s="8">
        <v>8.1018518518518516E-5</v>
      </c>
      <c r="S1780" s="5" t="s">
        <v>37</v>
      </c>
      <c r="T1780" t="str">
        <f>IF(Tabela1[[#This Row],[STATUS_NEGOCIO]]="Enviar E-mail",1,"")</f>
        <v/>
      </c>
      <c r="U1780" t="str">
        <f>TEXT(Tabela1[[#This Row],[DATA]],"dd/mm/aaaa")</f>
        <v>22/04/2026</v>
      </c>
    </row>
    <row r="1781" spans="1:21" x14ac:dyDescent="0.25">
      <c r="A1781" s="4">
        <v>46134.694131944445</v>
      </c>
      <c r="B1781" s="5" t="s">
        <v>19</v>
      </c>
      <c r="C1781" s="5" t="s">
        <v>37</v>
      </c>
      <c r="D1781" s="5">
        <v>206</v>
      </c>
      <c r="E1781" s="6">
        <v>16927109000109</v>
      </c>
      <c r="F1781" s="5">
        <v>206</v>
      </c>
      <c r="G1781" s="7">
        <v>177688677381731</v>
      </c>
      <c r="H1781" s="5" t="s">
        <v>411</v>
      </c>
      <c r="I1781" s="5">
        <v>3003</v>
      </c>
      <c r="J1781" s="5" t="s">
        <v>22</v>
      </c>
      <c r="K1781" s="5" t="s">
        <v>23</v>
      </c>
      <c r="L1781" s="5" t="s">
        <v>31</v>
      </c>
      <c r="M1781" s="5" t="s">
        <v>284</v>
      </c>
      <c r="N1781" s="5" t="s">
        <v>53</v>
      </c>
      <c r="O1781" s="5">
        <v>128</v>
      </c>
      <c r="P1781" s="5"/>
      <c r="Q1781" s="5"/>
      <c r="R1781" s="8">
        <v>6.9444444444444444E-5</v>
      </c>
      <c r="S1781" s="5" t="s">
        <v>37</v>
      </c>
      <c r="T1781" t="str">
        <f>IF(Tabela1[[#This Row],[STATUS_NEGOCIO]]="Enviar E-mail",1,"")</f>
        <v/>
      </c>
      <c r="U1781" t="str">
        <f>TEXT(Tabela1[[#This Row],[DATA]],"dd/mm/aaaa")</f>
        <v>22/04/2026</v>
      </c>
    </row>
    <row r="1782" spans="1:21" x14ac:dyDescent="0.25">
      <c r="A1782" s="4">
        <v>46134.694155092591</v>
      </c>
      <c r="B1782" s="5" t="s">
        <v>19</v>
      </c>
      <c r="C1782" s="5" t="s">
        <v>37</v>
      </c>
      <c r="D1782" s="5">
        <v>207</v>
      </c>
      <c r="E1782" s="6">
        <v>16959774000184</v>
      </c>
      <c r="F1782" s="5">
        <v>207</v>
      </c>
      <c r="G1782" s="7">
        <v>177688677581751</v>
      </c>
      <c r="H1782" s="5" t="s">
        <v>412</v>
      </c>
      <c r="I1782" s="5">
        <v>3003</v>
      </c>
      <c r="J1782" s="5" t="s">
        <v>22</v>
      </c>
      <c r="K1782" s="5" t="s">
        <v>23</v>
      </c>
      <c r="L1782" s="5" t="s">
        <v>31</v>
      </c>
      <c r="M1782" s="5" t="s">
        <v>284</v>
      </c>
      <c r="N1782" s="5" t="s">
        <v>53</v>
      </c>
      <c r="O1782" s="5">
        <v>128</v>
      </c>
      <c r="P1782" s="5"/>
      <c r="Q1782" s="5"/>
      <c r="R1782" s="8">
        <v>8.1018518518518516E-5</v>
      </c>
      <c r="S1782" s="5" t="s">
        <v>37</v>
      </c>
      <c r="T1782" t="str">
        <f>IF(Tabela1[[#This Row],[STATUS_NEGOCIO]]="Enviar E-mail",1,"")</f>
        <v/>
      </c>
      <c r="U1782" t="str">
        <f>TEXT(Tabela1[[#This Row],[DATA]],"dd/mm/aaaa")</f>
        <v>22/04/2026</v>
      </c>
    </row>
    <row r="1783" spans="1:21" x14ac:dyDescent="0.25">
      <c r="A1783" s="4">
        <v>46134.69427083333</v>
      </c>
      <c r="B1783" s="5" t="s">
        <v>19</v>
      </c>
      <c r="C1783" s="5" t="s">
        <v>37</v>
      </c>
      <c r="D1783" s="5">
        <v>209</v>
      </c>
      <c r="E1783" s="6">
        <v>17230906000103</v>
      </c>
      <c r="F1783" s="5">
        <v>209</v>
      </c>
      <c r="G1783" s="7">
        <v>177688678581911</v>
      </c>
      <c r="H1783" s="5" t="s">
        <v>246</v>
      </c>
      <c r="I1783" s="5">
        <v>3003</v>
      </c>
      <c r="J1783" s="5" t="s">
        <v>22</v>
      </c>
      <c r="K1783" s="5" t="s">
        <v>23</v>
      </c>
      <c r="L1783" s="5" t="s">
        <v>31</v>
      </c>
      <c r="M1783" s="5" t="s">
        <v>284</v>
      </c>
      <c r="N1783" s="5" t="s">
        <v>53</v>
      </c>
      <c r="O1783" s="5">
        <v>128</v>
      </c>
      <c r="P1783" s="5"/>
      <c r="Q1783" s="5"/>
      <c r="R1783" s="8">
        <v>8.1018518518518516E-5</v>
      </c>
      <c r="S1783" s="5" t="s">
        <v>37</v>
      </c>
      <c r="T1783" t="str">
        <f>IF(Tabela1[[#This Row],[STATUS_NEGOCIO]]="Enviar E-mail",1,"")</f>
        <v/>
      </c>
      <c r="U1783" t="str">
        <f>TEXT(Tabela1[[#This Row],[DATA]],"dd/mm/aaaa")</f>
        <v>22/04/2026</v>
      </c>
    </row>
    <row r="1784" spans="1:21" x14ac:dyDescent="0.25">
      <c r="A1784" s="4">
        <v>46134.694282407407</v>
      </c>
      <c r="B1784" s="5" t="s">
        <v>19</v>
      </c>
      <c r="C1784" s="5" t="s">
        <v>37</v>
      </c>
      <c r="D1784" s="5">
        <v>210</v>
      </c>
      <c r="E1784" s="6">
        <v>17232038000192</v>
      </c>
      <c r="F1784" s="5">
        <v>210</v>
      </c>
      <c r="G1784" s="7">
        <v>177688678681931</v>
      </c>
      <c r="H1784" s="5" t="s">
        <v>413</v>
      </c>
      <c r="I1784" s="5">
        <v>3003</v>
      </c>
      <c r="J1784" s="5" t="s">
        <v>22</v>
      </c>
      <c r="K1784" s="5" t="s">
        <v>23</v>
      </c>
      <c r="L1784" s="5" t="s">
        <v>31</v>
      </c>
      <c r="M1784" s="5" t="s">
        <v>284</v>
      </c>
      <c r="N1784" s="5" t="s">
        <v>53</v>
      </c>
      <c r="O1784" s="5">
        <v>128</v>
      </c>
      <c r="P1784" s="5"/>
      <c r="Q1784" s="5"/>
      <c r="R1784" s="8">
        <v>6.9444444444444444E-5</v>
      </c>
      <c r="S1784" s="5" t="s">
        <v>37</v>
      </c>
      <c r="T1784" t="str">
        <f>IF(Tabela1[[#This Row],[STATUS_NEGOCIO]]="Enviar E-mail",1,"")</f>
        <v/>
      </c>
      <c r="U1784" t="str">
        <f>TEXT(Tabela1[[#This Row],[DATA]],"dd/mm/aaaa")</f>
        <v>22/04/2026</v>
      </c>
    </row>
    <row r="1785" spans="1:21" x14ac:dyDescent="0.25">
      <c r="A1785" s="4">
        <v>46134.694282407407</v>
      </c>
      <c r="B1785" s="5" t="s">
        <v>19</v>
      </c>
      <c r="C1785" s="5" t="s">
        <v>37</v>
      </c>
      <c r="D1785" s="5">
        <v>211</v>
      </c>
      <c r="E1785" s="6">
        <v>17404008000116</v>
      </c>
      <c r="F1785" s="5">
        <v>211</v>
      </c>
      <c r="G1785" s="7">
        <v>177688678681961</v>
      </c>
      <c r="H1785" s="5" t="s">
        <v>414</v>
      </c>
      <c r="I1785" s="5">
        <v>3003</v>
      </c>
      <c r="J1785" s="5" t="s">
        <v>22</v>
      </c>
      <c r="K1785" s="5" t="s">
        <v>23</v>
      </c>
      <c r="L1785" s="5" t="s">
        <v>31</v>
      </c>
      <c r="M1785" s="5" t="s">
        <v>284</v>
      </c>
      <c r="N1785" s="5" t="s">
        <v>53</v>
      </c>
      <c r="O1785" s="5">
        <v>128</v>
      </c>
      <c r="P1785" s="5"/>
      <c r="Q1785" s="5"/>
      <c r="R1785" s="8">
        <v>8.1018518518518516E-5</v>
      </c>
      <c r="S1785" s="5" t="s">
        <v>37</v>
      </c>
      <c r="T1785" t="str">
        <f>IF(Tabela1[[#This Row],[STATUS_NEGOCIO]]="Enviar E-mail",1,"")</f>
        <v/>
      </c>
      <c r="U1785" t="str">
        <f>TEXT(Tabela1[[#This Row],[DATA]],"dd/mm/aaaa")</f>
        <v>22/04/2026</v>
      </c>
    </row>
    <row r="1786" spans="1:21" x14ac:dyDescent="0.25">
      <c r="A1786" s="4">
        <v>46134.694305555553</v>
      </c>
      <c r="B1786" s="5" t="s">
        <v>19</v>
      </c>
      <c r="C1786" s="5" t="s">
        <v>37</v>
      </c>
      <c r="D1786" s="5">
        <v>212</v>
      </c>
      <c r="E1786" s="6">
        <v>17446625000184</v>
      </c>
      <c r="F1786" s="5">
        <v>212</v>
      </c>
      <c r="G1786" s="7">
        <v>177688678881981</v>
      </c>
      <c r="H1786" s="5" t="s">
        <v>415</v>
      </c>
      <c r="I1786" s="5">
        <v>3003</v>
      </c>
      <c r="J1786" s="5" t="s">
        <v>22</v>
      </c>
      <c r="K1786" s="5" t="s">
        <v>23</v>
      </c>
      <c r="L1786" s="5" t="s">
        <v>31</v>
      </c>
      <c r="M1786" s="5" t="s">
        <v>284</v>
      </c>
      <c r="N1786" s="5" t="s">
        <v>53</v>
      </c>
      <c r="O1786" s="5">
        <v>128</v>
      </c>
      <c r="P1786" s="5"/>
      <c r="Q1786" s="5"/>
      <c r="R1786" s="8">
        <v>8.1018518518518516E-5</v>
      </c>
      <c r="S1786" s="5" t="s">
        <v>37</v>
      </c>
      <c r="T1786" t="str">
        <f>IF(Tabela1[[#This Row],[STATUS_NEGOCIO]]="Enviar E-mail",1,"")</f>
        <v/>
      </c>
      <c r="U1786" t="str">
        <f>TEXT(Tabela1[[#This Row],[DATA]],"dd/mm/aaaa")</f>
        <v>22/04/2026</v>
      </c>
    </row>
    <row r="1787" spans="1:21" x14ac:dyDescent="0.25">
      <c r="A1787" s="4">
        <v>46134.694328703707</v>
      </c>
      <c r="B1787" s="5" t="s">
        <v>19</v>
      </c>
      <c r="C1787" s="5" t="s">
        <v>37</v>
      </c>
      <c r="D1787" s="5">
        <v>213</v>
      </c>
      <c r="E1787" s="6">
        <v>17845803000140</v>
      </c>
      <c r="F1787" s="5">
        <v>213</v>
      </c>
      <c r="G1787" s="7">
        <v>177688679082001</v>
      </c>
      <c r="H1787" s="5" t="s">
        <v>75</v>
      </c>
      <c r="I1787" s="5">
        <v>3003</v>
      </c>
      <c r="J1787" s="5" t="s">
        <v>22</v>
      </c>
      <c r="K1787" s="5" t="s">
        <v>23</v>
      </c>
      <c r="L1787" s="5" t="s">
        <v>31</v>
      </c>
      <c r="M1787" s="5" t="s">
        <v>284</v>
      </c>
      <c r="N1787" s="5" t="s">
        <v>53</v>
      </c>
      <c r="O1787" s="5">
        <v>128</v>
      </c>
      <c r="P1787" s="5"/>
      <c r="Q1787" s="5"/>
      <c r="R1787" s="8">
        <v>8.1018518518518516E-5</v>
      </c>
      <c r="S1787" s="5" t="s">
        <v>37</v>
      </c>
      <c r="T1787" t="str">
        <f>IF(Tabela1[[#This Row],[STATUS_NEGOCIO]]="Enviar E-mail",1,"")</f>
        <v/>
      </c>
      <c r="U1787" t="str">
        <f>TEXT(Tabela1[[#This Row],[DATA]],"dd/mm/aaaa")</f>
        <v>22/04/2026</v>
      </c>
    </row>
    <row r="1788" spans="1:21" x14ac:dyDescent="0.25">
      <c r="A1788" s="4">
        <v>46134.694374999999</v>
      </c>
      <c r="B1788" s="5" t="s">
        <v>19</v>
      </c>
      <c r="C1788" s="5" t="s">
        <v>37</v>
      </c>
      <c r="D1788" s="5">
        <v>214</v>
      </c>
      <c r="E1788" s="6">
        <v>18341732000100</v>
      </c>
      <c r="F1788" s="5">
        <v>214</v>
      </c>
      <c r="G1788" s="7">
        <v>177688679482031</v>
      </c>
      <c r="H1788" s="5" t="s">
        <v>416</v>
      </c>
      <c r="I1788" s="5">
        <v>3003</v>
      </c>
      <c r="J1788" s="5" t="s">
        <v>22</v>
      </c>
      <c r="K1788" s="5" t="s">
        <v>23</v>
      </c>
      <c r="L1788" s="5" t="s">
        <v>31</v>
      </c>
      <c r="M1788" s="5" t="s">
        <v>284</v>
      </c>
      <c r="N1788" s="5" t="s">
        <v>53</v>
      </c>
      <c r="O1788" s="5">
        <v>128</v>
      </c>
      <c r="P1788" s="5"/>
      <c r="Q1788" s="5"/>
      <c r="R1788" s="8">
        <v>8.1018518518518516E-5</v>
      </c>
      <c r="S1788" s="5" t="s">
        <v>37</v>
      </c>
      <c r="T1788" t="str">
        <f>IF(Tabela1[[#This Row],[STATUS_NEGOCIO]]="Enviar E-mail",1,"")</f>
        <v/>
      </c>
      <c r="U1788" t="str">
        <f>TEXT(Tabela1[[#This Row],[DATA]],"dd/mm/aaaa")</f>
        <v>22/04/2026</v>
      </c>
    </row>
    <row r="1789" spans="1:21" x14ac:dyDescent="0.25">
      <c r="A1789" s="4">
        <v>46134.694374999999</v>
      </c>
      <c r="B1789" s="5" t="s">
        <v>19</v>
      </c>
      <c r="C1789" s="5" t="s">
        <v>37</v>
      </c>
      <c r="D1789" s="5">
        <v>215</v>
      </c>
      <c r="E1789" s="6">
        <v>18414594000142</v>
      </c>
      <c r="F1789" s="5">
        <v>215</v>
      </c>
      <c r="G1789" s="7">
        <v>177688679482041</v>
      </c>
      <c r="H1789" s="5" t="s">
        <v>417</v>
      </c>
      <c r="I1789" s="5">
        <v>3003</v>
      </c>
      <c r="J1789" s="5" t="s">
        <v>22</v>
      </c>
      <c r="K1789" s="5" t="s">
        <v>23</v>
      </c>
      <c r="L1789" s="5" t="s">
        <v>31</v>
      </c>
      <c r="M1789" s="5" t="s">
        <v>284</v>
      </c>
      <c r="N1789" s="5" t="s">
        <v>53</v>
      </c>
      <c r="O1789" s="5">
        <v>128</v>
      </c>
      <c r="P1789" s="5"/>
      <c r="Q1789" s="5"/>
      <c r="R1789" s="8">
        <v>8.1018518518518516E-5</v>
      </c>
      <c r="S1789" s="5" t="s">
        <v>37</v>
      </c>
      <c r="T1789" t="str">
        <f>IF(Tabela1[[#This Row],[STATUS_NEGOCIO]]="Enviar E-mail",1,"")</f>
        <v/>
      </c>
      <c r="U1789" t="str">
        <f>TEXT(Tabela1[[#This Row],[DATA]],"dd/mm/aaaa")</f>
        <v>22/04/2026</v>
      </c>
    </row>
    <row r="1790" spans="1:21" x14ac:dyDescent="0.25">
      <c r="A1790" s="4">
        <v>46134.694398148145</v>
      </c>
      <c r="B1790" s="5" t="s">
        <v>19</v>
      </c>
      <c r="C1790" s="5" t="s">
        <v>37</v>
      </c>
      <c r="D1790" s="5">
        <v>208</v>
      </c>
      <c r="E1790" s="6">
        <v>17043182000180</v>
      </c>
      <c r="F1790" s="5">
        <v>208</v>
      </c>
      <c r="G1790" s="7">
        <v>177688677681781</v>
      </c>
      <c r="H1790" s="5" t="s">
        <v>235</v>
      </c>
      <c r="I1790" s="5">
        <v>3003</v>
      </c>
      <c r="J1790" s="5" t="s">
        <v>22</v>
      </c>
      <c r="K1790" s="5" t="s">
        <v>23</v>
      </c>
      <c r="L1790" s="5" t="s">
        <v>31</v>
      </c>
      <c r="M1790" s="5" t="s">
        <v>284</v>
      </c>
      <c r="N1790" s="5" t="s">
        <v>26</v>
      </c>
      <c r="O1790" s="5">
        <v>131</v>
      </c>
      <c r="P1790" s="5"/>
      <c r="Q1790" s="5"/>
      <c r="R1790" s="8">
        <v>2.5462962962962961E-4</v>
      </c>
      <c r="S1790" s="5" t="s">
        <v>37</v>
      </c>
      <c r="T1790" t="str">
        <f>IF(Tabela1[[#This Row],[STATUS_NEGOCIO]]="Enviar E-mail",1,"")</f>
        <v/>
      </c>
      <c r="U1790" t="str">
        <f>TEXT(Tabela1[[#This Row],[DATA]],"dd/mm/aaaa")</f>
        <v>22/04/2026</v>
      </c>
    </row>
    <row r="1791" spans="1:21" x14ac:dyDescent="0.25">
      <c r="A1791" s="4">
        <v>46134.694525462961</v>
      </c>
      <c r="B1791" s="5" t="s">
        <v>19</v>
      </c>
      <c r="C1791" s="5" t="s">
        <v>37</v>
      </c>
      <c r="D1791" s="5">
        <v>216</v>
      </c>
      <c r="E1791" s="6">
        <v>18705825000177</v>
      </c>
      <c r="F1791" s="5">
        <v>216</v>
      </c>
      <c r="G1791" s="7">
        <v>177688680782121</v>
      </c>
      <c r="H1791" s="5" t="s">
        <v>418</v>
      </c>
      <c r="I1791" s="5">
        <v>3003</v>
      </c>
      <c r="J1791" s="5" t="s">
        <v>22</v>
      </c>
      <c r="K1791" s="5" t="s">
        <v>23</v>
      </c>
      <c r="L1791" s="5" t="s">
        <v>31</v>
      </c>
      <c r="M1791" s="5" t="s">
        <v>284</v>
      </c>
      <c r="N1791" s="5" t="s">
        <v>53</v>
      </c>
      <c r="O1791" s="5">
        <v>128</v>
      </c>
      <c r="P1791" s="5"/>
      <c r="Q1791" s="5"/>
      <c r="R1791" s="8">
        <v>6.9444444444444444E-5</v>
      </c>
      <c r="S1791" s="5" t="s">
        <v>37</v>
      </c>
      <c r="T1791" t="str">
        <f>IF(Tabela1[[#This Row],[STATUS_NEGOCIO]]="Enviar E-mail",1,"")</f>
        <v/>
      </c>
      <c r="U1791" t="str">
        <f>TEXT(Tabela1[[#This Row],[DATA]],"dd/mm/aaaa")</f>
        <v>22/04/2026</v>
      </c>
    </row>
    <row r="1792" spans="1:21" x14ac:dyDescent="0.25">
      <c r="A1792" s="4">
        <v>46134.694548611114</v>
      </c>
      <c r="B1792" s="5" t="s">
        <v>19</v>
      </c>
      <c r="C1792" s="5" t="s">
        <v>37</v>
      </c>
      <c r="D1792" s="5">
        <v>217</v>
      </c>
      <c r="E1792" s="6">
        <v>18863657000148</v>
      </c>
      <c r="F1792" s="5">
        <v>217</v>
      </c>
      <c r="G1792" s="7">
        <v>177688680982141</v>
      </c>
      <c r="H1792" s="5" t="s">
        <v>158</v>
      </c>
      <c r="I1792" s="5">
        <v>3003</v>
      </c>
      <c r="J1792" s="5" t="s">
        <v>22</v>
      </c>
      <c r="K1792" s="5" t="s">
        <v>23</v>
      </c>
      <c r="L1792" s="5" t="s">
        <v>31</v>
      </c>
      <c r="M1792" s="5" t="s">
        <v>284</v>
      </c>
      <c r="N1792" s="5" t="s">
        <v>53</v>
      </c>
      <c r="O1792" s="5">
        <v>128</v>
      </c>
      <c r="P1792" s="5"/>
      <c r="Q1792" s="5"/>
      <c r="R1792" s="8">
        <v>8.1018518518518516E-5</v>
      </c>
      <c r="S1792" s="5" t="s">
        <v>37</v>
      </c>
      <c r="T1792" t="str">
        <f>IF(Tabela1[[#This Row],[STATUS_NEGOCIO]]="Enviar E-mail",1,"")</f>
        <v/>
      </c>
      <c r="U1792" t="str">
        <f>TEXT(Tabela1[[#This Row],[DATA]],"dd/mm/aaaa")</f>
        <v>22/04/2026</v>
      </c>
    </row>
    <row r="1793" spans="1:21" x14ac:dyDescent="0.25">
      <c r="A1793" s="4">
        <v>46134.69462962963</v>
      </c>
      <c r="B1793" s="5" t="s">
        <v>19</v>
      </c>
      <c r="C1793" s="5" t="s">
        <v>37</v>
      </c>
      <c r="D1793" s="5">
        <v>218</v>
      </c>
      <c r="E1793" s="6">
        <v>18889258000156</v>
      </c>
      <c r="F1793" s="5">
        <v>218</v>
      </c>
      <c r="G1793" s="7">
        <v>177688681682151</v>
      </c>
      <c r="H1793" s="5" t="s">
        <v>419</v>
      </c>
      <c r="I1793" s="5">
        <v>3003</v>
      </c>
      <c r="J1793" s="5" t="s">
        <v>22</v>
      </c>
      <c r="K1793" s="5" t="s">
        <v>23</v>
      </c>
      <c r="L1793" s="5" t="s">
        <v>31</v>
      </c>
      <c r="M1793" s="5" t="s">
        <v>284</v>
      </c>
      <c r="N1793" s="5" t="s">
        <v>53</v>
      </c>
      <c r="O1793" s="5">
        <v>128</v>
      </c>
      <c r="P1793" s="5"/>
      <c r="Q1793" s="5"/>
      <c r="R1793" s="8">
        <v>4.6296296296296294E-5</v>
      </c>
      <c r="S1793" s="5" t="s">
        <v>37</v>
      </c>
      <c r="T1793" t="str">
        <f>IF(Tabela1[[#This Row],[STATUS_NEGOCIO]]="Enviar E-mail",1,"")</f>
        <v/>
      </c>
      <c r="U1793" t="str">
        <f>TEXT(Tabela1[[#This Row],[DATA]],"dd/mm/aaaa")</f>
        <v>22/04/2026</v>
      </c>
    </row>
    <row r="1794" spans="1:21" x14ac:dyDescent="0.25">
      <c r="A1794" s="4">
        <v>46134.69462962963</v>
      </c>
      <c r="B1794" s="5" t="s">
        <v>19</v>
      </c>
      <c r="C1794" s="5" t="s">
        <v>37</v>
      </c>
      <c r="D1794" s="5">
        <v>219</v>
      </c>
      <c r="E1794" s="6">
        <v>18977285000180</v>
      </c>
      <c r="F1794" s="5">
        <v>219</v>
      </c>
      <c r="G1794" s="7">
        <v>177688681682161</v>
      </c>
      <c r="H1794" s="5" t="s">
        <v>420</v>
      </c>
      <c r="I1794" s="5">
        <v>3003</v>
      </c>
      <c r="J1794" s="5" t="s">
        <v>22</v>
      </c>
      <c r="K1794" s="5" t="s">
        <v>23</v>
      </c>
      <c r="L1794" s="5" t="s">
        <v>31</v>
      </c>
      <c r="M1794" s="5" t="s">
        <v>284</v>
      </c>
      <c r="N1794" s="5" t="s">
        <v>53</v>
      </c>
      <c r="O1794" s="5">
        <v>128</v>
      </c>
      <c r="P1794" s="5"/>
      <c r="Q1794" s="5"/>
      <c r="R1794" s="8">
        <v>8.1018518518518516E-5</v>
      </c>
      <c r="S1794" s="5" t="s">
        <v>37</v>
      </c>
      <c r="T1794" t="str">
        <f>IF(Tabela1[[#This Row],[STATUS_NEGOCIO]]="Enviar E-mail",1,"")</f>
        <v/>
      </c>
      <c r="U1794" t="str">
        <f>TEXT(Tabela1[[#This Row],[DATA]],"dd/mm/aaaa")</f>
        <v>22/04/2026</v>
      </c>
    </row>
    <row r="1795" spans="1:21" x14ac:dyDescent="0.25">
      <c r="A1795" s="4">
        <v>46134.69462962963</v>
      </c>
      <c r="B1795" s="5" t="s">
        <v>19</v>
      </c>
      <c r="C1795" s="5" t="s">
        <v>37</v>
      </c>
      <c r="D1795" s="5">
        <v>221</v>
      </c>
      <c r="E1795" s="6">
        <v>19047535000146</v>
      </c>
      <c r="F1795" s="5">
        <v>221</v>
      </c>
      <c r="G1795" s="7">
        <v>177688681682171</v>
      </c>
      <c r="H1795" s="5" t="s">
        <v>48</v>
      </c>
      <c r="I1795" s="5">
        <v>3003</v>
      </c>
      <c r="J1795" s="5" t="s">
        <v>22</v>
      </c>
      <c r="K1795" s="5" t="s">
        <v>23</v>
      </c>
      <c r="L1795" s="5" t="s">
        <v>31</v>
      </c>
      <c r="M1795" s="5" t="s">
        <v>284</v>
      </c>
      <c r="N1795" s="5" t="s">
        <v>53</v>
      </c>
      <c r="O1795" s="5">
        <v>128</v>
      </c>
      <c r="P1795" s="5"/>
      <c r="Q1795" s="5"/>
      <c r="R1795" s="8">
        <v>6.9444444444444444E-5</v>
      </c>
      <c r="S1795" s="5" t="s">
        <v>37</v>
      </c>
      <c r="T1795" t="str">
        <f>IF(Tabela1[[#This Row],[STATUS_NEGOCIO]]="Enviar E-mail",1,"")</f>
        <v/>
      </c>
      <c r="U1795" t="str">
        <f>TEXT(Tabela1[[#This Row],[DATA]],"dd/mm/aaaa")</f>
        <v>22/04/2026</v>
      </c>
    </row>
    <row r="1796" spans="1:21" x14ac:dyDescent="0.25">
      <c r="A1796" s="4">
        <v>46134.69462962963</v>
      </c>
      <c r="B1796" s="5" t="s">
        <v>19</v>
      </c>
      <c r="C1796" s="5" t="s">
        <v>37</v>
      </c>
      <c r="D1796" s="5">
        <v>223</v>
      </c>
      <c r="E1796" s="6">
        <v>19410510000165</v>
      </c>
      <c r="F1796" s="5">
        <v>223</v>
      </c>
      <c r="G1796" s="7">
        <v>177688681682181</v>
      </c>
      <c r="H1796" s="5" t="s">
        <v>422</v>
      </c>
      <c r="I1796" s="5">
        <v>3003</v>
      </c>
      <c r="J1796" s="5" t="s">
        <v>22</v>
      </c>
      <c r="K1796" s="5" t="s">
        <v>23</v>
      </c>
      <c r="L1796" s="5" t="s">
        <v>31</v>
      </c>
      <c r="M1796" s="5" t="s">
        <v>284</v>
      </c>
      <c r="N1796" s="5" t="s">
        <v>53</v>
      </c>
      <c r="O1796" s="5">
        <v>128</v>
      </c>
      <c r="P1796" s="5"/>
      <c r="Q1796" s="5"/>
      <c r="R1796" s="8">
        <v>8.1018518518518516E-5</v>
      </c>
      <c r="S1796" s="5" t="s">
        <v>37</v>
      </c>
      <c r="T1796" t="str">
        <f>IF(Tabela1[[#This Row],[STATUS_NEGOCIO]]="Enviar E-mail",1,"")</f>
        <v/>
      </c>
      <c r="U1796" t="str">
        <f>TEXT(Tabela1[[#This Row],[DATA]],"dd/mm/aaaa")</f>
        <v>22/04/2026</v>
      </c>
    </row>
    <row r="1797" spans="1:21" x14ac:dyDescent="0.25">
      <c r="A1797" s="4">
        <v>46134.694699074076</v>
      </c>
      <c r="B1797" s="5" t="s">
        <v>19</v>
      </c>
      <c r="C1797" s="5" t="s">
        <v>37</v>
      </c>
      <c r="D1797" s="5">
        <v>224</v>
      </c>
      <c r="E1797" s="6">
        <v>19420382000211</v>
      </c>
      <c r="F1797" s="5">
        <v>224</v>
      </c>
      <c r="G1797" s="7">
        <v>177688682282201</v>
      </c>
      <c r="H1797" s="5" t="s">
        <v>423</v>
      </c>
      <c r="I1797" s="5">
        <v>3003</v>
      </c>
      <c r="J1797" s="5" t="s">
        <v>22</v>
      </c>
      <c r="K1797" s="5" t="s">
        <v>23</v>
      </c>
      <c r="L1797" s="5" t="s">
        <v>31</v>
      </c>
      <c r="M1797" s="5" t="s">
        <v>284</v>
      </c>
      <c r="N1797" s="5" t="s">
        <v>53</v>
      </c>
      <c r="O1797" s="5">
        <v>128</v>
      </c>
      <c r="P1797" s="5"/>
      <c r="Q1797" s="5"/>
      <c r="R1797" s="8">
        <v>8.1018518518518516E-5</v>
      </c>
      <c r="S1797" s="5" t="s">
        <v>37</v>
      </c>
      <c r="T1797" t="str">
        <f>IF(Tabela1[[#This Row],[STATUS_NEGOCIO]]="Enviar E-mail",1,"")</f>
        <v/>
      </c>
      <c r="U1797" t="str">
        <f>TEXT(Tabela1[[#This Row],[DATA]],"dd/mm/aaaa")</f>
        <v>22/04/2026</v>
      </c>
    </row>
    <row r="1798" spans="1:21" x14ac:dyDescent="0.25">
      <c r="A1798" s="4">
        <v>46134.694710648146</v>
      </c>
      <c r="B1798" s="5" t="s">
        <v>19</v>
      </c>
      <c r="C1798" s="5" t="s">
        <v>20</v>
      </c>
      <c r="D1798" s="5">
        <v>226</v>
      </c>
      <c r="E1798" s="6">
        <v>19753199000157</v>
      </c>
      <c r="F1798" s="5">
        <v>226</v>
      </c>
      <c r="G1798" s="7">
        <v>177688682382221</v>
      </c>
      <c r="H1798" s="5" t="s">
        <v>424</v>
      </c>
      <c r="I1798" s="5">
        <v>3003</v>
      </c>
      <c r="J1798" s="5" t="s">
        <v>22</v>
      </c>
      <c r="K1798" s="5" t="s">
        <v>23</v>
      </c>
      <c r="L1798" s="5" t="s">
        <v>265</v>
      </c>
      <c r="M1798" s="5" t="s">
        <v>284</v>
      </c>
      <c r="N1798" s="5" t="s">
        <v>32</v>
      </c>
      <c r="O1798" s="5">
        <v>16</v>
      </c>
      <c r="P1798" s="5"/>
      <c r="Q1798" s="5"/>
      <c r="R1798" s="8">
        <v>4.2824074074074075E-4</v>
      </c>
      <c r="S1798" s="8">
        <v>3.8194444444444446E-4</v>
      </c>
      <c r="T1798" t="str">
        <f>IF(Tabela1[[#This Row],[STATUS_NEGOCIO]]="Enviar E-mail",1,"")</f>
        <v/>
      </c>
      <c r="U1798" t="str">
        <f>TEXT(Tabela1[[#This Row],[DATA]],"dd/mm/aaaa")</f>
        <v>22/04/2026</v>
      </c>
    </row>
    <row r="1799" spans="1:21" x14ac:dyDescent="0.25">
      <c r="A1799" s="4">
        <v>46134.694722222222</v>
      </c>
      <c r="B1799" s="5" t="s">
        <v>19</v>
      </c>
      <c r="C1799" s="5" t="s">
        <v>37</v>
      </c>
      <c r="D1799" s="5">
        <v>229</v>
      </c>
      <c r="E1799" s="6">
        <v>20045556000101</v>
      </c>
      <c r="F1799" s="5">
        <v>229</v>
      </c>
      <c r="G1799" s="7">
        <v>177688682482241</v>
      </c>
      <c r="H1799" s="5" t="s">
        <v>43</v>
      </c>
      <c r="I1799" s="5">
        <v>3003</v>
      </c>
      <c r="J1799" s="5" t="s">
        <v>22</v>
      </c>
      <c r="K1799" s="5" t="s">
        <v>23</v>
      </c>
      <c r="L1799" s="5" t="s">
        <v>31</v>
      </c>
      <c r="M1799" s="5" t="s">
        <v>284</v>
      </c>
      <c r="N1799" s="5" t="s">
        <v>53</v>
      </c>
      <c r="O1799" s="5">
        <v>147</v>
      </c>
      <c r="P1799" s="5"/>
      <c r="Q1799" s="5"/>
      <c r="R1799" s="8">
        <v>8.1018518518518516E-5</v>
      </c>
      <c r="S1799" s="5" t="s">
        <v>37</v>
      </c>
      <c r="T1799" t="str">
        <f>IF(Tabela1[[#This Row],[STATUS_NEGOCIO]]="Enviar E-mail",1,"")</f>
        <v/>
      </c>
      <c r="U1799" t="str">
        <f>TEXT(Tabela1[[#This Row],[DATA]],"dd/mm/aaaa")</f>
        <v>22/04/2026</v>
      </c>
    </row>
    <row r="1800" spans="1:21" x14ac:dyDescent="0.25">
      <c r="A1800" s="4">
        <v>46134.694733796299</v>
      </c>
      <c r="B1800" s="5" t="s">
        <v>19</v>
      </c>
      <c r="C1800" s="5" t="s">
        <v>37</v>
      </c>
      <c r="D1800" s="5">
        <v>230</v>
      </c>
      <c r="E1800" s="6">
        <v>20331303000102</v>
      </c>
      <c r="F1800" s="5">
        <v>230</v>
      </c>
      <c r="G1800" s="7">
        <v>177688682582261</v>
      </c>
      <c r="H1800" s="5" t="s">
        <v>237</v>
      </c>
      <c r="I1800" s="5">
        <v>3003</v>
      </c>
      <c r="J1800" s="5" t="s">
        <v>22</v>
      </c>
      <c r="K1800" s="5" t="s">
        <v>23</v>
      </c>
      <c r="L1800" s="5" t="s">
        <v>31</v>
      </c>
      <c r="M1800" s="5" t="s">
        <v>284</v>
      </c>
      <c r="N1800" s="5" t="s">
        <v>53</v>
      </c>
      <c r="O1800" s="5">
        <v>128</v>
      </c>
      <c r="P1800" s="5"/>
      <c r="Q1800" s="5"/>
      <c r="R1800" s="8">
        <v>6.9444444444444444E-5</v>
      </c>
      <c r="S1800" s="5" t="s">
        <v>37</v>
      </c>
      <c r="T1800" t="str">
        <f>IF(Tabela1[[#This Row],[STATUS_NEGOCIO]]="Enviar E-mail",1,"")</f>
        <v/>
      </c>
      <c r="U1800" t="str">
        <f>TEXT(Tabela1[[#This Row],[DATA]],"dd/mm/aaaa")</f>
        <v>22/04/2026</v>
      </c>
    </row>
    <row r="1801" spans="1:21" x14ac:dyDescent="0.25">
      <c r="A1801" s="4">
        <v>46134.694733796299</v>
      </c>
      <c r="B1801" s="5" t="s">
        <v>19</v>
      </c>
      <c r="C1801" s="5" t="s">
        <v>37</v>
      </c>
      <c r="D1801" s="5">
        <v>231</v>
      </c>
      <c r="E1801" s="6">
        <v>20415965000152</v>
      </c>
      <c r="F1801" s="5">
        <v>231</v>
      </c>
      <c r="G1801" s="7">
        <v>177688682582281</v>
      </c>
      <c r="H1801" s="5" t="s">
        <v>427</v>
      </c>
      <c r="I1801" s="5">
        <v>3003</v>
      </c>
      <c r="J1801" s="5" t="s">
        <v>22</v>
      </c>
      <c r="K1801" s="5" t="s">
        <v>23</v>
      </c>
      <c r="L1801" s="5" t="s">
        <v>31</v>
      </c>
      <c r="M1801" s="5" t="s">
        <v>284</v>
      </c>
      <c r="N1801" s="5" t="s">
        <v>53</v>
      </c>
      <c r="O1801" s="5">
        <v>147</v>
      </c>
      <c r="P1801" s="5"/>
      <c r="Q1801" s="5"/>
      <c r="R1801" s="8">
        <v>8.1018518518518516E-5</v>
      </c>
      <c r="S1801" s="5" t="s">
        <v>37</v>
      </c>
      <c r="T1801" t="str">
        <f>IF(Tabela1[[#This Row],[STATUS_NEGOCIO]]="Enviar E-mail",1,"")</f>
        <v/>
      </c>
      <c r="U1801" t="str">
        <f>TEXT(Tabela1[[#This Row],[DATA]],"dd/mm/aaaa")</f>
        <v>22/04/2026</v>
      </c>
    </row>
    <row r="1802" spans="1:21" x14ac:dyDescent="0.25">
      <c r="A1802" s="4">
        <v>46134.694780092592</v>
      </c>
      <c r="B1802" s="5" t="s">
        <v>19</v>
      </c>
      <c r="C1802" s="5" t="s">
        <v>37</v>
      </c>
      <c r="D1802" s="5">
        <v>232</v>
      </c>
      <c r="E1802" s="6">
        <v>20458968000173</v>
      </c>
      <c r="F1802" s="5">
        <v>232</v>
      </c>
      <c r="G1802" s="7">
        <v>177688682982301</v>
      </c>
      <c r="H1802" s="5" t="s">
        <v>133</v>
      </c>
      <c r="I1802" s="5">
        <v>3003</v>
      </c>
      <c r="J1802" s="5" t="s">
        <v>22</v>
      </c>
      <c r="K1802" s="5" t="s">
        <v>23</v>
      </c>
      <c r="L1802" s="5" t="s">
        <v>31</v>
      </c>
      <c r="M1802" s="5" t="s">
        <v>284</v>
      </c>
      <c r="N1802" s="5" t="s">
        <v>53</v>
      </c>
      <c r="O1802" s="5">
        <v>128</v>
      </c>
      <c r="P1802" s="5"/>
      <c r="Q1802" s="5"/>
      <c r="R1802" s="8">
        <v>8.1018518518518516E-5</v>
      </c>
      <c r="S1802" s="5" t="s">
        <v>37</v>
      </c>
      <c r="T1802" t="str">
        <f>IF(Tabela1[[#This Row],[STATUS_NEGOCIO]]="Enviar E-mail",1,"")</f>
        <v/>
      </c>
      <c r="U1802" t="str">
        <f>TEXT(Tabela1[[#This Row],[DATA]],"dd/mm/aaaa")</f>
        <v>22/04/2026</v>
      </c>
    </row>
    <row r="1803" spans="1:21" x14ac:dyDescent="0.25">
      <c r="A1803" s="4">
        <v>46134.694780092592</v>
      </c>
      <c r="B1803" s="5" t="s">
        <v>19</v>
      </c>
      <c r="C1803" s="5" t="s">
        <v>37</v>
      </c>
      <c r="D1803" s="5">
        <v>233</v>
      </c>
      <c r="E1803" s="6">
        <v>20458968000254</v>
      </c>
      <c r="F1803" s="5">
        <v>233</v>
      </c>
      <c r="G1803" s="7">
        <v>177688682982321</v>
      </c>
      <c r="H1803" s="5" t="s">
        <v>133</v>
      </c>
      <c r="I1803" s="5">
        <v>3003</v>
      </c>
      <c r="J1803" s="5" t="s">
        <v>22</v>
      </c>
      <c r="K1803" s="5" t="s">
        <v>23</v>
      </c>
      <c r="L1803" s="5" t="s">
        <v>31</v>
      </c>
      <c r="M1803" s="5" t="s">
        <v>284</v>
      </c>
      <c r="N1803" s="5" t="s">
        <v>53</v>
      </c>
      <c r="O1803" s="5">
        <v>128</v>
      </c>
      <c r="P1803" s="5"/>
      <c r="Q1803" s="5"/>
      <c r="R1803" s="8">
        <v>8.1018518518518516E-5</v>
      </c>
      <c r="S1803" s="5" t="s">
        <v>37</v>
      </c>
      <c r="T1803" t="str">
        <f>IF(Tabela1[[#This Row],[STATUS_NEGOCIO]]="Enviar E-mail",1,"")</f>
        <v/>
      </c>
      <c r="U1803" t="str">
        <f>TEXT(Tabela1[[#This Row],[DATA]],"dd/mm/aaaa")</f>
        <v>22/04/2026</v>
      </c>
    </row>
    <row r="1804" spans="1:21" x14ac:dyDescent="0.25">
      <c r="A1804" s="4">
        <v>46134.694803240738</v>
      </c>
      <c r="B1804" s="5" t="s">
        <v>19</v>
      </c>
      <c r="C1804" s="5" t="s">
        <v>27</v>
      </c>
      <c r="D1804" s="5">
        <v>234</v>
      </c>
      <c r="E1804" s="6">
        <v>20813461000190</v>
      </c>
      <c r="F1804" s="5">
        <v>234</v>
      </c>
      <c r="G1804" s="7">
        <v>177688683182351</v>
      </c>
      <c r="H1804" s="5" t="s">
        <v>428</v>
      </c>
      <c r="I1804" s="5">
        <v>3003</v>
      </c>
      <c r="J1804" s="5" t="s">
        <v>22</v>
      </c>
      <c r="K1804" s="5" t="s">
        <v>23</v>
      </c>
      <c r="L1804" s="5" t="s">
        <v>40</v>
      </c>
      <c r="M1804" s="5" t="s">
        <v>284</v>
      </c>
      <c r="N1804" s="5" t="s">
        <v>26</v>
      </c>
      <c r="O1804" s="5">
        <v>16</v>
      </c>
      <c r="P1804" s="5"/>
      <c r="Q1804" s="5"/>
      <c r="R1804" s="8">
        <v>2.2916666666666667E-3</v>
      </c>
      <c r="S1804" s="8">
        <v>2.2453703703703702E-3</v>
      </c>
      <c r="T1804">
        <f>IF(Tabela1[[#This Row],[STATUS_NEGOCIO]]="Enviar E-mail",1,"")</f>
        <v>1</v>
      </c>
      <c r="U1804" t="str">
        <f>TEXT(Tabela1[[#This Row],[DATA]],"dd/mm/aaaa")</f>
        <v>22/04/2026</v>
      </c>
    </row>
    <row r="1805" spans="1:21" x14ac:dyDescent="0.25">
      <c r="A1805" s="4">
        <v>46134.694861111115</v>
      </c>
      <c r="B1805" s="5" t="s">
        <v>19</v>
      </c>
      <c r="C1805" s="5" t="s">
        <v>37</v>
      </c>
      <c r="D1805" s="5">
        <v>235</v>
      </c>
      <c r="E1805" s="6">
        <v>20816553000124</v>
      </c>
      <c r="F1805" s="5">
        <v>235</v>
      </c>
      <c r="G1805" s="7">
        <v>177688683682381</v>
      </c>
      <c r="H1805" s="5" t="s">
        <v>429</v>
      </c>
      <c r="I1805" s="5">
        <v>3003</v>
      </c>
      <c r="J1805" s="5" t="s">
        <v>22</v>
      </c>
      <c r="K1805" s="5" t="s">
        <v>23</v>
      </c>
      <c r="L1805" s="5" t="s">
        <v>31</v>
      </c>
      <c r="M1805" s="5" t="s">
        <v>284</v>
      </c>
      <c r="N1805" s="5" t="s">
        <v>53</v>
      </c>
      <c r="O1805" s="5">
        <v>128</v>
      </c>
      <c r="P1805" s="5"/>
      <c r="Q1805" s="5"/>
      <c r="R1805" s="8">
        <v>8.1018518518518516E-5</v>
      </c>
      <c r="S1805" s="5" t="s">
        <v>37</v>
      </c>
      <c r="T1805" t="str">
        <f>IF(Tabela1[[#This Row],[STATUS_NEGOCIO]]="Enviar E-mail",1,"")</f>
        <v/>
      </c>
      <c r="U1805" t="str">
        <f>TEXT(Tabela1[[#This Row],[DATA]],"dd/mm/aaaa")</f>
        <v>22/04/2026</v>
      </c>
    </row>
    <row r="1806" spans="1:21" x14ac:dyDescent="0.25">
      <c r="A1806" s="4">
        <v>46134.694861111115</v>
      </c>
      <c r="B1806" s="5" t="s">
        <v>19</v>
      </c>
      <c r="C1806" s="5" t="s">
        <v>37</v>
      </c>
      <c r="D1806" s="5">
        <v>236</v>
      </c>
      <c r="E1806" s="6">
        <v>20843735000194</v>
      </c>
      <c r="F1806" s="5">
        <v>236</v>
      </c>
      <c r="G1806" s="7">
        <v>177688683682391</v>
      </c>
      <c r="H1806" s="5" t="s">
        <v>430</v>
      </c>
      <c r="I1806" s="5" t="s">
        <v>52</v>
      </c>
      <c r="J1806" s="5" t="s">
        <v>22</v>
      </c>
      <c r="K1806" s="5" t="s">
        <v>36</v>
      </c>
      <c r="L1806" s="5" t="s">
        <v>36</v>
      </c>
      <c r="M1806" s="5" t="s">
        <v>284</v>
      </c>
      <c r="N1806" s="5" t="s">
        <v>53</v>
      </c>
      <c r="O1806" s="5">
        <v>1</v>
      </c>
      <c r="P1806" s="5"/>
      <c r="Q1806" s="5"/>
      <c r="R1806" s="8">
        <v>0</v>
      </c>
      <c r="S1806" s="5" t="s">
        <v>37</v>
      </c>
      <c r="T1806" t="str">
        <f>IF(Tabela1[[#This Row],[STATUS_NEGOCIO]]="Enviar E-mail",1,"")</f>
        <v/>
      </c>
      <c r="U1806" t="str">
        <f>TEXT(Tabela1[[#This Row],[DATA]],"dd/mm/aaaa")</f>
        <v>22/04/2026</v>
      </c>
    </row>
    <row r="1807" spans="1:21" x14ac:dyDescent="0.25">
      <c r="A1807" s="4">
        <v>46134.694861111115</v>
      </c>
      <c r="B1807" s="5" t="s">
        <v>19</v>
      </c>
      <c r="C1807" s="5" t="s">
        <v>37</v>
      </c>
      <c r="D1807" s="5">
        <v>240</v>
      </c>
      <c r="E1807" s="6">
        <v>21108715000132</v>
      </c>
      <c r="F1807" s="5">
        <v>240</v>
      </c>
      <c r="G1807" s="7">
        <v>177688683682401</v>
      </c>
      <c r="H1807" s="5" t="s">
        <v>28</v>
      </c>
      <c r="I1807" s="5">
        <v>3003</v>
      </c>
      <c r="J1807" s="5" t="s">
        <v>22</v>
      </c>
      <c r="K1807" s="5" t="s">
        <v>23</v>
      </c>
      <c r="L1807" s="5" t="s">
        <v>31</v>
      </c>
      <c r="M1807" s="5" t="s">
        <v>284</v>
      </c>
      <c r="N1807" s="5" t="s">
        <v>53</v>
      </c>
      <c r="O1807" s="5">
        <v>131</v>
      </c>
      <c r="P1807" s="5"/>
      <c r="Q1807" s="5"/>
      <c r="R1807" s="8">
        <v>0</v>
      </c>
      <c r="S1807" s="5" t="s">
        <v>37</v>
      </c>
      <c r="T1807" t="str">
        <f>IF(Tabela1[[#This Row],[STATUS_NEGOCIO]]="Enviar E-mail",1,"")</f>
        <v/>
      </c>
      <c r="U1807" t="str">
        <f>TEXT(Tabela1[[#This Row],[DATA]],"dd/mm/aaaa")</f>
        <v>22/04/2026</v>
      </c>
    </row>
    <row r="1808" spans="1:21" x14ac:dyDescent="0.25">
      <c r="A1808" s="4">
        <v>46134.694895833331</v>
      </c>
      <c r="B1808" s="5" t="s">
        <v>19</v>
      </c>
      <c r="C1808" s="5" t="s">
        <v>37</v>
      </c>
      <c r="D1808" s="5">
        <v>241</v>
      </c>
      <c r="E1808" s="6">
        <v>21147409000105</v>
      </c>
      <c r="F1808" s="5">
        <v>241</v>
      </c>
      <c r="G1808" s="7">
        <v>177688683982421</v>
      </c>
      <c r="H1808" s="5" t="s">
        <v>433</v>
      </c>
      <c r="I1808" s="5">
        <v>3003</v>
      </c>
      <c r="J1808" s="5" t="s">
        <v>22</v>
      </c>
      <c r="K1808" s="5" t="s">
        <v>23</v>
      </c>
      <c r="L1808" s="5" t="s">
        <v>31</v>
      </c>
      <c r="M1808" s="5" t="s">
        <v>284</v>
      </c>
      <c r="N1808" s="5" t="s">
        <v>53</v>
      </c>
      <c r="O1808" s="5">
        <v>128</v>
      </c>
      <c r="P1808" s="5"/>
      <c r="Q1808" s="5"/>
      <c r="R1808" s="8">
        <v>8.1018518518518516E-5</v>
      </c>
      <c r="S1808" s="5" t="s">
        <v>37</v>
      </c>
      <c r="T1808" t="str">
        <f>IF(Tabela1[[#This Row],[STATUS_NEGOCIO]]="Enviar E-mail",1,"")</f>
        <v/>
      </c>
      <c r="U1808" t="str">
        <f>TEXT(Tabela1[[#This Row],[DATA]],"dd/mm/aaaa")</f>
        <v>22/04/2026</v>
      </c>
    </row>
    <row r="1809" spans="1:21" x14ac:dyDescent="0.25">
      <c r="A1809" s="4">
        <v>46134.695011574076</v>
      </c>
      <c r="B1809" s="5" t="s">
        <v>19</v>
      </c>
      <c r="C1809" s="5" t="s">
        <v>37</v>
      </c>
      <c r="D1809" s="5">
        <v>242</v>
      </c>
      <c r="E1809" s="6">
        <v>21466995000150</v>
      </c>
      <c r="F1809" s="5">
        <v>242</v>
      </c>
      <c r="G1809" s="7">
        <v>177688684982511</v>
      </c>
      <c r="H1809" s="5" t="s">
        <v>434</v>
      </c>
      <c r="I1809" s="5">
        <v>3003</v>
      </c>
      <c r="J1809" s="5" t="s">
        <v>22</v>
      </c>
      <c r="K1809" s="5" t="s">
        <v>23</v>
      </c>
      <c r="L1809" s="5" t="s">
        <v>31</v>
      </c>
      <c r="M1809" s="5" t="s">
        <v>284</v>
      </c>
      <c r="N1809" s="5" t="s">
        <v>53</v>
      </c>
      <c r="O1809" s="5">
        <v>128</v>
      </c>
      <c r="P1809" s="5"/>
      <c r="Q1809" s="5"/>
      <c r="R1809" s="8">
        <v>8.1018518518518516E-5</v>
      </c>
      <c r="S1809" s="5" t="s">
        <v>37</v>
      </c>
      <c r="T1809" t="str">
        <f>IF(Tabela1[[#This Row],[STATUS_NEGOCIO]]="Enviar E-mail",1,"")</f>
        <v/>
      </c>
      <c r="U1809" t="str">
        <f>TEXT(Tabela1[[#This Row],[DATA]],"dd/mm/aaaa")</f>
        <v>22/04/2026</v>
      </c>
    </row>
    <row r="1810" spans="1:21" x14ac:dyDescent="0.25">
      <c r="A1810" s="4">
        <v>46134.695011574076</v>
      </c>
      <c r="B1810" s="5" t="s">
        <v>19</v>
      </c>
      <c r="C1810" s="5" t="s">
        <v>37</v>
      </c>
      <c r="D1810" s="5">
        <v>243</v>
      </c>
      <c r="E1810" s="6">
        <v>21511926000111</v>
      </c>
      <c r="F1810" s="5">
        <v>243</v>
      </c>
      <c r="G1810" s="7">
        <v>177688684982521</v>
      </c>
      <c r="H1810" s="5" t="s">
        <v>122</v>
      </c>
      <c r="I1810" s="5">
        <v>3003</v>
      </c>
      <c r="J1810" s="5" t="s">
        <v>22</v>
      </c>
      <c r="K1810" s="5" t="s">
        <v>23</v>
      </c>
      <c r="L1810" s="5" t="s">
        <v>31</v>
      </c>
      <c r="M1810" s="5" t="s">
        <v>284</v>
      </c>
      <c r="N1810" s="5" t="s">
        <v>53</v>
      </c>
      <c r="O1810" s="5">
        <v>147</v>
      </c>
      <c r="P1810" s="5"/>
      <c r="Q1810" s="5"/>
      <c r="R1810" s="8">
        <v>8.1018518518518516E-5</v>
      </c>
      <c r="S1810" s="5" t="s">
        <v>37</v>
      </c>
      <c r="T1810" t="str">
        <f>IF(Tabela1[[#This Row],[STATUS_NEGOCIO]]="Enviar E-mail",1,"")</f>
        <v/>
      </c>
      <c r="U1810" t="str">
        <f>TEXT(Tabela1[[#This Row],[DATA]],"dd/mm/aaaa")</f>
        <v>22/04/2026</v>
      </c>
    </row>
    <row r="1811" spans="1:21" x14ac:dyDescent="0.25">
      <c r="A1811" s="4">
        <v>46134.695081018515</v>
      </c>
      <c r="B1811" s="5" t="s">
        <v>19</v>
      </c>
      <c r="C1811" s="5" t="s">
        <v>37</v>
      </c>
      <c r="D1811" s="5">
        <v>246</v>
      </c>
      <c r="E1811" s="6">
        <v>21918143000157</v>
      </c>
      <c r="F1811" s="5">
        <v>246</v>
      </c>
      <c r="G1811" s="7">
        <v>177688685582571</v>
      </c>
      <c r="H1811" s="5" t="s">
        <v>361</v>
      </c>
      <c r="I1811" s="5">
        <v>3003</v>
      </c>
      <c r="J1811" s="5" t="s">
        <v>22</v>
      </c>
      <c r="K1811" s="5" t="s">
        <v>23</v>
      </c>
      <c r="L1811" s="5" t="s">
        <v>31</v>
      </c>
      <c r="M1811" s="5" t="s">
        <v>284</v>
      </c>
      <c r="N1811" s="5" t="s">
        <v>53</v>
      </c>
      <c r="O1811" s="5">
        <v>128</v>
      </c>
      <c r="P1811" s="5"/>
      <c r="Q1811" s="5"/>
      <c r="R1811" s="8">
        <v>8.1018518518518516E-5</v>
      </c>
      <c r="S1811" s="5" t="s">
        <v>37</v>
      </c>
      <c r="T1811" t="str">
        <f>IF(Tabela1[[#This Row],[STATUS_NEGOCIO]]="Enviar E-mail",1,"")</f>
        <v/>
      </c>
      <c r="U1811" t="str">
        <f>TEXT(Tabela1[[#This Row],[DATA]],"dd/mm/aaaa")</f>
        <v>22/04/2026</v>
      </c>
    </row>
    <row r="1812" spans="1:21" x14ac:dyDescent="0.25">
      <c r="A1812" s="4">
        <v>46134.695185185185</v>
      </c>
      <c r="B1812" s="5" t="s">
        <v>19</v>
      </c>
      <c r="C1812" s="5" t="s">
        <v>37</v>
      </c>
      <c r="D1812" s="5">
        <v>247</v>
      </c>
      <c r="E1812" s="6">
        <v>21934634000191</v>
      </c>
      <c r="F1812" s="5">
        <v>247</v>
      </c>
      <c r="G1812" s="7">
        <v>177688686482621</v>
      </c>
      <c r="H1812" s="5" t="s">
        <v>436</v>
      </c>
      <c r="I1812" s="5">
        <v>3003</v>
      </c>
      <c r="J1812" s="5" t="s">
        <v>22</v>
      </c>
      <c r="K1812" s="5" t="s">
        <v>23</v>
      </c>
      <c r="L1812" s="5" t="s">
        <v>31</v>
      </c>
      <c r="M1812" s="5" t="s">
        <v>284</v>
      </c>
      <c r="N1812" s="5" t="s">
        <v>53</v>
      </c>
      <c r="O1812" s="5">
        <v>128</v>
      </c>
      <c r="P1812" s="5"/>
      <c r="Q1812" s="5"/>
      <c r="R1812" s="8">
        <v>8.1018518518518516E-5</v>
      </c>
      <c r="S1812" s="5" t="s">
        <v>37</v>
      </c>
      <c r="T1812" t="str">
        <f>IF(Tabela1[[#This Row],[STATUS_NEGOCIO]]="Enviar E-mail",1,"")</f>
        <v/>
      </c>
      <c r="U1812" t="str">
        <f>TEXT(Tabela1[[#This Row],[DATA]],"dd/mm/aaaa")</f>
        <v>22/04/2026</v>
      </c>
    </row>
    <row r="1813" spans="1:21" x14ac:dyDescent="0.25">
      <c r="A1813" s="4">
        <v>46134.695185185185</v>
      </c>
      <c r="B1813" s="5" t="s">
        <v>19</v>
      </c>
      <c r="C1813" s="5" t="s">
        <v>37</v>
      </c>
      <c r="D1813" s="5">
        <v>248</v>
      </c>
      <c r="E1813" s="6">
        <v>22122960000167</v>
      </c>
      <c r="F1813" s="5">
        <v>248</v>
      </c>
      <c r="G1813" s="7">
        <v>177688686482651</v>
      </c>
      <c r="H1813" s="5" t="s">
        <v>437</v>
      </c>
      <c r="I1813" s="5">
        <v>3003</v>
      </c>
      <c r="J1813" s="5" t="s">
        <v>22</v>
      </c>
      <c r="K1813" s="5" t="s">
        <v>23</v>
      </c>
      <c r="L1813" s="5" t="s">
        <v>31</v>
      </c>
      <c r="M1813" s="5" t="s">
        <v>284</v>
      </c>
      <c r="N1813" s="5" t="s">
        <v>53</v>
      </c>
      <c r="O1813" s="5">
        <v>128</v>
      </c>
      <c r="P1813" s="5"/>
      <c r="Q1813" s="5"/>
      <c r="R1813" s="8">
        <v>8.1018518518518516E-5</v>
      </c>
      <c r="S1813" s="5" t="s">
        <v>37</v>
      </c>
      <c r="T1813" t="str">
        <f>IF(Tabela1[[#This Row],[STATUS_NEGOCIO]]="Enviar E-mail",1,"")</f>
        <v/>
      </c>
      <c r="U1813" t="str">
        <f>TEXT(Tabela1[[#This Row],[DATA]],"dd/mm/aaaa")</f>
        <v>22/04/2026</v>
      </c>
    </row>
    <row r="1814" spans="1:21" x14ac:dyDescent="0.25">
      <c r="A1814" s="4">
        <v>46134.695185185185</v>
      </c>
      <c r="B1814" s="5" t="s">
        <v>19</v>
      </c>
      <c r="C1814" s="5" t="s">
        <v>37</v>
      </c>
      <c r="D1814" s="5">
        <v>249</v>
      </c>
      <c r="E1814" s="6">
        <v>22213087000118</v>
      </c>
      <c r="F1814" s="5">
        <v>249</v>
      </c>
      <c r="G1814" s="7">
        <v>177688686482661</v>
      </c>
      <c r="H1814" s="5" t="s">
        <v>438</v>
      </c>
      <c r="I1814" s="5">
        <v>3003</v>
      </c>
      <c r="J1814" s="5" t="s">
        <v>22</v>
      </c>
      <c r="K1814" s="5" t="s">
        <v>23</v>
      </c>
      <c r="L1814" s="5" t="s">
        <v>31</v>
      </c>
      <c r="M1814" s="5" t="s">
        <v>284</v>
      </c>
      <c r="N1814" s="5" t="s">
        <v>53</v>
      </c>
      <c r="O1814" s="5">
        <v>128</v>
      </c>
      <c r="P1814" s="5"/>
      <c r="Q1814" s="5"/>
      <c r="R1814" s="8">
        <v>8.1018518518518516E-5</v>
      </c>
      <c r="S1814" s="5" t="s">
        <v>37</v>
      </c>
      <c r="T1814" t="str">
        <f>IF(Tabela1[[#This Row],[STATUS_NEGOCIO]]="Enviar E-mail",1,"")</f>
        <v/>
      </c>
      <c r="U1814" t="str">
        <f>TEXT(Tabela1[[#This Row],[DATA]],"dd/mm/aaaa")</f>
        <v>22/04/2026</v>
      </c>
    </row>
    <row r="1815" spans="1:21" x14ac:dyDescent="0.25">
      <c r="A1815" s="4">
        <v>46134.695196759261</v>
      </c>
      <c r="B1815" s="5" t="s">
        <v>19</v>
      </c>
      <c r="C1815" s="5" t="s">
        <v>37</v>
      </c>
      <c r="D1815" s="5">
        <v>252</v>
      </c>
      <c r="E1815" s="6">
        <v>22843195000174</v>
      </c>
      <c r="F1815" s="5">
        <v>252</v>
      </c>
      <c r="G1815" s="7">
        <v>177688686582681</v>
      </c>
      <c r="H1815" s="5" t="s">
        <v>160</v>
      </c>
      <c r="I1815" s="5">
        <v>3003</v>
      </c>
      <c r="J1815" s="5" t="s">
        <v>22</v>
      </c>
      <c r="K1815" s="5" t="s">
        <v>23</v>
      </c>
      <c r="L1815" s="5" t="s">
        <v>31</v>
      </c>
      <c r="M1815" s="5" t="s">
        <v>284</v>
      </c>
      <c r="N1815" s="5" t="s">
        <v>53</v>
      </c>
      <c r="O1815" s="5">
        <v>128</v>
      </c>
      <c r="P1815" s="5"/>
      <c r="Q1815" s="5"/>
      <c r="R1815" s="8">
        <v>8.1018518518518516E-5</v>
      </c>
      <c r="S1815" s="5" t="s">
        <v>37</v>
      </c>
      <c r="T1815" t="str">
        <f>IF(Tabela1[[#This Row],[STATUS_NEGOCIO]]="Enviar E-mail",1,"")</f>
        <v/>
      </c>
      <c r="U1815" t="str">
        <f>TEXT(Tabela1[[#This Row],[DATA]],"dd/mm/aaaa")</f>
        <v>22/04/2026</v>
      </c>
    </row>
    <row r="1816" spans="1:21" x14ac:dyDescent="0.25">
      <c r="A1816" s="4">
        <v>46134.695219907408</v>
      </c>
      <c r="B1816" s="5" t="s">
        <v>19</v>
      </c>
      <c r="C1816" s="5" t="s">
        <v>37</v>
      </c>
      <c r="D1816" s="5">
        <v>254</v>
      </c>
      <c r="E1816" s="6">
        <v>23054134000190</v>
      </c>
      <c r="F1816" s="5">
        <v>254</v>
      </c>
      <c r="G1816" s="7">
        <v>177688686782701</v>
      </c>
      <c r="H1816" s="5" t="s">
        <v>441</v>
      </c>
      <c r="I1816" s="5">
        <v>3003</v>
      </c>
      <c r="J1816" s="5" t="s">
        <v>22</v>
      </c>
      <c r="K1816" s="5" t="s">
        <v>23</v>
      </c>
      <c r="L1816" s="5" t="s">
        <v>31</v>
      </c>
      <c r="M1816" s="5" t="s">
        <v>284</v>
      </c>
      <c r="N1816" s="5" t="s">
        <v>53</v>
      </c>
      <c r="O1816" s="5">
        <v>128</v>
      </c>
      <c r="P1816" s="5"/>
      <c r="Q1816" s="5"/>
      <c r="R1816" s="8">
        <v>8.1018518518518516E-5</v>
      </c>
      <c r="S1816" s="5" t="s">
        <v>37</v>
      </c>
      <c r="T1816" t="str">
        <f>IF(Tabela1[[#This Row],[STATUS_NEGOCIO]]="Enviar E-mail",1,"")</f>
        <v/>
      </c>
      <c r="U1816" t="str">
        <f>TEXT(Tabela1[[#This Row],[DATA]],"dd/mm/aaaa")</f>
        <v>22/04/2026</v>
      </c>
    </row>
    <row r="1817" spans="1:21" x14ac:dyDescent="0.25">
      <c r="A1817" s="4">
        <v>46134.695231481484</v>
      </c>
      <c r="B1817" s="5" t="s">
        <v>19</v>
      </c>
      <c r="C1817" s="5" t="s">
        <v>37</v>
      </c>
      <c r="D1817" s="5">
        <v>255</v>
      </c>
      <c r="E1817" s="6">
        <v>23108884000106</v>
      </c>
      <c r="F1817" s="5">
        <v>255</v>
      </c>
      <c r="G1817" s="7">
        <v>177688686882721</v>
      </c>
      <c r="H1817" s="5" t="s">
        <v>442</v>
      </c>
      <c r="I1817" s="5">
        <v>3003</v>
      </c>
      <c r="J1817" s="5" t="s">
        <v>22</v>
      </c>
      <c r="K1817" s="5" t="s">
        <v>23</v>
      </c>
      <c r="L1817" s="5" t="s">
        <v>31</v>
      </c>
      <c r="M1817" s="5" t="s">
        <v>284</v>
      </c>
      <c r="N1817" s="5" t="s">
        <v>53</v>
      </c>
      <c r="O1817" s="5">
        <v>128</v>
      </c>
      <c r="P1817" s="5"/>
      <c r="Q1817" s="5"/>
      <c r="R1817" s="8">
        <v>6.9444444444444444E-5</v>
      </c>
      <c r="S1817" s="5" t="s">
        <v>37</v>
      </c>
      <c r="T1817" t="str">
        <f>IF(Tabela1[[#This Row],[STATUS_NEGOCIO]]="Enviar E-mail",1,"")</f>
        <v/>
      </c>
      <c r="U1817" t="str">
        <f>TEXT(Tabela1[[#This Row],[DATA]],"dd/mm/aaaa")</f>
        <v>22/04/2026</v>
      </c>
    </row>
    <row r="1818" spans="1:21" x14ac:dyDescent="0.25">
      <c r="A1818" s="4">
        <v>46134.695300925923</v>
      </c>
      <c r="B1818" s="5" t="s">
        <v>19</v>
      </c>
      <c r="C1818" s="5" t="s">
        <v>37</v>
      </c>
      <c r="D1818" s="5">
        <v>256</v>
      </c>
      <c r="E1818" s="6">
        <v>23277156000110</v>
      </c>
      <c r="F1818" s="5">
        <v>256</v>
      </c>
      <c r="G1818" s="7">
        <v>177688687482781</v>
      </c>
      <c r="H1818" s="5" t="s">
        <v>443</v>
      </c>
      <c r="I1818" s="5">
        <v>3003</v>
      </c>
      <c r="J1818" s="5" t="s">
        <v>22</v>
      </c>
      <c r="K1818" s="5" t="s">
        <v>23</v>
      </c>
      <c r="L1818" s="5" t="s">
        <v>31</v>
      </c>
      <c r="M1818" s="5" t="s">
        <v>284</v>
      </c>
      <c r="N1818" s="5" t="s">
        <v>53</v>
      </c>
      <c r="O1818" s="5">
        <v>128</v>
      </c>
      <c r="P1818" s="5"/>
      <c r="Q1818" s="5"/>
      <c r="R1818" s="8">
        <v>8.1018518518518516E-5</v>
      </c>
      <c r="S1818" s="5" t="s">
        <v>37</v>
      </c>
      <c r="T1818" t="str">
        <f>IF(Tabela1[[#This Row],[STATUS_NEGOCIO]]="Enviar E-mail",1,"")</f>
        <v/>
      </c>
      <c r="U1818" t="str">
        <f>TEXT(Tabela1[[#This Row],[DATA]],"dd/mm/aaaa")</f>
        <v>22/04/2026</v>
      </c>
    </row>
    <row r="1819" spans="1:21" x14ac:dyDescent="0.25">
      <c r="A1819" s="4">
        <v>46134.695347222223</v>
      </c>
      <c r="B1819" s="5" t="s">
        <v>19</v>
      </c>
      <c r="C1819" s="5" t="s">
        <v>37</v>
      </c>
      <c r="D1819" s="5">
        <v>258</v>
      </c>
      <c r="E1819" s="6">
        <v>23391798000145</v>
      </c>
      <c r="F1819" s="5">
        <v>258</v>
      </c>
      <c r="G1819" s="7">
        <v>177688687882801</v>
      </c>
      <c r="H1819" s="5" t="s">
        <v>221</v>
      </c>
      <c r="I1819" s="5">
        <v>3003</v>
      </c>
      <c r="J1819" s="5" t="s">
        <v>22</v>
      </c>
      <c r="K1819" s="5" t="s">
        <v>23</v>
      </c>
      <c r="L1819" s="5" t="s">
        <v>31</v>
      </c>
      <c r="M1819" s="5" t="s">
        <v>284</v>
      </c>
      <c r="N1819" s="5" t="s">
        <v>53</v>
      </c>
      <c r="O1819" s="5">
        <v>147</v>
      </c>
      <c r="P1819" s="5"/>
      <c r="Q1819" s="5"/>
      <c r="R1819" s="8">
        <v>8.1018518518518516E-5</v>
      </c>
      <c r="S1819" s="5" t="s">
        <v>37</v>
      </c>
      <c r="T1819" t="str">
        <f>IF(Tabela1[[#This Row],[STATUS_NEGOCIO]]="Enviar E-mail",1,"")</f>
        <v/>
      </c>
      <c r="U1819" t="str">
        <f>TEXT(Tabela1[[#This Row],[DATA]],"dd/mm/aaaa")</f>
        <v>22/04/2026</v>
      </c>
    </row>
    <row r="1820" spans="1:21" x14ac:dyDescent="0.25">
      <c r="A1820" s="4">
        <v>46134.695428240739</v>
      </c>
      <c r="B1820" s="5" t="s">
        <v>19</v>
      </c>
      <c r="C1820" s="5" t="s">
        <v>37</v>
      </c>
      <c r="D1820" s="5">
        <v>259</v>
      </c>
      <c r="E1820" s="6">
        <v>23628802000146</v>
      </c>
      <c r="F1820" s="5">
        <v>259</v>
      </c>
      <c r="G1820" s="7">
        <v>177688688582821</v>
      </c>
      <c r="H1820" s="5" t="s">
        <v>245</v>
      </c>
      <c r="I1820" s="5">
        <v>3003</v>
      </c>
      <c r="J1820" s="5" t="s">
        <v>22</v>
      </c>
      <c r="K1820" s="5" t="s">
        <v>23</v>
      </c>
      <c r="L1820" s="5" t="s">
        <v>31</v>
      </c>
      <c r="M1820" s="5" t="s">
        <v>284</v>
      </c>
      <c r="N1820" s="5" t="s">
        <v>53</v>
      </c>
      <c r="O1820" s="5">
        <v>128</v>
      </c>
      <c r="P1820" s="5"/>
      <c r="Q1820" s="5"/>
      <c r="R1820" s="8">
        <v>6.9444444444444444E-5</v>
      </c>
      <c r="S1820" s="5" t="s">
        <v>37</v>
      </c>
      <c r="T1820" t="str">
        <f>IF(Tabela1[[#This Row],[STATUS_NEGOCIO]]="Enviar E-mail",1,"")</f>
        <v/>
      </c>
      <c r="U1820" t="str">
        <f>TEXT(Tabela1[[#This Row],[DATA]],"dd/mm/aaaa")</f>
        <v>22/04/2026</v>
      </c>
    </row>
    <row r="1821" spans="1:21" x14ac:dyDescent="0.25">
      <c r="A1821" s="4">
        <v>46134.695428240739</v>
      </c>
      <c r="B1821" s="5" t="s">
        <v>19</v>
      </c>
      <c r="C1821" s="5" t="s">
        <v>37</v>
      </c>
      <c r="D1821" s="5">
        <v>260</v>
      </c>
      <c r="E1821" s="6">
        <v>23836838000115</v>
      </c>
      <c r="F1821" s="5">
        <v>260</v>
      </c>
      <c r="G1821" s="7">
        <v>177688688582851</v>
      </c>
      <c r="H1821" s="5" t="s">
        <v>164</v>
      </c>
      <c r="I1821" s="5">
        <v>3003</v>
      </c>
      <c r="J1821" s="5" t="s">
        <v>22</v>
      </c>
      <c r="K1821" s="5" t="s">
        <v>23</v>
      </c>
      <c r="L1821" s="5" t="s">
        <v>31</v>
      </c>
      <c r="M1821" s="5" t="s">
        <v>284</v>
      </c>
      <c r="N1821" s="5" t="s">
        <v>53</v>
      </c>
      <c r="O1821" s="5">
        <v>128</v>
      </c>
      <c r="P1821" s="5"/>
      <c r="Q1821" s="5"/>
      <c r="R1821" s="8">
        <v>8.1018518518518516E-5</v>
      </c>
      <c r="S1821" s="5" t="s">
        <v>37</v>
      </c>
      <c r="T1821" t="str">
        <f>IF(Tabela1[[#This Row],[STATUS_NEGOCIO]]="Enviar E-mail",1,"")</f>
        <v/>
      </c>
      <c r="U1821" t="str">
        <f>TEXT(Tabela1[[#This Row],[DATA]],"dd/mm/aaaa")</f>
        <v>22/04/2026</v>
      </c>
    </row>
    <row r="1822" spans="1:21" x14ac:dyDescent="0.25">
      <c r="A1822" s="4">
        <v>46134.695428240739</v>
      </c>
      <c r="B1822" s="5" t="s">
        <v>19</v>
      </c>
      <c r="C1822" s="5" t="s">
        <v>37</v>
      </c>
      <c r="D1822" s="5">
        <v>261</v>
      </c>
      <c r="E1822" s="6">
        <v>23884500000139</v>
      </c>
      <c r="F1822" s="5">
        <v>261</v>
      </c>
      <c r="G1822" s="7">
        <v>177688688582871</v>
      </c>
      <c r="H1822" s="5" t="s">
        <v>47</v>
      </c>
      <c r="I1822" s="5">
        <v>3003</v>
      </c>
      <c r="J1822" s="5" t="s">
        <v>22</v>
      </c>
      <c r="K1822" s="5" t="s">
        <v>23</v>
      </c>
      <c r="L1822" s="5" t="s">
        <v>31</v>
      </c>
      <c r="M1822" s="5" t="s">
        <v>284</v>
      </c>
      <c r="N1822" s="5" t="s">
        <v>53</v>
      </c>
      <c r="O1822" s="5">
        <v>128</v>
      </c>
      <c r="P1822" s="5"/>
      <c r="Q1822" s="5"/>
      <c r="R1822" s="8">
        <v>8.1018518518518516E-5</v>
      </c>
      <c r="S1822" s="5" t="s">
        <v>37</v>
      </c>
      <c r="T1822" t="str">
        <f>IF(Tabela1[[#This Row],[STATUS_NEGOCIO]]="Enviar E-mail",1,"")</f>
        <v/>
      </c>
      <c r="U1822" t="str">
        <f>TEXT(Tabela1[[#This Row],[DATA]],"dd/mm/aaaa")</f>
        <v>22/04/2026</v>
      </c>
    </row>
    <row r="1823" spans="1:21" x14ac:dyDescent="0.25">
      <c r="A1823" s="4">
        <v>46134.695474537039</v>
      </c>
      <c r="B1823" s="5" t="s">
        <v>19</v>
      </c>
      <c r="C1823" s="5" t="s">
        <v>37</v>
      </c>
      <c r="D1823" s="5">
        <v>262</v>
      </c>
      <c r="E1823" s="6">
        <v>24021427000134</v>
      </c>
      <c r="F1823" s="5">
        <v>262</v>
      </c>
      <c r="G1823" s="7">
        <v>177688688982941</v>
      </c>
      <c r="H1823" s="5" t="s">
        <v>444</v>
      </c>
      <c r="I1823" s="5">
        <v>3003</v>
      </c>
      <c r="J1823" s="5" t="s">
        <v>22</v>
      </c>
      <c r="K1823" s="5" t="s">
        <v>23</v>
      </c>
      <c r="L1823" s="5" t="s">
        <v>31</v>
      </c>
      <c r="M1823" s="5" t="s">
        <v>284</v>
      </c>
      <c r="N1823" s="5" t="s">
        <v>53</v>
      </c>
      <c r="O1823" s="5">
        <v>128</v>
      </c>
      <c r="P1823" s="5"/>
      <c r="Q1823" s="5"/>
      <c r="R1823" s="8">
        <v>8.1018518518518516E-5</v>
      </c>
      <c r="S1823" s="5" t="s">
        <v>37</v>
      </c>
      <c r="T1823" t="str">
        <f>IF(Tabela1[[#This Row],[STATUS_NEGOCIO]]="Enviar E-mail",1,"")</f>
        <v/>
      </c>
      <c r="U1823" t="str">
        <f>TEXT(Tabela1[[#This Row],[DATA]],"dd/mm/aaaa")</f>
        <v>22/04/2026</v>
      </c>
    </row>
    <row r="1824" spans="1:21" x14ac:dyDescent="0.25">
      <c r="A1824" s="4">
        <v>46134.695543981485</v>
      </c>
      <c r="B1824" s="5" t="s">
        <v>19</v>
      </c>
      <c r="C1824" s="5" t="s">
        <v>37</v>
      </c>
      <c r="D1824" s="5">
        <v>263</v>
      </c>
      <c r="E1824" s="6">
        <v>24265410000122</v>
      </c>
      <c r="F1824" s="5">
        <v>263</v>
      </c>
      <c r="G1824" s="7">
        <v>177688689583061</v>
      </c>
      <c r="H1824" s="5" t="s">
        <v>55</v>
      </c>
      <c r="I1824" s="5">
        <v>3003</v>
      </c>
      <c r="J1824" s="5" t="s">
        <v>22</v>
      </c>
      <c r="K1824" s="5" t="s">
        <v>23</v>
      </c>
      <c r="L1824" s="5" t="s">
        <v>31</v>
      </c>
      <c r="M1824" s="5" t="s">
        <v>284</v>
      </c>
      <c r="N1824" s="5" t="s">
        <v>53</v>
      </c>
      <c r="O1824" s="5">
        <v>128</v>
      </c>
      <c r="P1824" s="5"/>
      <c r="Q1824" s="5"/>
      <c r="R1824" s="8">
        <v>8.1018518518518516E-5</v>
      </c>
      <c r="S1824" s="5" t="s">
        <v>37</v>
      </c>
      <c r="T1824" t="str">
        <f>IF(Tabela1[[#This Row],[STATUS_NEGOCIO]]="Enviar E-mail",1,"")</f>
        <v/>
      </c>
      <c r="U1824" t="str">
        <f>TEXT(Tabela1[[#This Row],[DATA]],"dd/mm/aaaa")</f>
        <v>22/04/2026</v>
      </c>
    </row>
    <row r="1825" spans="1:21" x14ac:dyDescent="0.25">
      <c r="A1825" s="4">
        <v>46134.695590277777</v>
      </c>
      <c r="B1825" s="5" t="s">
        <v>19</v>
      </c>
      <c r="C1825" s="5" t="s">
        <v>37</v>
      </c>
      <c r="D1825" s="5">
        <v>264</v>
      </c>
      <c r="E1825" s="6">
        <v>24323383000105</v>
      </c>
      <c r="F1825" s="5">
        <v>264</v>
      </c>
      <c r="G1825" s="7">
        <v>177688689983081</v>
      </c>
      <c r="H1825" s="5" t="s">
        <v>271</v>
      </c>
      <c r="I1825" s="5">
        <v>3003</v>
      </c>
      <c r="J1825" s="5" t="s">
        <v>22</v>
      </c>
      <c r="K1825" s="5" t="s">
        <v>23</v>
      </c>
      <c r="L1825" s="5" t="s">
        <v>31</v>
      </c>
      <c r="M1825" s="5" t="s">
        <v>284</v>
      </c>
      <c r="N1825" s="5" t="s">
        <v>53</v>
      </c>
      <c r="O1825" s="5">
        <v>128</v>
      </c>
      <c r="P1825" s="5"/>
      <c r="Q1825" s="5"/>
      <c r="R1825" s="8">
        <v>8.1018518518518516E-5</v>
      </c>
      <c r="S1825" s="5" t="s">
        <v>37</v>
      </c>
      <c r="T1825" t="str">
        <f>IF(Tabela1[[#This Row],[STATUS_NEGOCIO]]="Enviar E-mail",1,"")</f>
        <v/>
      </c>
      <c r="U1825" t="str">
        <f>TEXT(Tabela1[[#This Row],[DATA]],"dd/mm/aaaa")</f>
        <v>22/04/2026</v>
      </c>
    </row>
    <row r="1826" spans="1:21" x14ac:dyDescent="0.25">
      <c r="A1826" s="4">
        <v>46134.695717592593</v>
      </c>
      <c r="B1826" s="5" t="s">
        <v>19</v>
      </c>
      <c r="C1826" s="5" t="s">
        <v>37</v>
      </c>
      <c r="D1826" s="5">
        <v>265</v>
      </c>
      <c r="E1826" s="6">
        <v>24373917000108</v>
      </c>
      <c r="F1826" s="5">
        <v>265</v>
      </c>
      <c r="G1826" s="7">
        <v>177688691083111</v>
      </c>
      <c r="H1826" s="5" t="s">
        <v>445</v>
      </c>
      <c r="I1826" s="5">
        <v>3003</v>
      </c>
      <c r="J1826" s="5" t="s">
        <v>22</v>
      </c>
      <c r="K1826" s="5" t="s">
        <v>23</v>
      </c>
      <c r="L1826" s="5" t="s">
        <v>31</v>
      </c>
      <c r="M1826" s="5" t="s">
        <v>284</v>
      </c>
      <c r="N1826" s="5" t="s">
        <v>53</v>
      </c>
      <c r="O1826" s="5">
        <v>128</v>
      </c>
      <c r="P1826" s="5"/>
      <c r="Q1826" s="5"/>
      <c r="R1826" s="8">
        <v>8.1018518518518516E-5</v>
      </c>
      <c r="S1826" s="5" t="s">
        <v>37</v>
      </c>
      <c r="T1826" t="str">
        <f>IF(Tabela1[[#This Row],[STATUS_NEGOCIO]]="Enviar E-mail",1,"")</f>
        <v/>
      </c>
      <c r="U1826" t="str">
        <f>TEXT(Tabela1[[#This Row],[DATA]],"dd/mm/aaaa")</f>
        <v>22/04/2026</v>
      </c>
    </row>
    <row r="1827" spans="1:21" x14ac:dyDescent="0.25">
      <c r="A1827" s="4">
        <v>46134.695775462962</v>
      </c>
      <c r="B1827" s="5" t="s">
        <v>19</v>
      </c>
      <c r="C1827" s="5" t="s">
        <v>37</v>
      </c>
      <c r="D1827" s="5">
        <v>266</v>
      </c>
      <c r="E1827" s="6">
        <v>24415773000105</v>
      </c>
      <c r="F1827" s="5">
        <v>266</v>
      </c>
      <c r="G1827" s="7">
        <v>177688691583131</v>
      </c>
      <c r="H1827" s="5" t="s">
        <v>446</v>
      </c>
      <c r="I1827" s="5">
        <v>3003</v>
      </c>
      <c r="J1827" s="5" t="s">
        <v>22</v>
      </c>
      <c r="K1827" s="5" t="s">
        <v>23</v>
      </c>
      <c r="L1827" s="5" t="s">
        <v>31</v>
      </c>
      <c r="M1827" s="5" t="s">
        <v>284</v>
      </c>
      <c r="N1827" s="5" t="s">
        <v>53</v>
      </c>
      <c r="O1827" s="5">
        <v>128</v>
      </c>
      <c r="P1827" s="5"/>
      <c r="Q1827" s="5"/>
      <c r="R1827" s="8">
        <v>8.1018518518518516E-5</v>
      </c>
      <c r="S1827" s="5" t="s">
        <v>37</v>
      </c>
      <c r="T1827" t="str">
        <f>IF(Tabela1[[#This Row],[STATUS_NEGOCIO]]="Enviar E-mail",1,"")</f>
        <v/>
      </c>
      <c r="U1827" t="str">
        <f>TEXT(Tabela1[[#This Row],[DATA]],"dd/mm/aaaa")</f>
        <v>22/04/2026</v>
      </c>
    </row>
    <row r="1828" spans="1:21" x14ac:dyDescent="0.25">
      <c r="A1828" s="4">
        <v>46134.695925925924</v>
      </c>
      <c r="B1828" s="5" t="s">
        <v>19</v>
      </c>
      <c r="C1828" s="5" t="s">
        <v>37</v>
      </c>
      <c r="D1828" s="5">
        <v>267</v>
      </c>
      <c r="E1828" s="6">
        <v>24569455000190</v>
      </c>
      <c r="F1828" s="5">
        <v>267</v>
      </c>
      <c r="G1828" s="7">
        <v>177688692883161</v>
      </c>
      <c r="H1828" s="5" t="s">
        <v>447</v>
      </c>
      <c r="I1828" s="5">
        <v>3003</v>
      </c>
      <c r="J1828" s="5" t="s">
        <v>22</v>
      </c>
      <c r="K1828" s="5" t="s">
        <v>23</v>
      </c>
      <c r="L1828" s="5" t="s">
        <v>31</v>
      </c>
      <c r="M1828" s="5" t="s">
        <v>284</v>
      </c>
      <c r="N1828" s="5" t="s">
        <v>53</v>
      </c>
      <c r="O1828" s="5">
        <v>128</v>
      </c>
      <c r="P1828" s="5"/>
      <c r="Q1828" s="5"/>
      <c r="R1828" s="8">
        <v>8.1018518518518516E-5</v>
      </c>
      <c r="S1828" s="5" t="s">
        <v>37</v>
      </c>
      <c r="T1828" t="str">
        <f>IF(Tabela1[[#This Row],[STATUS_NEGOCIO]]="Enviar E-mail",1,"")</f>
        <v/>
      </c>
      <c r="U1828" t="str">
        <f>TEXT(Tabela1[[#This Row],[DATA]],"dd/mm/aaaa")</f>
        <v>22/04/2026</v>
      </c>
    </row>
    <row r="1829" spans="1:21" x14ac:dyDescent="0.25">
      <c r="A1829" s="4">
        <v>46134.695925925924</v>
      </c>
      <c r="B1829" s="5" t="s">
        <v>19</v>
      </c>
      <c r="C1829" s="5" t="s">
        <v>37</v>
      </c>
      <c r="D1829" s="5">
        <v>268</v>
      </c>
      <c r="E1829" s="6">
        <v>24583913000146</v>
      </c>
      <c r="F1829" s="5">
        <v>268</v>
      </c>
      <c r="G1829" s="7">
        <v>177688692883171</v>
      </c>
      <c r="H1829" s="5" t="s">
        <v>65</v>
      </c>
      <c r="I1829" s="5" t="s">
        <v>52</v>
      </c>
      <c r="J1829" s="5" t="s">
        <v>22</v>
      </c>
      <c r="K1829" s="5" t="s">
        <v>62</v>
      </c>
      <c r="L1829" s="5" t="s">
        <v>62</v>
      </c>
      <c r="M1829" s="5" t="s">
        <v>284</v>
      </c>
      <c r="N1829" s="5" t="s">
        <v>53</v>
      </c>
      <c r="O1829" s="5">
        <v>17</v>
      </c>
      <c r="P1829" s="5"/>
      <c r="Q1829" s="5"/>
      <c r="R1829" s="8">
        <v>0</v>
      </c>
      <c r="S1829" s="5" t="s">
        <v>37</v>
      </c>
      <c r="T1829" t="str">
        <f>IF(Tabela1[[#This Row],[STATUS_NEGOCIO]]="Enviar E-mail",1,"")</f>
        <v/>
      </c>
      <c r="U1829" t="str">
        <f>TEXT(Tabela1[[#This Row],[DATA]],"dd/mm/aaaa")</f>
        <v>22/04/2026</v>
      </c>
    </row>
    <row r="1830" spans="1:21" x14ac:dyDescent="0.25">
      <c r="A1830" s="4">
        <v>46134.695972222224</v>
      </c>
      <c r="B1830" s="5" t="s">
        <v>19</v>
      </c>
      <c r="C1830" s="5" t="s">
        <v>37</v>
      </c>
      <c r="D1830" s="5">
        <v>269</v>
      </c>
      <c r="E1830" s="6">
        <v>25344452000111</v>
      </c>
      <c r="F1830" s="5">
        <v>269</v>
      </c>
      <c r="G1830" s="7">
        <v>177688693283211</v>
      </c>
      <c r="H1830" s="5" t="s">
        <v>206</v>
      </c>
      <c r="I1830" s="5">
        <v>3003</v>
      </c>
      <c r="J1830" s="5" t="s">
        <v>22</v>
      </c>
      <c r="K1830" s="5" t="s">
        <v>23</v>
      </c>
      <c r="L1830" s="5" t="s">
        <v>31</v>
      </c>
      <c r="M1830" s="5" t="s">
        <v>284</v>
      </c>
      <c r="N1830" s="5" t="s">
        <v>53</v>
      </c>
      <c r="O1830" s="5">
        <v>147</v>
      </c>
      <c r="P1830" s="5"/>
      <c r="Q1830" s="5"/>
      <c r="R1830" s="8">
        <v>8.1018518518518516E-5</v>
      </c>
      <c r="S1830" s="5" t="s">
        <v>37</v>
      </c>
      <c r="T1830" t="str">
        <f>IF(Tabela1[[#This Row],[STATUS_NEGOCIO]]="Enviar E-mail",1,"")</f>
        <v/>
      </c>
      <c r="U1830" t="str">
        <f>TEXT(Tabela1[[#This Row],[DATA]],"dd/mm/aaaa")</f>
        <v>22/04/2026</v>
      </c>
    </row>
    <row r="1831" spans="1:21" x14ac:dyDescent="0.25">
      <c r="A1831" s="4">
        <v>46134.695972222224</v>
      </c>
      <c r="B1831" s="5" t="s">
        <v>19</v>
      </c>
      <c r="C1831" s="5" t="s">
        <v>37</v>
      </c>
      <c r="D1831" s="5">
        <v>270</v>
      </c>
      <c r="E1831" s="6">
        <v>25404835000138</v>
      </c>
      <c r="F1831" s="5">
        <v>270</v>
      </c>
      <c r="G1831" s="7">
        <v>177688693283221</v>
      </c>
      <c r="H1831" s="5" t="s">
        <v>233</v>
      </c>
      <c r="I1831" s="5">
        <v>3003</v>
      </c>
      <c r="J1831" s="5" t="s">
        <v>22</v>
      </c>
      <c r="K1831" s="5" t="s">
        <v>23</v>
      </c>
      <c r="L1831" s="5" t="s">
        <v>31</v>
      </c>
      <c r="M1831" s="5" t="s">
        <v>284</v>
      </c>
      <c r="N1831" s="5" t="s">
        <v>53</v>
      </c>
      <c r="O1831" s="5">
        <v>128</v>
      </c>
      <c r="P1831" s="5"/>
      <c r="Q1831" s="5"/>
      <c r="R1831" s="8">
        <v>6.9444444444444444E-5</v>
      </c>
      <c r="S1831" s="5" t="s">
        <v>37</v>
      </c>
      <c r="T1831" t="str">
        <f>IF(Tabela1[[#This Row],[STATUS_NEGOCIO]]="Enviar E-mail",1,"")</f>
        <v/>
      </c>
      <c r="U1831" t="str">
        <f>TEXT(Tabela1[[#This Row],[DATA]],"dd/mm/aaaa")</f>
        <v>22/04/2026</v>
      </c>
    </row>
    <row r="1832" spans="1:21" x14ac:dyDescent="0.25">
      <c r="A1832" s="4">
        <v>46134.695983796293</v>
      </c>
      <c r="B1832" s="5" t="s">
        <v>19</v>
      </c>
      <c r="C1832" s="5" t="s">
        <v>37</v>
      </c>
      <c r="D1832" s="5">
        <v>271</v>
      </c>
      <c r="E1832" s="6">
        <v>25405605000193</v>
      </c>
      <c r="F1832" s="5">
        <v>271</v>
      </c>
      <c r="G1832" s="7">
        <v>177688693383231</v>
      </c>
      <c r="H1832" s="5" t="s">
        <v>448</v>
      </c>
      <c r="I1832" s="5">
        <v>3003</v>
      </c>
      <c r="J1832" s="5" t="s">
        <v>22</v>
      </c>
      <c r="K1832" s="5" t="s">
        <v>23</v>
      </c>
      <c r="L1832" s="5" t="s">
        <v>31</v>
      </c>
      <c r="M1832" s="5" t="s">
        <v>284</v>
      </c>
      <c r="N1832" s="5" t="s">
        <v>53</v>
      </c>
      <c r="O1832" s="5">
        <v>128</v>
      </c>
      <c r="P1832" s="5"/>
      <c r="Q1832" s="5"/>
      <c r="R1832" s="8">
        <v>6.9444444444444444E-5</v>
      </c>
      <c r="S1832" s="5" t="s">
        <v>37</v>
      </c>
      <c r="T1832" t="str">
        <f>IF(Tabela1[[#This Row],[STATUS_NEGOCIO]]="Enviar E-mail",1,"")</f>
        <v/>
      </c>
      <c r="U1832" t="str">
        <f>TEXT(Tabela1[[#This Row],[DATA]],"dd/mm/aaaa")</f>
        <v>22/04/2026</v>
      </c>
    </row>
    <row r="1833" spans="1:21" x14ac:dyDescent="0.25">
      <c r="A1833" s="4">
        <v>46134.69599537037</v>
      </c>
      <c r="B1833" s="5" t="s">
        <v>19</v>
      </c>
      <c r="C1833" s="5" t="s">
        <v>37</v>
      </c>
      <c r="D1833" s="5">
        <v>272</v>
      </c>
      <c r="E1833" s="6">
        <v>26054449000126</v>
      </c>
      <c r="F1833" s="5">
        <v>272</v>
      </c>
      <c r="G1833" s="7">
        <v>177688693483241</v>
      </c>
      <c r="H1833" s="5" t="s">
        <v>449</v>
      </c>
      <c r="I1833" s="5">
        <v>3003</v>
      </c>
      <c r="J1833" s="5" t="s">
        <v>22</v>
      </c>
      <c r="K1833" s="5" t="s">
        <v>23</v>
      </c>
      <c r="L1833" s="5" t="s">
        <v>31</v>
      </c>
      <c r="M1833" s="5" t="s">
        <v>284</v>
      </c>
      <c r="N1833" s="5" t="s">
        <v>53</v>
      </c>
      <c r="O1833" s="5">
        <v>128</v>
      </c>
      <c r="P1833" s="5"/>
      <c r="Q1833" s="5"/>
      <c r="R1833" s="8">
        <v>8.1018518518518516E-5</v>
      </c>
      <c r="S1833" s="5" t="s">
        <v>37</v>
      </c>
      <c r="T1833" t="str">
        <f>IF(Tabela1[[#This Row],[STATUS_NEGOCIO]]="Enviar E-mail",1,"")</f>
        <v/>
      </c>
      <c r="U1833" t="str">
        <f>TEXT(Tabela1[[#This Row],[DATA]],"dd/mm/aaaa")</f>
        <v>22/04/2026</v>
      </c>
    </row>
    <row r="1834" spans="1:21" x14ac:dyDescent="0.25">
      <c r="A1834" s="4">
        <v>46134.696099537039</v>
      </c>
      <c r="B1834" s="5" t="s">
        <v>19</v>
      </c>
      <c r="C1834" s="5" t="s">
        <v>37</v>
      </c>
      <c r="D1834" s="5">
        <v>273</v>
      </c>
      <c r="E1834" s="6">
        <v>26181076000154</v>
      </c>
      <c r="F1834" s="5">
        <v>273</v>
      </c>
      <c r="G1834" s="7">
        <v>177688694383261</v>
      </c>
      <c r="H1834" s="5" t="s">
        <v>88</v>
      </c>
      <c r="I1834" s="5">
        <v>3003</v>
      </c>
      <c r="J1834" s="5" t="s">
        <v>22</v>
      </c>
      <c r="K1834" s="5" t="s">
        <v>23</v>
      </c>
      <c r="L1834" s="5" t="s">
        <v>31</v>
      </c>
      <c r="M1834" s="5" t="s">
        <v>284</v>
      </c>
      <c r="N1834" s="5" t="s">
        <v>53</v>
      </c>
      <c r="O1834" s="5">
        <v>128</v>
      </c>
      <c r="P1834" s="5"/>
      <c r="Q1834" s="5"/>
      <c r="R1834" s="8">
        <v>8.1018518518518516E-5</v>
      </c>
      <c r="S1834" s="5" t="s">
        <v>37</v>
      </c>
      <c r="T1834" t="str">
        <f>IF(Tabela1[[#This Row],[STATUS_NEGOCIO]]="Enviar E-mail",1,"")</f>
        <v/>
      </c>
      <c r="U1834" t="str">
        <f>TEXT(Tabela1[[#This Row],[DATA]],"dd/mm/aaaa")</f>
        <v>22/04/2026</v>
      </c>
    </row>
    <row r="1835" spans="1:21" x14ac:dyDescent="0.25">
      <c r="A1835" s="4">
        <v>46134.696122685185</v>
      </c>
      <c r="B1835" s="5" t="s">
        <v>19</v>
      </c>
      <c r="C1835" s="5" t="s">
        <v>37</v>
      </c>
      <c r="D1835" s="5">
        <v>274</v>
      </c>
      <c r="E1835" s="6">
        <v>26185307000106</v>
      </c>
      <c r="F1835" s="5">
        <v>274</v>
      </c>
      <c r="G1835" s="7">
        <v>177688694583281</v>
      </c>
      <c r="H1835" s="5" t="s">
        <v>450</v>
      </c>
      <c r="I1835" s="5">
        <v>3003</v>
      </c>
      <c r="J1835" s="5" t="s">
        <v>22</v>
      </c>
      <c r="K1835" s="5" t="s">
        <v>23</v>
      </c>
      <c r="L1835" s="5" t="s">
        <v>31</v>
      </c>
      <c r="M1835" s="5" t="s">
        <v>284</v>
      </c>
      <c r="N1835" s="5" t="s">
        <v>53</v>
      </c>
      <c r="O1835" s="5">
        <v>128</v>
      </c>
      <c r="P1835" s="5"/>
      <c r="Q1835" s="5"/>
      <c r="R1835" s="8">
        <v>6.9444444444444444E-5</v>
      </c>
      <c r="S1835" s="5" t="s">
        <v>37</v>
      </c>
      <c r="T1835" t="str">
        <f>IF(Tabela1[[#This Row],[STATUS_NEGOCIO]]="Enviar E-mail",1,"")</f>
        <v/>
      </c>
      <c r="U1835" t="str">
        <f>TEXT(Tabela1[[#This Row],[DATA]],"dd/mm/aaaa")</f>
        <v>22/04/2026</v>
      </c>
    </row>
    <row r="1836" spans="1:21" x14ac:dyDescent="0.25">
      <c r="A1836" s="4">
        <v>46134.696122685185</v>
      </c>
      <c r="B1836" s="5" t="s">
        <v>19</v>
      </c>
      <c r="C1836" s="5" t="s">
        <v>37</v>
      </c>
      <c r="D1836" s="5">
        <v>275</v>
      </c>
      <c r="E1836" s="6">
        <v>26252435000117</v>
      </c>
      <c r="F1836" s="5">
        <v>275</v>
      </c>
      <c r="G1836" s="7">
        <v>177688694583301</v>
      </c>
      <c r="H1836" s="5" t="s">
        <v>451</v>
      </c>
      <c r="I1836" s="5">
        <v>3003</v>
      </c>
      <c r="J1836" s="5" t="s">
        <v>22</v>
      </c>
      <c r="K1836" s="5" t="s">
        <v>23</v>
      </c>
      <c r="L1836" s="5" t="s">
        <v>31</v>
      </c>
      <c r="M1836" s="5" t="s">
        <v>284</v>
      </c>
      <c r="N1836" s="5" t="s">
        <v>53</v>
      </c>
      <c r="O1836" s="5">
        <v>128</v>
      </c>
      <c r="P1836" s="5"/>
      <c r="Q1836" s="5"/>
      <c r="R1836" s="8">
        <v>8.1018518518518516E-5</v>
      </c>
      <c r="S1836" s="5" t="s">
        <v>37</v>
      </c>
      <c r="T1836" t="str">
        <f>IF(Tabela1[[#This Row],[STATUS_NEGOCIO]]="Enviar E-mail",1,"")</f>
        <v/>
      </c>
      <c r="U1836" t="str">
        <f>TEXT(Tabela1[[#This Row],[DATA]],"dd/mm/aaaa")</f>
        <v>22/04/2026</v>
      </c>
    </row>
    <row r="1837" spans="1:21" x14ac:dyDescent="0.25">
      <c r="A1837" s="4">
        <v>46134.696157407408</v>
      </c>
      <c r="B1837" s="5" t="s">
        <v>19</v>
      </c>
      <c r="C1837" s="5" t="s">
        <v>37</v>
      </c>
      <c r="D1837" s="5">
        <v>276</v>
      </c>
      <c r="E1837" s="6">
        <v>26295622000188</v>
      </c>
      <c r="F1837" s="5">
        <v>276</v>
      </c>
      <c r="G1837" s="7">
        <v>177688694883361</v>
      </c>
      <c r="H1837" s="5" t="s">
        <v>63</v>
      </c>
      <c r="I1837" s="5">
        <v>3003</v>
      </c>
      <c r="J1837" s="5" t="s">
        <v>22</v>
      </c>
      <c r="K1837" s="5" t="s">
        <v>23</v>
      </c>
      <c r="L1837" s="5" t="s">
        <v>31</v>
      </c>
      <c r="M1837" s="5" t="s">
        <v>284</v>
      </c>
      <c r="N1837" s="5" t="s">
        <v>53</v>
      </c>
      <c r="O1837" s="5">
        <v>128</v>
      </c>
      <c r="P1837" s="5"/>
      <c r="Q1837" s="5"/>
      <c r="R1837" s="8">
        <v>3.4722222222222222E-5</v>
      </c>
      <c r="S1837" s="5" t="s">
        <v>37</v>
      </c>
      <c r="T1837" t="str">
        <f>IF(Tabela1[[#This Row],[STATUS_NEGOCIO]]="Enviar E-mail",1,"")</f>
        <v/>
      </c>
      <c r="U1837" t="str">
        <f>TEXT(Tabela1[[#This Row],[DATA]],"dd/mm/aaaa")</f>
        <v>22/04/2026</v>
      </c>
    </row>
    <row r="1838" spans="1:21" x14ac:dyDescent="0.25">
      <c r="A1838" s="4">
        <v>46134.696180555555</v>
      </c>
      <c r="B1838" s="5" t="s">
        <v>19</v>
      </c>
      <c r="C1838" s="5" t="s">
        <v>37</v>
      </c>
      <c r="D1838" s="5">
        <v>277</v>
      </c>
      <c r="E1838" s="6">
        <v>26344541000120</v>
      </c>
      <c r="F1838" s="5">
        <v>277</v>
      </c>
      <c r="G1838" s="7">
        <v>177688695083381</v>
      </c>
      <c r="H1838" s="5" t="s">
        <v>452</v>
      </c>
      <c r="I1838" s="5" t="s">
        <v>52</v>
      </c>
      <c r="J1838" s="5" t="s">
        <v>22</v>
      </c>
      <c r="K1838" s="5" t="s">
        <v>36</v>
      </c>
      <c r="L1838" s="5" t="s">
        <v>36</v>
      </c>
      <c r="M1838" s="5" t="s">
        <v>284</v>
      </c>
      <c r="N1838" s="5" t="s">
        <v>53</v>
      </c>
      <c r="O1838" s="5">
        <v>19</v>
      </c>
      <c r="P1838" s="5"/>
      <c r="Q1838" s="5"/>
      <c r="R1838" s="8">
        <v>0</v>
      </c>
      <c r="S1838" s="5" t="s">
        <v>37</v>
      </c>
      <c r="T1838" t="str">
        <f>IF(Tabela1[[#This Row],[STATUS_NEGOCIO]]="Enviar E-mail",1,"")</f>
        <v/>
      </c>
      <c r="U1838" t="str">
        <f>TEXT(Tabela1[[#This Row],[DATA]],"dd/mm/aaaa")</f>
        <v>22/04/2026</v>
      </c>
    </row>
    <row r="1839" spans="1:21" x14ac:dyDescent="0.25">
      <c r="A1839" s="4">
        <v>46134.696250000001</v>
      </c>
      <c r="B1839" s="5" t="s">
        <v>19</v>
      </c>
      <c r="C1839" s="5" t="s">
        <v>37</v>
      </c>
      <c r="D1839" s="5">
        <v>278</v>
      </c>
      <c r="E1839" s="6">
        <v>26350061000172</v>
      </c>
      <c r="F1839" s="5">
        <v>278</v>
      </c>
      <c r="G1839" s="7">
        <v>177688695683401</v>
      </c>
      <c r="H1839" s="5" t="s">
        <v>453</v>
      </c>
      <c r="I1839" s="5">
        <v>3003</v>
      </c>
      <c r="J1839" s="5" t="s">
        <v>22</v>
      </c>
      <c r="K1839" s="5" t="s">
        <v>23</v>
      </c>
      <c r="L1839" s="5" t="s">
        <v>31</v>
      </c>
      <c r="M1839" s="5" t="s">
        <v>284</v>
      </c>
      <c r="N1839" s="5" t="s">
        <v>53</v>
      </c>
      <c r="O1839" s="5">
        <v>128</v>
      </c>
      <c r="P1839" s="5"/>
      <c r="Q1839" s="5"/>
      <c r="R1839" s="8">
        <v>8.1018518518518516E-5</v>
      </c>
      <c r="S1839" s="5" t="s">
        <v>37</v>
      </c>
      <c r="T1839" t="str">
        <f>IF(Tabela1[[#This Row],[STATUS_NEGOCIO]]="Enviar E-mail",1,"")</f>
        <v/>
      </c>
      <c r="U1839" t="str">
        <f>TEXT(Tabela1[[#This Row],[DATA]],"dd/mm/aaaa")</f>
        <v>22/04/2026</v>
      </c>
    </row>
    <row r="1840" spans="1:21" x14ac:dyDescent="0.25">
      <c r="A1840" s="4">
        <v>46134.696273148147</v>
      </c>
      <c r="B1840" s="5" t="s">
        <v>19</v>
      </c>
      <c r="C1840" s="5" t="s">
        <v>37</v>
      </c>
      <c r="D1840" s="5">
        <v>279</v>
      </c>
      <c r="E1840" s="6">
        <v>26401298000135</v>
      </c>
      <c r="F1840" s="5">
        <v>279</v>
      </c>
      <c r="G1840" s="7">
        <v>177688695883421</v>
      </c>
      <c r="H1840" s="5" t="s">
        <v>218</v>
      </c>
      <c r="I1840" s="5">
        <v>3003</v>
      </c>
      <c r="J1840" s="5" t="s">
        <v>22</v>
      </c>
      <c r="K1840" s="5" t="s">
        <v>23</v>
      </c>
      <c r="L1840" s="5" t="s">
        <v>31</v>
      </c>
      <c r="M1840" s="5" t="s">
        <v>284</v>
      </c>
      <c r="N1840" s="5" t="s">
        <v>53</v>
      </c>
      <c r="O1840" s="5">
        <v>128</v>
      </c>
      <c r="P1840" s="5"/>
      <c r="Q1840" s="5"/>
      <c r="R1840" s="8">
        <v>8.1018518518518516E-5</v>
      </c>
      <c r="S1840" s="5" t="s">
        <v>37</v>
      </c>
      <c r="T1840" t="str">
        <f>IF(Tabela1[[#This Row],[STATUS_NEGOCIO]]="Enviar E-mail",1,"")</f>
        <v/>
      </c>
      <c r="U1840" t="str">
        <f>TEXT(Tabela1[[#This Row],[DATA]],"dd/mm/aaaa")</f>
        <v>22/04/2026</v>
      </c>
    </row>
    <row r="1841" spans="1:21" x14ac:dyDescent="0.25">
      <c r="A1841" s="4">
        <v>46134.696296296293</v>
      </c>
      <c r="B1841" s="5" t="s">
        <v>19</v>
      </c>
      <c r="C1841" s="5" t="s">
        <v>37</v>
      </c>
      <c r="D1841" s="5">
        <v>280</v>
      </c>
      <c r="E1841" s="6">
        <v>26419801000180</v>
      </c>
      <c r="F1841" s="5">
        <v>280</v>
      </c>
      <c r="G1841" s="7">
        <v>177688696083441</v>
      </c>
      <c r="H1841" s="5" t="s">
        <v>142</v>
      </c>
      <c r="I1841" s="5">
        <v>3003</v>
      </c>
      <c r="J1841" s="5" t="s">
        <v>22</v>
      </c>
      <c r="K1841" s="5" t="s">
        <v>23</v>
      </c>
      <c r="L1841" s="5" t="s">
        <v>31</v>
      </c>
      <c r="M1841" s="5" t="s">
        <v>284</v>
      </c>
      <c r="N1841" s="5" t="s">
        <v>53</v>
      </c>
      <c r="O1841" s="5">
        <v>128</v>
      </c>
      <c r="P1841" s="5"/>
      <c r="Q1841" s="5"/>
      <c r="R1841" s="8">
        <v>8.1018518518518516E-5</v>
      </c>
      <c r="S1841" s="5" t="s">
        <v>37</v>
      </c>
      <c r="T1841" t="str">
        <f>IF(Tabela1[[#This Row],[STATUS_NEGOCIO]]="Enviar E-mail",1,"")</f>
        <v/>
      </c>
      <c r="U1841" t="str">
        <f>TEXT(Tabela1[[#This Row],[DATA]],"dd/mm/aaaa")</f>
        <v>22/04/2026</v>
      </c>
    </row>
    <row r="1842" spans="1:21" x14ac:dyDescent="0.25">
      <c r="A1842" s="4">
        <v>46134.696342592593</v>
      </c>
      <c r="B1842" s="5" t="s">
        <v>19</v>
      </c>
      <c r="C1842" s="5" t="s">
        <v>37</v>
      </c>
      <c r="D1842" s="5">
        <v>281</v>
      </c>
      <c r="E1842" s="6">
        <v>26596537000150</v>
      </c>
      <c r="F1842" s="5">
        <v>281</v>
      </c>
      <c r="G1842" s="7">
        <v>177688696483461</v>
      </c>
      <c r="H1842" s="5" t="s">
        <v>454</v>
      </c>
      <c r="I1842" s="5">
        <v>3003</v>
      </c>
      <c r="J1842" s="5" t="s">
        <v>22</v>
      </c>
      <c r="K1842" s="5" t="s">
        <v>23</v>
      </c>
      <c r="L1842" s="5" t="s">
        <v>31</v>
      </c>
      <c r="M1842" s="5" t="s">
        <v>284</v>
      </c>
      <c r="N1842" s="5" t="s">
        <v>53</v>
      </c>
      <c r="O1842" s="5">
        <v>128</v>
      </c>
      <c r="P1842" s="5"/>
      <c r="Q1842" s="5"/>
      <c r="R1842" s="8">
        <v>8.1018518518518516E-5</v>
      </c>
      <c r="S1842" s="5" t="s">
        <v>37</v>
      </c>
      <c r="T1842" t="str">
        <f>IF(Tabela1[[#This Row],[STATUS_NEGOCIO]]="Enviar E-mail",1,"")</f>
        <v/>
      </c>
      <c r="U1842" t="str">
        <f>TEXT(Tabela1[[#This Row],[DATA]],"dd/mm/aaaa")</f>
        <v>22/04/2026</v>
      </c>
    </row>
    <row r="1843" spans="1:21" x14ac:dyDescent="0.25">
      <c r="A1843" s="4">
        <v>46134.696377314816</v>
      </c>
      <c r="B1843" s="5" t="s">
        <v>19</v>
      </c>
      <c r="C1843" s="5" t="s">
        <v>37</v>
      </c>
      <c r="D1843" s="5">
        <v>282</v>
      </c>
      <c r="E1843" s="6">
        <v>26753972000140</v>
      </c>
      <c r="F1843" s="5">
        <v>282</v>
      </c>
      <c r="G1843" s="7">
        <v>177688696783481</v>
      </c>
      <c r="H1843" s="5" t="s">
        <v>455</v>
      </c>
      <c r="I1843" s="5" t="s">
        <v>52</v>
      </c>
      <c r="J1843" s="5" t="s">
        <v>22</v>
      </c>
      <c r="K1843" s="5" t="s">
        <v>36</v>
      </c>
      <c r="L1843" s="5" t="s">
        <v>36</v>
      </c>
      <c r="M1843" s="5" t="s">
        <v>284</v>
      </c>
      <c r="N1843" s="5" t="s">
        <v>53</v>
      </c>
      <c r="O1843" s="5">
        <v>1</v>
      </c>
      <c r="P1843" s="5"/>
      <c r="Q1843" s="5"/>
      <c r="R1843" s="8">
        <v>0</v>
      </c>
      <c r="S1843" s="5" t="s">
        <v>37</v>
      </c>
      <c r="T1843" t="str">
        <f>IF(Tabela1[[#This Row],[STATUS_NEGOCIO]]="Enviar E-mail",1,"")</f>
        <v/>
      </c>
      <c r="U1843" t="str">
        <f>TEXT(Tabela1[[#This Row],[DATA]],"dd/mm/aaaa")</f>
        <v>22/04/2026</v>
      </c>
    </row>
    <row r="1844" spans="1:21" x14ac:dyDescent="0.25">
      <c r="A1844" s="4">
        <v>46134.696377314816</v>
      </c>
      <c r="B1844" s="5" t="s">
        <v>19</v>
      </c>
      <c r="C1844" s="5" t="s">
        <v>37</v>
      </c>
      <c r="D1844" s="5">
        <v>283</v>
      </c>
      <c r="E1844" s="6">
        <v>26789035000145</v>
      </c>
      <c r="F1844" s="5">
        <v>283</v>
      </c>
      <c r="G1844" s="7">
        <v>177688696783491</v>
      </c>
      <c r="H1844" s="5" t="s">
        <v>456</v>
      </c>
      <c r="I1844" s="5">
        <v>3003</v>
      </c>
      <c r="J1844" s="5" t="s">
        <v>22</v>
      </c>
      <c r="K1844" s="5" t="s">
        <v>23</v>
      </c>
      <c r="L1844" s="5" t="s">
        <v>31</v>
      </c>
      <c r="M1844" s="5" t="s">
        <v>284</v>
      </c>
      <c r="N1844" s="5" t="s">
        <v>53</v>
      </c>
      <c r="O1844" s="5">
        <v>128</v>
      </c>
      <c r="P1844" s="5"/>
      <c r="Q1844" s="5"/>
      <c r="R1844" s="8">
        <v>6.9444444444444444E-5</v>
      </c>
      <c r="S1844" s="5" t="s">
        <v>37</v>
      </c>
      <c r="T1844" t="str">
        <f>IF(Tabela1[[#This Row],[STATUS_NEGOCIO]]="Enviar E-mail",1,"")</f>
        <v/>
      </c>
      <c r="U1844" t="str">
        <f>TEXT(Tabela1[[#This Row],[DATA]],"dd/mm/aaaa")</f>
        <v>22/04/2026</v>
      </c>
    </row>
    <row r="1845" spans="1:21" x14ac:dyDescent="0.25">
      <c r="A1845" s="4">
        <v>46134.696481481478</v>
      </c>
      <c r="B1845" s="5" t="s">
        <v>19</v>
      </c>
      <c r="C1845" s="5" t="s">
        <v>20</v>
      </c>
      <c r="D1845" s="5">
        <v>284</v>
      </c>
      <c r="E1845" s="6">
        <v>26871189000181</v>
      </c>
      <c r="F1845" s="5">
        <v>284</v>
      </c>
      <c r="G1845" s="7">
        <v>177688697683521</v>
      </c>
      <c r="H1845" s="5" t="s">
        <v>457</v>
      </c>
      <c r="I1845" s="5">
        <v>3003</v>
      </c>
      <c r="J1845" s="5" t="s">
        <v>22</v>
      </c>
      <c r="K1845" s="5" t="s">
        <v>23</v>
      </c>
      <c r="L1845" s="5" t="s">
        <v>40</v>
      </c>
      <c r="M1845" s="5" t="s">
        <v>284</v>
      </c>
      <c r="N1845" s="5" t="s">
        <v>26</v>
      </c>
      <c r="O1845" s="5">
        <v>16</v>
      </c>
      <c r="P1845" s="5"/>
      <c r="Q1845" s="5"/>
      <c r="R1845" s="8">
        <v>2.1296296296296298E-3</v>
      </c>
      <c r="S1845" s="8">
        <v>2.0833333333333333E-3</v>
      </c>
      <c r="T1845">
        <f>IF(Tabela1[[#This Row],[STATUS_NEGOCIO]]="Enviar E-mail",1,"")</f>
        <v>1</v>
      </c>
      <c r="U1845" t="str">
        <f>TEXT(Tabela1[[#This Row],[DATA]],"dd/mm/aaaa")</f>
        <v>22/04/2026</v>
      </c>
    </row>
    <row r="1846" spans="1:21" x14ac:dyDescent="0.25">
      <c r="A1846" s="4">
        <v>46134.696539351855</v>
      </c>
      <c r="B1846" s="5" t="s">
        <v>19</v>
      </c>
      <c r="C1846" s="5" t="s">
        <v>37</v>
      </c>
      <c r="D1846" s="5">
        <v>285</v>
      </c>
      <c r="E1846" s="6">
        <v>26960926000112</v>
      </c>
      <c r="F1846" s="5">
        <v>285</v>
      </c>
      <c r="G1846" s="7">
        <v>177688698183541</v>
      </c>
      <c r="H1846" s="5" t="s">
        <v>273</v>
      </c>
      <c r="I1846" s="5">
        <v>3003</v>
      </c>
      <c r="J1846" s="5" t="s">
        <v>22</v>
      </c>
      <c r="K1846" s="5" t="s">
        <v>23</v>
      </c>
      <c r="L1846" s="5" t="s">
        <v>31</v>
      </c>
      <c r="M1846" s="5" t="s">
        <v>284</v>
      </c>
      <c r="N1846" s="5" t="s">
        <v>53</v>
      </c>
      <c r="O1846" s="5">
        <v>128</v>
      </c>
      <c r="P1846" s="5"/>
      <c r="Q1846" s="5"/>
      <c r="R1846" s="8">
        <v>8.1018518518518516E-5</v>
      </c>
      <c r="S1846" s="5" t="s">
        <v>37</v>
      </c>
      <c r="T1846" t="str">
        <f>IF(Tabela1[[#This Row],[STATUS_NEGOCIO]]="Enviar E-mail",1,"")</f>
        <v/>
      </c>
      <c r="U1846" t="str">
        <f>TEXT(Tabela1[[#This Row],[DATA]],"dd/mm/aaaa")</f>
        <v>22/04/2026</v>
      </c>
    </row>
    <row r="1847" spans="1:21" x14ac:dyDescent="0.25">
      <c r="A1847" s="4">
        <v>46134.696585648147</v>
      </c>
      <c r="B1847" s="5" t="s">
        <v>19</v>
      </c>
      <c r="C1847" s="5" t="s">
        <v>37</v>
      </c>
      <c r="D1847" s="5">
        <v>286</v>
      </c>
      <c r="E1847" s="6">
        <v>26990729000146</v>
      </c>
      <c r="F1847" s="5">
        <v>286</v>
      </c>
      <c r="G1847" s="7">
        <v>177688698583561</v>
      </c>
      <c r="H1847" s="5" t="s">
        <v>458</v>
      </c>
      <c r="I1847" s="5">
        <v>3003</v>
      </c>
      <c r="J1847" s="5" t="s">
        <v>22</v>
      </c>
      <c r="K1847" s="5" t="s">
        <v>23</v>
      </c>
      <c r="L1847" s="5" t="s">
        <v>31</v>
      </c>
      <c r="M1847" s="5" t="s">
        <v>284</v>
      </c>
      <c r="N1847" s="5" t="s">
        <v>53</v>
      </c>
      <c r="O1847" s="5">
        <v>128</v>
      </c>
      <c r="P1847" s="5"/>
      <c r="Q1847" s="5"/>
      <c r="R1847" s="8">
        <v>8.1018518518518516E-5</v>
      </c>
      <c r="S1847" s="5" t="s">
        <v>37</v>
      </c>
      <c r="T1847" t="str">
        <f>IF(Tabela1[[#This Row],[STATUS_NEGOCIO]]="Enviar E-mail",1,"")</f>
        <v/>
      </c>
      <c r="U1847" t="str">
        <f>TEXT(Tabela1[[#This Row],[DATA]],"dd/mm/aaaa")</f>
        <v>22/04/2026</v>
      </c>
    </row>
    <row r="1848" spans="1:21" x14ac:dyDescent="0.25">
      <c r="A1848" s="4">
        <v>46134.696736111109</v>
      </c>
      <c r="B1848" s="5" t="s">
        <v>19</v>
      </c>
      <c r="C1848" s="5" t="s">
        <v>37</v>
      </c>
      <c r="D1848" s="5">
        <v>288</v>
      </c>
      <c r="E1848" s="6">
        <v>27037167000183</v>
      </c>
      <c r="F1848" s="5">
        <v>288</v>
      </c>
      <c r="G1848" s="7">
        <v>177688699883581</v>
      </c>
      <c r="H1848" s="5" t="s">
        <v>268</v>
      </c>
      <c r="I1848" s="5">
        <v>3003</v>
      </c>
      <c r="J1848" s="5" t="s">
        <v>22</v>
      </c>
      <c r="K1848" s="5" t="s">
        <v>23</v>
      </c>
      <c r="L1848" s="5" t="s">
        <v>31</v>
      </c>
      <c r="M1848" s="5" t="s">
        <v>284</v>
      </c>
      <c r="N1848" s="5" t="s">
        <v>53</v>
      </c>
      <c r="O1848" s="5">
        <v>128</v>
      </c>
      <c r="P1848" s="5"/>
      <c r="Q1848" s="5"/>
      <c r="R1848" s="8">
        <v>8.1018518518518516E-5</v>
      </c>
      <c r="S1848" s="5" t="s">
        <v>37</v>
      </c>
      <c r="T1848" t="str">
        <f>IF(Tabela1[[#This Row],[STATUS_NEGOCIO]]="Enviar E-mail",1,"")</f>
        <v/>
      </c>
      <c r="U1848" t="str">
        <f>TEXT(Tabela1[[#This Row],[DATA]],"dd/mm/aaaa")</f>
        <v>22/04/2026</v>
      </c>
    </row>
    <row r="1849" spans="1:21" x14ac:dyDescent="0.25">
      <c r="A1849" s="4">
        <v>46134.696793981479</v>
      </c>
      <c r="B1849" s="5" t="s">
        <v>19</v>
      </c>
      <c r="C1849" s="5" t="s">
        <v>37</v>
      </c>
      <c r="D1849" s="5">
        <v>290</v>
      </c>
      <c r="E1849" s="6">
        <v>27316226000152</v>
      </c>
      <c r="F1849" s="5">
        <v>290</v>
      </c>
      <c r="G1849" s="7">
        <v>177688700383611</v>
      </c>
      <c r="H1849" s="5" t="s">
        <v>461</v>
      </c>
      <c r="I1849" s="5">
        <v>3003</v>
      </c>
      <c r="J1849" s="5" t="s">
        <v>22</v>
      </c>
      <c r="K1849" s="5" t="s">
        <v>23</v>
      </c>
      <c r="L1849" s="5" t="s">
        <v>31</v>
      </c>
      <c r="M1849" s="5" t="s">
        <v>284</v>
      </c>
      <c r="N1849" s="5" t="s">
        <v>53</v>
      </c>
      <c r="O1849" s="5">
        <v>128</v>
      </c>
      <c r="P1849" s="5"/>
      <c r="Q1849" s="5"/>
      <c r="R1849" s="8">
        <v>8.1018518518518516E-5</v>
      </c>
      <c r="S1849" s="5" t="s">
        <v>37</v>
      </c>
      <c r="T1849" t="str">
        <f>IF(Tabela1[[#This Row],[STATUS_NEGOCIO]]="Enviar E-mail",1,"")</f>
        <v/>
      </c>
      <c r="U1849" t="str">
        <f>TEXT(Tabela1[[#This Row],[DATA]],"dd/mm/aaaa")</f>
        <v>22/04/2026</v>
      </c>
    </row>
    <row r="1850" spans="1:21" x14ac:dyDescent="0.25">
      <c r="A1850" s="4">
        <v>46134.696793981479</v>
      </c>
      <c r="B1850" s="5" t="s">
        <v>19</v>
      </c>
      <c r="C1850" s="5" t="s">
        <v>37</v>
      </c>
      <c r="D1850" s="5">
        <v>291</v>
      </c>
      <c r="E1850" s="6">
        <v>27379033000140</v>
      </c>
      <c r="F1850" s="5">
        <v>291</v>
      </c>
      <c r="G1850" s="7">
        <v>177688700383621</v>
      </c>
      <c r="H1850" s="5" t="s">
        <v>70</v>
      </c>
      <c r="I1850" s="5" t="s">
        <v>52</v>
      </c>
      <c r="J1850" s="5" t="s">
        <v>22</v>
      </c>
      <c r="K1850" s="5" t="s">
        <v>62</v>
      </c>
      <c r="L1850" s="5" t="s">
        <v>62</v>
      </c>
      <c r="M1850" s="5" t="s">
        <v>284</v>
      </c>
      <c r="N1850" s="5" t="s">
        <v>53</v>
      </c>
      <c r="O1850" s="5">
        <v>17</v>
      </c>
      <c r="P1850" s="5"/>
      <c r="Q1850" s="5"/>
      <c r="R1850" s="8">
        <v>0</v>
      </c>
      <c r="S1850" s="5" t="s">
        <v>37</v>
      </c>
      <c r="T1850" t="str">
        <f>IF(Tabela1[[#This Row],[STATUS_NEGOCIO]]="Enviar E-mail",1,"")</f>
        <v/>
      </c>
      <c r="U1850" t="str">
        <f>TEXT(Tabela1[[#This Row],[DATA]],"dd/mm/aaaa")</f>
        <v>22/04/2026</v>
      </c>
    </row>
    <row r="1851" spans="1:21" x14ac:dyDescent="0.25">
      <c r="A1851" s="4">
        <v>46134.696805555555</v>
      </c>
      <c r="B1851" s="5" t="s">
        <v>19</v>
      </c>
      <c r="C1851" s="5" t="s">
        <v>37</v>
      </c>
      <c r="D1851" s="5">
        <v>292</v>
      </c>
      <c r="E1851" s="6">
        <v>27439229000183</v>
      </c>
      <c r="F1851" s="5">
        <v>292</v>
      </c>
      <c r="G1851" s="7">
        <v>177688700483651</v>
      </c>
      <c r="H1851" s="5" t="s">
        <v>437</v>
      </c>
      <c r="I1851" s="5">
        <v>3003</v>
      </c>
      <c r="J1851" s="5" t="s">
        <v>22</v>
      </c>
      <c r="K1851" s="5" t="s">
        <v>23</v>
      </c>
      <c r="L1851" s="5" t="s">
        <v>31</v>
      </c>
      <c r="M1851" s="5" t="s">
        <v>284</v>
      </c>
      <c r="N1851" s="5" t="s">
        <v>53</v>
      </c>
      <c r="O1851" s="5">
        <v>128</v>
      </c>
      <c r="P1851" s="5"/>
      <c r="Q1851" s="5"/>
      <c r="R1851" s="8">
        <v>8.1018518518518516E-5</v>
      </c>
      <c r="S1851" s="5" t="s">
        <v>37</v>
      </c>
      <c r="T1851" t="str">
        <f>IF(Tabela1[[#This Row],[STATUS_NEGOCIO]]="Enviar E-mail",1,"")</f>
        <v/>
      </c>
      <c r="U1851" t="str">
        <f>TEXT(Tabela1[[#This Row],[DATA]],"dd/mm/aaaa")</f>
        <v>22/04/2026</v>
      </c>
    </row>
    <row r="1852" spans="1:21" x14ac:dyDescent="0.25">
      <c r="A1852" s="4">
        <v>46134.696805555555</v>
      </c>
      <c r="B1852" s="5" t="s">
        <v>19</v>
      </c>
      <c r="C1852" s="5" t="s">
        <v>37</v>
      </c>
      <c r="D1852" s="5">
        <v>293</v>
      </c>
      <c r="E1852" s="6">
        <v>27559945000102</v>
      </c>
      <c r="F1852" s="5">
        <v>293</v>
      </c>
      <c r="G1852" s="7">
        <v>177688700483661</v>
      </c>
      <c r="H1852" s="5" t="s">
        <v>462</v>
      </c>
      <c r="I1852" s="5">
        <v>3003</v>
      </c>
      <c r="J1852" s="5" t="s">
        <v>22</v>
      </c>
      <c r="K1852" s="5" t="s">
        <v>23</v>
      </c>
      <c r="L1852" s="5" t="s">
        <v>31</v>
      </c>
      <c r="M1852" s="5" t="s">
        <v>284</v>
      </c>
      <c r="N1852" s="5" t="s">
        <v>53</v>
      </c>
      <c r="O1852" s="5">
        <v>128</v>
      </c>
      <c r="P1852" s="5"/>
      <c r="Q1852" s="5"/>
      <c r="R1852" s="8">
        <v>8.1018518518518516E-5</v>
      </c>
      <c r="S1852" s="5" t="s">
        <v>37</v>
      </c>
      <c r="T1852" t="str">
        <f>IF(Tabela1[[#This Row],[STATUS_NEGOCIO]]="Enviar E-mail",1,"")</f>
        <v/>
      </c>
      <c r="U1852" t="str">
        <f>TEXT(Tabela1[[#This Row],[DATA]],"dd/mm/aaaa")</f>
        <v>22/04/2026</v>
      </c>
    </row>
    <row r="1853" spans="1:21" x14ac:dyDescent="0.25">
      <c r="A1853" s="4">
        <v>46134.696875000001</v>
      </c>
      <c r="B1853" s="5" t="s">
        <v>19</v>
      </c>
      <c r="C1853" s="5" t="s">
        <v>37</v>
      </c>
      <c r="D1853" s="5">
        <v>294</v>
      </c>
      <c r="E1853" s="6">
        <v>27813377000116</v>
      </c>
      <c r="F1853" s="5">
        <v>294</v>
      </c>
      <c r="G1853" s="7">
        <v>177688701083671</v>
      </c>
      <c r="H1853" s="5" t="s">
        <v>463</v>
      </c>
      <c r="I1853" s="5">
        <v>3003</v>
      </c>
      <c r="J1853" s="5" t="s">
        <v>22</v>
      </c>
      <c r="K1853" s="5" t="s">
        <v>23</v>
      </c>
      <c r="L1853" s="5" t="s">
        <v>31</v>
      </c>
      <c r="M1853" s="5" t="s">
        <v>284</v>
      </c>
      <c r="N1853" s="5" t="s">
        <v>53</v>
      </c>
      <c r="O1853" s="5">
        <v>128</v>
      </c>
      <c r="P1853" s="5"/>
      <c r="Q1853" s="5"/>
      <c r="R1853" s="8">
        <v>8.1018518518518516E-5</v>
      </c>
      <c r="S1853" s="5" t="s">
        <v>37</v>
      </c>
      <c r="T1853" t="str">
        <f>IF(Tabela1[[#This Row],[STATUS_NEGOCIO]]="Enviar E-mail",1,"")</f>
        <v/>
      </c>
      <c r="U1853" t="str">
        <f>TEXT(Tabela1[[#This Row],[DATA]],"dd/mm/aaaa")</f>
        <v>22/04/2026</v>
      </c>
    </row>
    <row r="1854" spans="1:21" x14ac:dyDescent="0.25">
      <c r="A1854" s="4">
        <v>46134.696932870371</v>
      </c>
      <c r="B1854" s="5" t="s">
        <v>19</v>
      </c>
      <c r="C1854" s="5" t="s">
        <v>37</v>
      </c>
      <c r="D1854" s="5">
        <v>295</v>
      </c>
      <c r="E1854" s="6">
        <v>27931047000125</v>
      </c>
      <c r="F1854" s="5">
        <v>295</v>
      </c>
      <c r="G1854" s="7">
        <v>177688701583691</v>
      </c>
      <c r="H1854" s="5" t="s">
        <v>464</v>
      </c>
      <c r="I1854" s="5">
        <v>3003</v>
      </c>
      <c r="J1854" s="5" t="s">
        <v>22</v>
      </c>
      <c r="K1854" s="5" t="s">
        <v>23</v>
      </c>
      <c r="L1854" s="5" t="s">
        <v>31</v>
      </c>
      <c r="M1854" s="5" t="s">
        <v>284</v>
      </c>
      <c r="N1854" s="5" t="s">
        <v>53</v>
      </c>
      <c r="O1854" s="5">
        <v>128</v>
      </c>
      <c r="P1854" s="5"/>
      <c r="Q1854" s="5"/>
      <c r="R1854" s="8">
        <v>4.6296296296296294E-5</v>
      </c>
      <c r="S1854" s="5" t="s">
        <v>37</v>
      </c>
      <c r="T1854" t="str">
        <f>IF(Tabela1[[#This Row],[STATUS_NEGOCIO]]="Enviar E-mail",1,"")</f>
        <v/>
      </c>
      <c r="U1854" t="str">
        <f>TEXT(Tabela1[[#This Row],[DATA]],"dd/mm/aaaa")</f>
        <v>22/04/2026</v>
      </c>
    </row>
    <row r="1855" spans="1:21" x14ac:dyDescent="0.25">
      <c r="A1855" s="4">
        <v>46134.697002314817</v>
      </c>
      <c r="B1855" s="5" t="s">
        <v>19</v>
      </c>
      <c r="C1855" s="5" t="s">
        <v>37</v>
      </c>
      <c r="D1855" s="5">
        <v>298</v>
      </c>
      <c r="E1855" s="6">
        <v>28093477000188</v>
      </c>
      <c r="F1855" s="5">
        <v>298</v>
      </c>
      <c r="G1855" s="7">
        <v>177688702183711</v>
      </c>
      <c r="H1855" s="5" t="s">
        <v>101</v>
      </c>
      <c r="I1855" s="5">
        <v>3003</v>
      </c>
      <c r="J1855" s="5" t="s">
        <v>22</v>
      </c>
      <c r="K1855" s="5" t="s">
        <v>23</v>
      </c>
      <c r="L1855" s="5" t="s">
        <v>31</v>
      </c>
      <c r="M1855" s="5" t="s">
        <v>284</v>
      </c>
      <c r="N1855" s="5" t="s">
        <v>53</v>
      </c>
      <c r="O1855" s="5">
        <v>128</v>
      </c>
      <c r="P1855" s="5"/>
      <c r="Q1855" s="5"/>
      <c r="R1855" s="8">
        <v>8.1018518518518516E-5</v>
      </c>
      <c r="S1855" s="5" t="s">
        <v>37</v>
      </c>
      <c r="T1855" t="str">
        <f>IF(Tabela1[[#This Row],[STATUS_NEGOCIO]]="Enviar E-mail",1,"")</f>
        <v/>
      </c>
      <c r="U1855" t="str">
        <f>TEXT(Tabela1[[#This Row],[DATA]],"dd/mm/aaaa")</f>
        <v>22/04/2026</v>
      </c>
    </row>
    <row r="1856" spans="1:21" x14ac:dyDescent="0.25">
      <c r="A1856" s="4">
        <v>46134.697025462963</v>
      </c>
      <c r="B1856" s="5" t="s">
        <v>19</v>
      </c>
      <c r="C1856" s="5" t="s">
        <v>37</v>
      </c>
      <c r="D1856" s="5">
        <v>299</v>
      </c>
      <c r="E1856" s="6">
        <v>28113645000150</v>
      </c>
      <c r="F1856" s="5">
        <v>299</v>
      </c>
      <c r="G1856" s="7">
        <v>177688702383731</v>
      </c>
      <c r="H1856" s="5" t="s">
        <v>466</v>
      </c>
      <c r="I1856" s="5">
        <v>3003</v>
      </c>
      <c r="J1856" s="5" t="s">
        <v>22</v>
      </c>
      <c r="K1856" s="5" t="s">
        <v>23</v>
      </c>
      <c r="L1856" s="5" t="s">
        <v>31</v>
      </c>
      <c r="M1856" s="5" t="s">
        <v>284</v>
      </c>
      <c r="N1856" s="5" t="s">
        <v>53</v>
      </c>
      <c r="O1856" s="5">
        <v>128</v>
      </c>
      <c r="P1856" s="5"/>
      <c r="Q1856" s="5"/>
      <c r="R1856" s="8">
        <v>8.1018518518518516E-5</v>
      </c>
      <c r="S1856" s="5" t="s">
        <v>37</v>
      </c>
      <c r="T1856" t="str">
        <f>IF(Tabela1[[#This Row],[STATUS_NEGOCIO]]="Enviar E-mail",1,"")</f>
        <v/>
      </c>
      <c r="U1856" t="str">
        <f>TEXT(Tabela1[[#This Row],[DATA]],"dd/mm/aaaa")</f>
        <v>22/04/2026</v>
      </c>
    </row>
    <row r="1857" spans="1:21" x14ac:dyDescent="0.25">
      <c r="A1857" s="4">
        <v>46134.697048611109</v>
      </c>
      <c r="B1857" s="5" t="s">
        <v>19</v>
      </c>
      <c r="C1857" s="5" t="s">
        <v>37</v>
      </c>
      <c r="D1857" s="5">
        <v>300</v>
      </c>
      <c r="E1857" s="6">
        <v>28483585000167</v>
      </c>
      <c r="F1857" s="5">
        <v>300</v>
      </c>
      <c r="G1857" s="7">
        <v>177688702583751</v>
      </c>
      <c r="H1857" s="5" t="s">
        <v>467</v>
      </c>
      <c r="I1857" s="5" t="s">
        <v>52</v>
      </c>
      <c r="J1857" s="5" t="s">
        <v>22</v>
      </c>
      <c r="K1857" s="5" t="s">
        <v>36</v>
      </c>
      <c r="L1857" s="5" t="s">
        <v>36</v>
      </c>
      <c r="M1857" s="5" t="s">
        <v>284</v>
      </c>
      <c r="N1857" s="5" t="s">
        <v>53</v>
      </c>
      <c r="O1857" s="5">
        <v>34</v>
      </c>
      <c r="P1857" s="5"/>
      <c r="Q1857" s="5"/>
      <c r="R1857" s="8">
        <v>0</v>
      </c>
      <c r="S1857" s="5" t="s">
        <v>37</v>
      </c>
      <c r="T1857" t="str">
        <f>IF(Tabela1[[#This Row],[STATUS_NEGOCIO]]="Enviar E-mail",1,"")</f>
        <v/>
      </c>
      <c r="U1857" t="str">
        <f>TEXT(Tabela1[[#This Row],[DATA]],"dd/mm/aaaa")</f>
        <v>22/04/2026</v>
      </c>
    </row>
    <row r="1858" spans="1:21" x14ac:dyDescent="0.25">
      <c r="A1858" s="4">
        <v>46134.697060185186</v>
      </c>
      <c r="B1858" s="5" t="s">
        <v>19</v>
      </c>
      <c r="C1858" s="5" t="s">
        <v>37</v>
      </c>
      <c r="D1858" s="5">
        <v>301</v>
      </c>
      <c r="E1858" s="6">
        <v>28566081000100</v>
      </c>
      <c r="F1858" s="5">
        <v>301</v>
      </c>
      <c r="G1858" s="7">
        <v>177688702683771</v>
      </c>
      <c r="H1858" s="5" t="s">
        <v>468</v>
      </c>
      <c r="I1858" s="5">
        <v>3003</v>
      </c>
      <c r="J1858" s="5" t="s">
        <v>22</v>
      </c>
      <c r="K1858" s="5" t="s">
        <v>23</v>
      </c>
      <c r="L1858" s="5" t="s">
        <v>31</v>
      </c>
      <c r="M1858" s="5" t="s">
        <v>284</v>
      </c>
      <c r="N1858" s="5" t="s">
        <v>53</v>
      </c>
      <c r="O1858" s="5">
        <v>128</v>
      </c>
      <c r="P1858" s="5"/>
      <c r="Q1858" s="5"/>
      <c r="R1858" s="8">
        <v>8.1018518518518516E-5</v>
      </c>
      <c r="S1858" s="5" t="s">
        <v>37</v>
      </c>
      <c r="T1858" t="str">
        <f>IF(Tabela1[[#This Row],[STATUS_NEGOCIO]]="Enviar E-mail",1,"")</f>
        <v/>
      </c>
      <c r="U1858" t="str">
        <f>TEXT(Tabela1[[#This Row],[DATA]],"dd/mm/aaaa")</f>
        <v>22/04/2026</v>
      </c>
    </row>
    <row r="1859" spans="1:21" x14ac:dyDescent="0.25">
      <c r="A1859" s="4">
        <v>46134.697118055556</v>
      </c>
      <c r="B1859" s="5" t="s">
        <v>19</v>
      </c>
      <c r="C1859" s="5" t="s">
        <v>37</v>
      </c>
      <c r="D1859" s="5">
        <v>302</v>
      </c>
      <c r="E1859" s="6">
        <v>28584852000192</v>
      </c>
      <c r="F1859" s="5">
        <v>302</v>
      </c>
      <c r="G1859" s="7">
        <v>177688703183791</v>
      </c>
      <c r="H1859" s="5" t="s">
        <v>469</v>
      </c>
      <c r="I1859" s="5">
        <v>3003</v>
      </c>
      <c r="J1859" s="5" t="s">
        <v>22</v>
      </c>
      <c r="K1859" s="5" t="s">
        <v>23</v>
      </c>
      <c r="L1859" s="5" t="s">
        <v>31</v>
      </c>
      <c r="M1859" s="5" t="s">
        <v>284</v>
      </c>
      <c r="N1859" s="5" t="s">
        <v>53</v>
      </c>
      <c r="O1859" s="5">
        <v>128</v>
      </c>
      <c r="P1859" s="5"/>
      <c r="Q1859" s="5"/>
      <c r="R1859" s="8">
        <v>8.1018518518518516E-5</v>
      </c>
      <c r="S1859" s="5" t="s">
        <v>37</v>
      </c>
      <c r="T1859" t="str">
        <f>IF(Tabela1[[#This Row],[STATUS_NEGOCIO]]="Enviar E-mail",1,"")</f>
        <v/>
      </c>
      <c r="U1859" t="str">
        <f>TEXT(Tabela1[[#This Row],[DATA]],"dd/mm/aaaa")</f>
        <v>22/04/2026</v>
      </c>
    </row>
    <row r="1860" spans="1:21" x14ac:dyDescent="0.25">
      <c r="A1860" s="4">
        <v>46134.697129629632</v>
      </c>
      <c r="B1860" s="5" t="s">
        <v>19</v>
      </c>
      <c r="C1860" s="5" t="s">
        <v>27</v>
      </c>
      <c r="D1860" s="5">
        <v>304</v>
      </c>
      <c r="E1860" s="6">
        <v>28673609000140</v>
      </c>
      <c r="F1860" s="5">
        <v>304</v>
      </c>
      <c r="G1860" s="7">
        <v>177688703283811</v>
      </c>
      <c r="H1860" s="5" t="s">
        <v>470</v>
      </c>
      <c r="I1860" s="5">
        <v>3003</v>
      </c>
      <c r="J1860" s="5" t="s">
        <v>22</v>
      </c>
      <c r="K1860" s="5" t="s">
        <v>23</v>
      </c>
      <c r="L1860" s="5" t="s">
        <v>95</v>
      </c>
      <c r="M1860" s="5" t="s">
        <v>284</v>
      </c>
      <c r="N1860" s="5" t="s">
        <v>26</v>
      </c>
      <c r="O1860" s="5">
        <v>16</v>
      </c>
      <c r="P1860" s="5"/>
      <c r="Q1860" s="5"/>
      <c r="R1860" s="8">
        <v>6.4814814814814813E-4</v>
      </c>
      <c r="S1860" s="8">
        <v>5.9027777777777778E-4</v>
      </c>
      <c r="T1860" t="str">
        <f>IF(Tabela1[[#This Row],[STATUS_NEGOCIO]]="Enviar E-mail",1,"")</f>
        <v/>
      </c>
      <c r="U1860" t="str">
        <f>TEXT(Tabela1[[#This Row],[DATA]],"dd/mm/aaaa")</f>
        <v>22/04/2026</v>
      </c>
    </row>
    <row r="1861" spans="1:21" x14ac:dyDescent="0.25">
      <c r="A1861" s="4">
        <v>46134.697152777779</v>
      </c>
      <c r="B1861" s="5" t="s">
        <v>19</v>
      </c>
      <c r="C1861" s="5" t="s">
        <v>37</v>
      </c>
      <c r="D1861" s="5">
        <v>305</v>
      </c>
      <c r="E1861" s="6">
        <v>28679579000180</v>
      </c>
      <c r="F1861" s="5">
        <v>305</v>
      </c>
      <c r="G1861" s="7">
        <v>177688703483831</v>
      </c>
      <c r="H1861" s="5" t="s">
        <v>196</v>
      </c>
      <c r="I1861" s="5">
        <v>3003</v>
      </c>
      <c r="J1861" s="5" t="s">
        <v>22</v>
      </c>
      <c r="K1861" s="5" t="s">
        <v>23</v>
      </c>
      <c r="L1861" s="5" t="s">
        <v>31</v>
      </c>
      <c r="M1861" s="5" t="s">
        <v>284</v>
      </c>
      <c r="N1861" s="5" t="s">
        <v>53</v>
      </c>
      <c r="O1861" s="5">
        <v>128</v>
      </c>
      <c r="P1861" s="5"/>
      <c r="Q1861" s="5"/>
      <c r="R1861" s="8">
        <v>8.1018518518518516E-5</v>
      </c>
      <c r="S1861" s="5" t="s">
        <v>37</v>
      </c>
      <c r="T1861" t="str">
        <f>IF(Tabela1[[#This Row],[STATUS_NEGOCIO]]="Enviar E-mail",1,"")</f>
        <v/>
      </c>
      <c r="U1861" t="str">
        <f>TEXT(Tabela1[[#This Row],[DATA]],"dd/mm/aaaa")</f>
        <v>22/04/2026</v>
      </c>
    </row>
    <row r="1862" spans="1:21" x14ac:dyDescent="0.25">
      <c r="A1862" s="4">
        <v>46134.697175925925</v>
      </c>
      <c r="B1862" s="5" t="s">
        <v>19</v>
      </c>
      <c r="C1862" s="5" t="s">
        <v>37</v>
      </c>
      <c r="D1862" s="5">
        <v>306</v>
      </c>
      <c r="E1862" s="6">
        <v>28757458000109</v>
      </c>
      <c r="F1862" s="5">
        <v>306</v>
      </c>
      <c r="G1862" s="7">
        <v>177688703683851</v>
      </c>
      <c r="H1862" s="5" t="s">
        <v>471</v>
      </c>
      <c r="I1862" s="5">
        <v>3003</v>
      </c>
      <c r="J1862" s="5" t="s">
        <v>22</v>
      </c>
      <c r="K1862" s="5" t="s">
        <v>23</v>
      </c>
      <c r="L1862" s="5" t="s">
        <v>31</v>
      </c>
      <c r="M1862" s="5" t="s">
        <v>284</v>
      </c>
      <c r="N1862" s="5" t="s">
        <v>26</v>
      </c>
      <c r="O1862" s="5">
        <v>131</v>
      </c>
      <c r="P1862" s="5"/>
      <c r="Q1862" s="5"/>
      <c r="R1862" s="8">
        <v>6.9444444444444444E-5</v>
      </c>
      <c r="S1862" s="5" t="s">
        <v>37</v>
      </c>
      <c r="T1862" t="str">
        <f>IF(Tabela1[[#This Row],[STATUS_NEGOCIO]]="Enviar E-mail",1,"")</f>
        <v/>
      </c>
      <c r="U1862" t="str">
        <f>TEXT(Tabela1[[#This Row],[DATA]],"dd/mm/aaaa")</f>
        <v>22/04/2026</v>
      </c>
    </row>
    <row r="1863" spans="1:21" x14ac:dyDescent="0.25">
      <c r="A1863" s="4">
        <v>46134.697256944448</v>
      </c>
      <c r="B1863" s="5" t="s">
        <v>19</v>
      </c>
      <c r="C1863" s="5" t="s">
        <v>37</v>
      </c>
      <c r="D1863" s="5">
        <v>307</v>
      </c>
      <c r="E1863" s="6">
        <v>28774621000141</v>
      </c>
      <c r="F1863" s="5">
        <v>307</v>
      </c>
      <c r="G1863" s="7">
        <v>177688704383871</v>
      </c>
      <c r="H1863" s="5" t="s">
        <v>472</v>
      </c>
      <c r="I1863" s="5">
        <v>3003</v>
      </c>
      <c r="J1863" s="5" t="s">
        <v>22</v>
      </c>
      <c r="K1863" s="5" t="s">
        <v>23</v>
      </c>
      <c r="L1863" s="5" t="s">
        <v>31</v>
      </c>
      <c r="M1863" s="5" t="s">
        <v>284</v>
      </c>
      <c r="N1863" s="5" t="s">
        <v>53</v>
      </c>
      <c r="O1863" s="5">
        <v>128</v>
      </c>
      <c r="P1863" s="5"/>
      <c r="Q1863" s="5"/>
      <c r="R1863" s="8">
        <v>8.1018518518518516E-5</v>
      </c>
      <c r="S1863" s="5" t="s">
        <v>37</v>
      </c>
      <c r="T1863" t="str">
        <f>IF(Tabela1[[#This Row],[STATUS_NEGOCIO]]="Enviar E-mail",1,"")</f>
        <v/>
      </c>
      <c r="U1863" t="str">
        <f>TEXT(Tabela1[[#This Row],[DATA]],"dd/mm/aaaa")</f>
        <v>22/04/2026</v>
      </c>
    </row>
    <row r="1864" spans="1:21" x14ac:dyDescent="0.25">
      <c r="A1864" s="4">
        <v>46134.697291666664</v>
      </c>
      <c r="B1864" s="5" t="s">
        <v>19</v>
      </c>
      <c r="C1864" s="5" t="s">
        <v>37</v>
      </c>
      <c r="D1864" s="5">
        <v>308</v>
      </c>
      <c r="E1864" s="6">
        <v>28801829000102</v>
      </c>
      <c r="F1864" s="5">
        <v>308</v>
      </c>
      <c r="G1864" s="7">
        <v>177688704683901</v>
      </c>
      <c r="H1864" s="5" t="s">
        <v>473</v>
      </c>
      <c r="I1864" s="5">
        <v>3003</v>
      </c>
      <c r="J1864" s="5" t="s">
        <v>22</v>
      </c>
      <c r="K1864" s="5" t="s">
        <v>23</v>
      </c>
      <c r="L1864" s="5" t="s">
        <v>31</v>
      </c>
      <c r="M1864" s="5" t="s">
        <v>284</v>
      </c>
      <c r="N1864" s="5" t="s">
        <v>53</v>
      </c>
      <c r="O1864" s="5">
        <v>128</v>
      </c>
      <c r="P1864" s="5"/>
      <c r="Q1864" s="5"/>
      <c r="R1864" s="8">
        <v>8.1018518518518516E-5</v>
      </c>
      <c r="S1864" s="5" t="s">
        <v>37</v>
      </c>
      <c r="T1864" t="str">
        <f>IF(Tabela1[[#This Row],[STATUS_NEGOCIO]]="Enviar E-mail",1,"")</f>
        <v/>
      </c>
      <c r="U1864" t="str">
        <f>TEXT(Tabela1[[#This Row],[DATA]],"dd/mm/aaaa")</f>
        <v>22/04/2026</v>
      </c>
    </row>
    <row r="1865" spans="1:21" x14ac:dyDescent="0.25">
      <c r="A1865" s="4">
        <v>46134.697337962964</v>
      </c>
      <c r="B1865" s="5" t="s">
        <v>19</v>
      </c>
      <c r="C1865" s="5" t="s">
        <v>37</v>
      </c>
      <c r="D1865" s="5">
        <v>309</v>
      </c>
      <c r="E1865" s="6">
        <v>28804490000106</v>
      </c>
      <c r="F1865" s="5">
        <v>309</v>
      </c>
      <c r="G1865" s="7">
        <v>177688705083921</v>
      </c>
      <c r="H1865" s="5" t="s">
        <v>177</v>
      </c>
      <c r="I1865" s="5">
        <v>3003</v>
      </c>
      <c r="J1865" s="5" t="s">
        <v>22</v>
      </c>
      <c r="K1865" s="5" t="s">
        <v>23</v>
      </c>
      <c r="L1865" s="5" t="s">
        <v>31</v>
      </c>
      <c r="M1865" s="5" t="s">
        <v>284</v>
      </c>
      <c r="N1865" s="5" t="s">
        <v>53</v>
      </c>
      <c r="O1865" s="5">
        <v>128</v>
      </c>
      <c r="P1865" s="5"/>
      <c r="Q1865" s="5"/>
      <c r="R1865" s="8">
        <v>8.1018518518518516E-5</v>
      </c>
      <c r="S1865" s="5" t="s">
        <v>37</v>
      </c>
      <c r="T1865" t="str">
        <f>IF(Tabela1[[#This Row],[STATUS_NEGOCIO]]="Enviar E-mail",1,"")</f>
        <v/>
      </c>
      <c r="U1865" t="str">
        <f>TEXT(Tabela1[[#This Row],[DATA]],"dd/mm/aaaa")</f>
        <v>22/04/2026</v>
      </c>
    </row>
    <row r="1866" spans="1:21" x14ac:dyDescent="0.25">
      <c r="A1866" s="4">
        <v>46134.697372685187</v>
      </c>
      <c r="B1866" s="5" t="s">
        <v>19</v>
      </c>
      <c r="C1866" s="5" t="s">
        <v>37</v>
      </c>
      <c r="D1866" s="5">
        <v>310</v>
      </c>
      <c r="E1866" s="6">
        <v>28818441000114</v>
      </c>
      <c r="F1866" s="5">
        <v>310</v>
      </c>
      <c r="G1866" s="7">
        <v>177688705383991</v>
      </c>
      <c r="H1866" s="5" t="s">
        <v>474</v>
      </c>
      <c r="I1866" s="5">
        <v>3003</v>
      </c>
      <c r="J1866" s="5" t="s">
        <v>22</v>
      </c>
      <c r="K1866" s="5" t="s">
        <v>23</v>
      </c>
      <c r="L1866" s="5" t="s">
        <v>31</v>
      </c>
      <c r="M1866" s="5" t="s">
        <v>284</v>
      </c>
      <c r="N1866" s="5" t="s">
        <v>53</v>
      </c>
      <c r="O1866" s="5">
        <v>128</v>
      </c>
      <c r="P1866" s="5"/>
      <c r="Q1866" s="5"/>
      <c r="R1866" s="8">
        <v>6.9444444444444444E-5</v>
      </c>
      <c r="S1866" s="5" t="s">
        <v>37</v>
      </c>
      <c r="T1866" t="str">
        <f>IF(Tabela1[[#This Row],[STATUS_NEGOCIO]]="Enviar E-mail",1,"")</f>
        <v/>
      </c>
      <c r="U1866" t="str">
        <f>TEXT(Tabela1[[#This Row],[DATA]],"dd/mm/aaaa")</f>
        <v>22/04/2026</v>
      </c>
    </row>
    <row r="1867" spans="1:21" x14ac:dyDescent="0.25">
      <c r="A1867" s="4">
        <v>46134.697418981479</v>
      </c>
      <c r="B1867" s="5" t="s">
        <v>19</v>
      </c>
      <c r="C1867" s="5" t="s">
        <v>37</v>
      </c>
      <c r="D1867" s="5">
        <v>311</v>
      </c>
      <c r="E1867" s="6">
        <v>28839589000135</v>
      </c>
      <c r="F1867" s="5">
        <v>311</v>
      </c>
      <c r="G1867" s="7">
        <v>177688705784031</v>
      </c>
      <c r="H1867" s="5" t="s">
        <v>475</v>
      </c>
      <c r="I1867" s="5">
        <v>3003</v>
      </c>
      <c r="J1867" s="5" t="s">
        <v>22</v>
      </c>
      <c r="K1867" s="5" t="s">
        <v>23</v>
      </c>
      <c r="L1867" s="5" t="s">
        <v>31</v>
      </c>
      <c r="M1867" s="5" t="s">
        <v>284</v>
      </c>
      <c r="N1867" s="5" t="s">
        <v>53</v>
      </c>
      <c r="O1867" s="5">
        <v>128</v>
      </c>
      <c r="P1867" s="5"/>
      <c r="Q1867" s="5"/>
      <c r="R1867" s="8">
        <v>8.1018518518518516E-5</v>
      </c>
      <c r="S1867" s="5" t="s">
        <v>37</v>
      </c>
      <c r="T1867" t="str">
        <f>IF(Tabela1[[#This Row],[STATUS_NEGOCIO]]="Enviar E-mail",1,"")</f>
        <v/>
      </c>
      <c r="U1867" t="str">
        <f>TEXT(Tabela1[[#This Row],[DATA]],"dd/mm/aaaa")</f>
        <v>22/04/2026</v>
      </c>
    </row>
    <row r="1868" spans="1:21" x14ac:dyDescent="0.25">
      <c r="A1868" s="4">
        <v>46134.697418981479</v>
      </c>
      <c r="B1868" s="5" t="s">
        <v>19</v>
      </c>
      <c r="C1868" s="5" t="s">
        <v>37</v>
      </c>
      <c r="D1868" s="5">
        <v>312</v>
      </c>
      <c r="E1868" s="6">
        <v>28886281000140</v>
      </c>
      <c r="F1868" s="5">
        <v>312</v>
      </c>
      <c r="G1868" s="7">
        <v>177688705784041</v>
      </c>
      <c r="H1868" s="5" t="s">
        <v>476</v>
      </c>
      <c r="I1868" s="5">
        <v>3003</v>
      </c>
      <c r="J1868" s="5" t="s">
        <v>22</v>
      </c>
      <c r="K1868" s="5" t="s">
        <v>23</v>
      </c>
      <c r="L1868" s="5" t="s">
        <v>31</v>
      </c>
      <c r="M1868" s="5" t="s">
        <v>284</v>
      </c>
      <c r="N1868" s="5" t="s">
        <v>53</v>
      </c>
      <c r="O1868" s="5">
        <v>128</v>
      </c>
      <c r="P1868" s="5"/>
      <c r="Q1868" s="5"/>
      <c r="R1868" s="8">
        <v>8.1018518518518516E-5</v>
      </c>
      <c r="S1868" s="5" t="s">
        <v>37</v>
      </c>
      <c r="T1868" t="str">
        <f>IF(Tabela1[[#This Row],[STATUS_NEGOCIO]]="Enviar E-mail",1,"")</f>
        <v/>
      </c>
      <c r="U1868" t="str">
        <f>TEXT(Tabela1[[#This Row],[DATA]],"dd/mm/aaaa")</f>
        <v>22/04/2026</v>
      </c>
    </row>
    <row r="1869" spans="1:21" x14ac:dyDescent="0.25">
      <c r="A1869" s="4">
        <v>46134.697465277779</v>
      </c>
      <c r="B1869" s="5" t="s">
        <v>19</v>
      </c>
      <c r="C1869" s="5" t="s">
        <v>37</v>
      </c>
      <c r="D1869" s="5">
        <v>313</v>
      </c>
      <c r="E1869" s="6">
        <v>28889028000140</v>
      </c>
      <c r="F1869" s="5">
        <v>313</v>
      </c>
      <c r="G1869" s="7">
        <v>177688706184051</v>
      </c>
      <c r="H1869" s="5" t="s">
        <v>477</v>
      </c>
      <c r="I1869" s="5">
        <v>3003</v>
      </c>
      <c r="J1869" s="5" t="s">
        <v>22</v>
      </c>
      <c r="K1869" s="5" t="s">
        <v>23</v>
      </c>
      <c r="L1869" s="5" t="s">
        <v>31</v>
      </c>
      <c r="M1869" s="5" t="s">
        <v>284</v>
      </c>
      <c r="N1869" s="5" t="s">
        <v>53</v>
      </c>
      <c r="O1869" s="5">
        <v>128</v>
      </c>
      <c r="P1869" s="5"/>
      <c r="Q1869" s="5"/>
      <c r="R1869" s="8">
        <v>8.1018518518518516E-5</v>
      </c>
      <c r="S1869" s="5" t="s">
        <v>37</v>
      </c>
      <c r="T1869" t="str">
        <f>IF(Tabela1[[#This Row],[STATUS_NEGOCIO]]="Enviar E-mail",1,"")</f>
        <v/>
      </c>
      <c r="U1869" t="str">
        <f>TEXT(Tabela1[[#This Row],[DATA]],"dd/mm/aaaa")</f>
        <v>22/04/2026</v>
      </c>
    </row>
    <row r="1870" spans="1:21" x14ac:dyDescent="0.25">
      <c r="A1870" s="4">
        <v>46134.697511574072</v>
      </c>
      <c r="B1870" s="5" t="s">
        <v>19</v>
      </c>
      <c r="C1870" s="5" t="s">
        <v>37</v>
      </c>
      <c r="D1870" s="5">
        <v>314</v>
      </c>
      <c r="E1870" s="6">
        <v>29203700000165</v>
      </c>
      <c r="F1870" s="5">
        <v>314</v>
      </c>
      <c r="G1870" s="7">
        <v>177688706584071</v>
      </c>
      <c r="H1870" s="5" t="s">
        <v>478</v>
      </c>
      <c r="I1870" s="5">
        <v>3003</v>
      </c>
      <c r="J1870" s="5" t="s">
        <v>22</v>
      </c>
      <c r="K1870" s="5" t="s">
        <v>23</v>
      </c>
      <c r="L1870" s="5" t="s">
        <v>31</v>
      </c>
      <c r="M1870" s="5" t="s">
        <v>284</v>
      </c>
      <c r="N1870" s="5" t="s">
        <v>53</v>
      </c>
      <c r="O1870" s="5">
        <v>128</v>
      </c>
      <c r="P1870" s="5"/>
      <c r="Q1870" s="5"/>
      <c r="R1870" s="8">
        <v>8.1018518518518516E-5</v>
      </c>
      <c r="S1870" s="5" t="s">
        <v>37</v>
      </c>
      <c r="T1870" t="str">
        <f>IF(Tabela1[[#This Row],[STATUS_NEGOCIO]]="Enviar E-mail",1,"")</f>
        <v/>
      </c>
      <c r="U1870" t="str">
        <f>TEXT(Tabela1[[#This Row],[DATA]],"dd/mm/aaaa")</f>
        <v>22/04/2026</v>
      </c>
    </row>
    <row r="1871" spans="1:21" x14ac:dyDescent="0.25">
      <c r="A1871" s="4">
        <v>46134.697557870371</v>
      </c>
      <c r="B1871" s="5" t="s">
        <v>19</v>
      </c>
      <c r="C1871" s="5" t="s">
        <v>37</v>
      </c>
      <c r="D1871" s="5">
        <v>315</v>
      </c>
      <c r="E1871" s="6">
        <v>29230335000188</v>
      </c>
      <c r="F1871" s="5">
        <v>315</v>
      </c>
      <c r="G1871" s="7">
        <v>177688706984091</v>
      </c>
      <c r="H1871" s="5" t="s">
        <v>479</v>
      </c>
      <c r="I1871" s="5">
        <v>3003</v>
      </c>
      <c r="J1871" s="5" t="s">
        <v>22</v>
      </c>
      <c r="K1871" s="5" t="s">
        <v>23</v>
      </c>
      <c r="L1871" s="5" t="s">
        <v>31</v>
      </c>
      <c r="M1871" s="5" t="s">
        <v>284</v>
      </c>
      <c r="N1871" s="5" t="s">
        <v>53</v>
      </c>
      <c r="O1871" s="5">
        <v>128</v>
      </c>
      <c r="P1871" s="5"/>
      <c r="Q1871" s="5"/>
      <c r="R1871" s="8">
        <v>8.1018518518518516E-5</v>
      </c>
      <c r="S1871" s="5" t="s">
        <v>37</v>
      </c>
      <c r="T1871" t="str">
        <f>IF(Tabela1[[#This Row],[STATUS_NEGOCIO]]="Enviar E-mail",1,"")</f>
        <v/>
      </c>
      <c r="U1871" t="str">
        <f>TEXT(Tabela1[[#This Row],[DATA]],"dd/mm/aaaa")</f>
        <v>22/04/2026</v>
      </c>
    </row>
    <row r="1872" spans="1:21" x14ac:dyDescent="0.25">
      <c r="A1872" s="4">
        <v>46134.697569444441</v>
      </c>
      <c r="B1872" s="5" t="s">
        <v>19</v>
      </c>
      <c r="C1872" s="5" t="s">
        <v>37</v>
      </c>
      <c r="D1872" s="5">
        <v>318</v>
      </c>
      <c r="E1872" s="6">
        <v>29313890000173</v>
      </c>
      <c r="F1872" s="5">
        <v>318</v>
      </c>
      <c r="G1872" s="7">
        <v>177688707084111</v>
      </c>
      <c r="H1872" s="5" t="s">
        <v>481</v>
      </c>
      <c r="I1872" s="5" t="s">
        <v>52</v>
      </c>
      <c r="J1872" s="5" t="s">
        <v>22</v>
      </c>
      <c r="K1872" s="5" t="s">
        <v>36</v>
      </c>
      <c r="L1872" s="5" t="s">
        <v>36</v>
      </c>
      <c r="M1872" s="5" t="s">
        <v>284</v>
      </c>
      <c r="N1872" s="5" t="s">
        <v>53</v>
      </c>
      <c r="O1872" s="5">
        <v>1</v>
      </c>
      <c r="P1872" s="5"/>
      <c r="Q1872" s="5"/>
      <c r="R1872" s="8">
        <v>0</v>
      </c>
      <c r="S1872" s="5" t="s">
        <v>37</v>
      </c>
      <c r="T1872" t="str">
        <f>IF(Tabela1[[#This Row],[STATUS_NEGOCIO]]="Enviar E-mail",1,"")</f>
        <v/>
      </c>
      <c r="U1872" t="str">
        <f>TEXT(Tabela1[[#This Row],[DATA]],"dd/mm/aaaa")</f>
        <v>22/04/2026</v>
      </c>
    </row>
    <row r="1873" spans="1:21" x14ac:dyDescent="0.25">
      <c r="A1873" s="4">
        <v>46134.697650462964</v>
      </c>
      <c r="B1873" s="5" t="s">
        <v>19</v>
      </c>
      <c r="C1873" s="5" t="s">
        <v>27</v>
      </c>
      <c r="D1873" s="5">
        <v>320</v>
      </c>
      <c r="E1873" s="6">
        <v>29348695000189</v>
      </c>
      <c r="F1873" s="5">
        <v>320</v>
      </c>
      <c r="G1873" s="7">
        <v>177688707784131</v>
      </c>
      <c r="H1873" s="5" t="s">
        <v>482</v>
      </c>
      <c r="I1873" s="5">
        <v>3003</v>
      </c>
      <c r="J1873" s="5" t="s">
        <v>22</v>
      </c>
      <c r="K1873" s="5" t="s">
        <v>23</v>
      </c>
      <c r="L1873" s="5" t="s">
        <v>40</v>
      </c>
      <c r="M1873" s="5" t="s">
        <v>284</v>
      </c>
      <c r="N1873" s="5" t="s">
        <v>26</v>
      </c>
      <c r="O1873" s="5">
        <v>16</v>
      </c>
      <c r="P1873" s="5"/>
      <c r="Q1873" s="5"/>
      <c r="R1873" s="8">
        <v>3.1944444444444446E-3</v>
      </c>
      <c r="S1873" s="8">
        <v>2.9861111111111113E-3</v>
      </c>
      <c r="T1873">
        <f>IF(Tabela1[[#This Row],[STATUS_NEGOCIO]]="Enviar E-mail",1,"")</f>
        <v>1</v>
      </c>
      <c r="U1873" t="str">
        <f>TEXT(Tabela1[[#This Row],[DATA]],"dd/mm/aaaa")</f>
        <v>22/04/2026</v>
      </c>
    </row>
    <row r="1874" spans="1:21" x14ac:dyDescent="0.25">
      <c r="A1874" s="4">
        <v>46134.697662037041</v>
      </c>
      <c r="B1874" s="5" t="s">
        <v>19</v>
      </c>
      <c r="C1874" s="5" t="s">
        <v>37</v>
      </c>
      <c r="D1874" s="5">
        <v>322</v>
      </c>
      <c r="E1874" s="6">
        <v>29549276000105</v>
      </c>
      <c r="F1874" s="5">
        <v>322</v>
      </c>
      <c r="G1874" s="7">
        <v>177688707884151</v>
      </c>
      <c r="H1874" s="5" t="s">
        <v>484</v>
      </c>
      <c r="I1874" s="5">
        <v>3003</v>
      </c>
      <c r="J1874" s="5" t="s">
        <v>22</v>
      </c>
      <c r="K1874" s="5" t="s">
        <v>23</v>
      </c>
      <c r="L1874" s="5" t="s">
        <v>31</v>
      </c>
      <c r="M1874" s="5" t="s">
        <v>284</v>
      </c>
      <c r="N1874" s="5" t="s">
        <v>53</v>
      </c>
      <c r="O1874" s="5">
        <v>147</v>
      </c>
      <c r="P1874" s="5"/>
      <c r="Q1874" s="5"/>
      <c r="R1874" s="8">
        <v>8.1018518518518516E-5</v>
      </c>
      <c r="S1874" s="5" t="s">
        <v>37</v>
      </c>
      <c r="T1874" t="str">
        <f>IF(Tabela1[[#This Row],[STATUS_NEGOCIO]]="Enviar E-mail",1,"")</f>
        <v/>
      </c>
      <c r="U1874" t="str">
        <f>TEXT(Tabela1[[#This Row],[DATA]],"dd/mm/aaaa")</f>
        <v>22/04/2026</v>
      </c>
    </row>
    <row r="1875" spans="1:21" x14ac:dyDescent="0.25">
      <c r="A1875" s="4">
        <v>46134.697685185187</v>
      </c>
      <c r="B1875" s="5" t="s">
        <v>19</v>
      </c>
      <c r="C1875" s="5" t="s">
        <v>37</v>
      </c>
      <c r="D1875" s="5">
        <v>325</v>
      </c>
      <c r="E1875" s="6">
        <v>29654365000111</v>
      </c>
      <c r="F1875" s="5">
        <v>325</v>
      </c>
      <c r="G1875" s="7">
        <v>177688708084171</v>
      </c>
      <c r="H1875" s="5" t="s">
        <v>487</v>
      </c>
      <c r="I1875" s="5">
        <v>3003</v>
      </c>
      <c r="J1875" s="5" t="s">
        <v>22</v>
      </c>
      <c r="K1875" s="5" t="s">
        <v>23</v>
      </c>
      <c r="L1875" s="5" t="s">
        <v>31</v>
      </c>
      <c r="M1875" s="5" t="s">
        <v>284</v>
      </c>
      <c r="N1875" s="5" t="s">
        <v>53</v>
      </c>
      <c r="O1875" s="5">
        <v>128</v>
      </c>
      <c r="P1875" s="5"/>
      <c r="Q1875" s="5"/>
      <c r="R1875" s="8">
        <v>8.1018518518518516E-5</v>
      </c>
      <c r="S1875" s="5" t="s">
        <v>37</v>
      </c>
      <c r="T1875" t="str">
        <f>IF(Tabela1[[#This Row],[STATUS_NEGOCIO]]="Enviar E-mail",1,"")</f>
        <v/>
      </c>
      <c r="U1875" t="str">
        <f>TEXT(Tabela1[[#This Row],[DATA]],"dd/mm/aaaa")</f>
        <v>22/04/2026</v>
      </c>
    </row>
    <row r="1876" spans="1:21" x14ac:dyDescent="0.25">
      <c r="A1876" s="4">
        <v>46134.697731481479</v>
      </c>
      <c r="B1876" s="5" t="s">
        <v>19</v>
      </c>
      <c r="C1876" s="5" t="s">
        <v>37</v>
      </c>
      <c r="D1876" s="5">
        <v>326</v>
      </c>
      <c r="E1876" s="6">
        <v>29688710000138</v>
      </c>
      <c r="F1876" s="5">
        <v>326</v>
      </c>
      <c r="G1876" s="7">
        <v>177688708484191</v>
      </c>
      <c r="H1876" s="5" t="s">
        <v>169</v>
      </c>
      <c r="I1876" s="5">
        <v>3003</v>
      </c>
      <c r="J1876" s="5" t="s">
        <v>22</v>
      </c>
      <c r="K1876" s="5" t="s">
        <v>23</v>
      </c>
      <c r="L1876" s="5" t="s">
        <v>31</v>
      </c>
      <c r="M1876" s="5" t="s">
        <v>284</v>
      </c>
      <c r="N1876" s="5" t="s">
        <v>53</v>
      </c>
      <c r="O1876" s="5">
        <v>128</v>
      </c>
      <c r="P1876" s="5"/>
      <c r="Q1876" s="5"/>
      <c r="R1876" s="8">
        <v>6.9444444444444444E-5</v>
      </c>
      <c r="S1876" s="5" t="s">
        <v>37</v>
      </c>
      <c r="T1876" t="str">
        <f>IF(Tabela1[[#This Row],[STATUS_NEGOCIO]]="Enviar E-mail",1,"")</f>
        <v/>
      </c>
      <c r="U1876" t="str">
        <f>TEXT(Tabela1[[#This Row],[DATA]],"dd/mm/aaaa")</f>
        <v>22/04/2026</v>
      </c>
    </row>
    <row r="1877" spans="1:21" x14ac:dyDescent="0.25">
      <c r="A1877" s="4">
        <v>46134.697870370372</v>
      </c>
      <c r="B1877" s="5" t="s">
        <v>19</v>
      </c>
      <c r="C1877" s="5" t="s">
        <v>37</v>
      </c>
      <c r="D1877" s="5">
        <v>327</v>
      </c>
      <c r="E1877" s="6">
        <v>29732268000108</v>
      </c>
      <c r="F1877" s="5">
        <v>327</v>
      </c>
      <c r="G1877" s="7">
        <v>177688709684211</v>
      </c>
      <c r="H1877" s="5" t="s">
        <v>71</v>
      </c>
      <c r="I1877" s="5" t="s">
        <v>52</v>
      </c>
      <c r="J1877" s="5" t="s">
        <v>22</v>
      </c>
      <c r="K1877" s="5" t="s">
        <v>36</v>
      </c>
      <c r="L1877" s="5" t="s">
        <v>36</v>
      </c>
      <c r="M1877" s="5" t="s">
        <v>284</v>
      </c>
      <c r="N1877" s="5" t="s">
        <v>53</v>
      </c>
      <c r="O1877" s="5">
        <v>19</v>
      </c>
      <c r="P1877" s="5"/>
      <c r="Q1877" s="5"/>
      <c r="R1877" s="8">
        <v>0</v>
      </c>
      <c r="S1877" s="5" t="s">
        <v>37</v>
      </c>
      <c r="T1877" t="str">
        <f>IF(Tabela1[[#This Row],[STATUS_NEGOCIO]]="Enviar E-mail",1,"")</f>
        <v/>
      </c>
      <c r="U1877" t="str">
        <f>TEXT(Tabela1[[#This Row],[DATA]],"dd/mm/aaaa")</f>
        <v>22/04/2026</v>
      </c>
    </row>
    <row r="1878" spans="1:21" x14ac:dyDescent="0.25">
      <c r="A1878" s="4">
        <v>46134.697893518518</v>
      </c>
      <c r="B1878" s="5" t="s">
        <v>19</v>
      </c>
      <c r="C1878" s="5" t="s">
        <v>37</v>
      </c>
      <c r="D1878" s="5">
        <v>328</v>
      </c>
      <c r="E1878" s="6">
        <v>29762098000104</v>
      </c>
      <c r="F1878" s="5">
        <v>328</v>
      </c>
      <c r="G1878" s="7">
        <v>177688709884241</v>
      </c>
      <c r="H1878" s="5" t="s">
        <v>488</v>
      </c>
      <c r="I1878" s="5" t="s">
        <v>52</v>
      </c>
      <c r="J1878" s="5" t="s">
        <v>22</v>
      </c>
      <c r="K1878" s="5" t="s">
        <v>36</v>
      </c>
      <c r="L1878" s="5" t="s">
        <v>36</v>
      </c>
      <c r="M1878" s="5" t="s">
        <v>284</v>
      </c>
      <c r="N1878" s="5" t="s">
        <v>53</v>
      </c>
      <c r="O1878" s="5">
        <v>34</v>
      </c>
      <c r="P1878" s="5"/>
      <c r="Q1878" s="5"/>
      <c r="R1878" s="8">
        <v>0</v>
      </c>
      <c r="S1878" s="5" t="s">
        <v>37</v>
      </c>
      <c r="T1878" t="str">
        <f>IF(Tabela1[[#This Row],[STATUS_NEGOCIO]]="Enviar E-mail",1,"")</f>
        <v/>
      </c>
      <c r="U1878" t="str">
        <f>TEXT(Tabela1[[#This Row],[DATA]],"dd/mm/aaaa")</f>
        <v>22/04/2026</v>
      </c>
    </row>
    <row r="1879" spans="1:21" x14ac:dyDescent="0.25">
      <c r="A1879" s="4">
        <v>46134.697905092595</v>
      </c>
      <c r="B1879" s="5" t="s">
        <v>19</v>
      </c>
      <c r="C1879" s="5" t="s">
        <v>37</v>
      </c>
      <c r="D1879" s="5">
        <v>329</v>
      </c>
      <c r="E1879" s="6">
        <v>29763215000146</v>
      </c>
      <c r="F1879" s="5">
        <v>329</v>
      </c>
      <c r="G1879" s="7">
        <v>177688709984261</v>
      </c>
      <c r="H1879" s="5" t="s">
        <v>489</v>
      </c>
      <c r="I1879" s="5">
        <v>3003</v>
      </c>
      <c r="J1879" s="5" t="s">
        <v>22</v>
      </c>
      <c r="K1879" s="5" t="s">
        <v>23</v>
      </c>
      <c r="L1879" s="5" t="s">
        <v>31</v>
      </c>
      <c r="M1879" s="5" t="s">
        <v>284</v>
      </c>
      <c r="N1879" s="5" t="s">
        <v>53</v>
      </c>
      <c r="O1879" s="5">
        <v>128</v>
      </c>
      <c r="P1879" s="5"/>
      <c r="Q1879" s="5"/>
      <c r="R1879" s="8">
        <v>8.1018518518518516E-5</v>
      </c>
      <c r="S1879" s="5" t="s">
        <v>37</v>
      </c>
      <c r="T1879" t="str">
        <f>IF(Tabela1[[#This Row],[STATUS_NEGOCIO]]="Enviar E-mail",1,"")</f>
        <v/>
      </c>
      <c r="U1879" t="str">
        <f>TEXT(Tabela1[[#This Row],[DATA]],"dd/mm/aaaa")</f>
        <v>22/04/2026</v>
      </c>
    </row>
    <row r="1880" spans="1:21" x14ac:dyDescent="0.25">
      <c r="A1880" s="4">
        <v>46134.697905092595</v>
      </c>
      <c r="B1880" s="5" t="s">
        <v>19</v>
      </c>
      <c r="C1880" s="5" t="s">
        <v>37</v>
      </c>
      <c r="D1880" s="5">
        <v>330</v>
      </c>
      <c r="E1880" s="6">
        <v>29804549000110</v>
      </c>
      <c r="F1880" s="5">
        <v>330</v>
      </c>
      <c r="G1880" s="7">
        <v>177688709984271</v>
      </c>
      <c r="H1880" s="5" t="s">
        <v>186</v>
      </c>
      <c r="I1880" s="5">
        <v>3003</v>
      </c>
      <c r="J1880" s="5" t="s">
        <v>22</v>
      </c>
      <c r="K1880" s="5" t="s">
        <v>23</v>
      </c>
      <c r="L1880" s="5" t="s">
        <v>31</v>
      </c>
      <c r="M1880" s="5" t="s">
        <v>284</v>
      </c>
      <c r="N1880" s="5" t="s">
        <v>53</v>
      </c>
      <c r="O1880" s="5">
        <v>128</v>
      </c>
      <c r="P1880" s="5"/>
      <c r="Q1880" s="5"/>
      <c r="R1880" s="8">
        <v>8.1018518518518516E-5</v>
      </c>
      <c r="S1880" s="5" t="s">
        <v>37</v>
      </c>
      <c r="T1880" t="str">
        <f>IF(Tabela1[[#This Row],[STATUS_NEGOCIO]]="Enviar E-mail",1,"")</f>
        <v/>
      </c>
      <c r="U1880" t="str">
        <f>TEXT(Tabela1[[#This Row],[DATA]],"dd/mm/aaaa")</f>
        <v>22/04/2026</v>
      </c>
    </row>
    <row r="1881" spans="1:21" x14ac:dyDescent="0.25">
      <c r="A1881" s="4">
        <v>46134.697928240741</v>
      </c>
      <c r="B1881" s="5" t="s">
        <v>19</v>
      </c>
      <c r="C1881" s="5" t="s">
        <v>37</v>
      </c>
      <c r="D1881" s="5">
        <v>331</v>
      </c>
      <c r="E1881" s="6">
        <v>29971512000187</v>
      </c>
      <c r="F1881" s="5">
        <v>331</v>
      </c>
      <c r="G1881" s="7">
        <v>177688710184281</v>
      </c>
      <c r="H1881" s="5" t="s">
        <v>490</v>
      </c>
      <c r="I1881" s="5">
        <v>3003</v>
      </c>
      <c r="J1881" s="5" t="s">
        <v>22</v>
      </c>
      <c r="K1881" s="5" t="s">
        <v>23</v>
      </c>
      <c r="L1881" s="5" t="s">
        <v>31</v>
      </c>
      <c r="M1881" s="5" t="s">
        <v>284</v>
      </c>
      <c r="N1881" s="5" t="s">
        <v>53</v>
      </c>
      <c r="O1881" s="5">
        <v>128</v>
      </c>
      <c r="P1881" s="5"/>
      <c r="Q1881" s="5"/>
      <c r="R1881" s="8">
        <v>8.1018518518518516E-5</v>
      </c>
      <c r="S1881" s="5" t="s">
        <v>37</v>
      </c>
      <c r="T1881" t="str">
        <f>IF(Tabela1[[#This Row],[STATUS_NEGOCIO]]="Enviar E-mail",1,"")</f>
        <v/>
      </c>
      <c r="U1881" t="str">
        <f>TEXT(Tabela1[[#This Row],[DATA]],"dd/mm/aaaa")</f>
        <v>22/04/2026</v>
      </c>
    </row>
    <row r="1882" spans="1:21" x14ac:dyDescent="0.25">
      <c r="A1882" s="4">
        <v>46134.69804398148</v>
      </c>
      <c r="B1882" s="5" t="s">
        <v>19</v>
      </c>
      <c r="C1882" s="5" t="s">
        <v>37</v>
      </c>
      <c r="D1882" s="5">
        <v>332</v>
      </c>
      <c r="E1882" s="6">
        <v>29976990000180</v>
      </c>
      <c r="F1882" s="5">
        <v>332</v>
      </c>
      <c r="G1882" s="7">
        <v>177688711184311</v>
      </c>
      <c r="H1882" s="5" t="s">
        <v>491</v>
      </c>
      <c r="I1882" s="5">
        <v>3003</v>
      </c>
      <c r="J1882" s="5" t="s">
        <v>22</v>
      </c>
      <c r="K1882" s="5" t="s">
        <v>23</v>
      </c>
      <c r="L1882" s="5" t="s">
        <v>31</v>
      </c>
      <c r="M1882" s="5" t="s">
        <v>284</v>
      </c>
      <c r="N1882" s="5" t="s">
        <v>53</v>
      </c>
      <c r="O1882" s="5">
        <v>128</v>
      </c>
      <c r="P1882" s="5"/>
      <c r="Q1882" s="5"/>
      <c r="R1882" s="8">
        <v>6.9444444444444444E-5</v>
      </c>
      <c r="S1882" s="5" t="s">
        <v>37</v>
      </c>
      <c r="T1882" t="str">
        <f>IF(Tabela1[[#This Row],[STATUS_NEGOCIO]]="Enviar E-mail",1,"")</f>
        <v/>
      </c>
      <c r="U1882" t="str">
        <f>TEXT(Tabela1[[#This Row],[DATA]],"dd/mm/aaaa")</f>
        <v>22/04/2026</v>
      </c>
    </row>
    <row r="1883" spans="1:21" x14ac:dyDescent="0.25">
      <c r="A1883" s="4">
        <v>46134.698206018518</v>
      </c>
      <c r="B1883" s="5" t="s">
        <v>19</v>
      </c>
      <c r="C1883" s="5" t="s">
        <v>37</v>
      </c>
      <c r="D1883" s="5">
        <v>333</v>
      </c>
      <c r="E1883" s="6">
        <v>30116263000121</v>
      </c>
      <c r="F1883" s="5">
        <v>333</v>
      </c>
      <c r="G1883" s="7">
        <v>177688712584331</v>
      </c>
      <c r="H1883" s="5" t="s">
        <v>492</v>
      </c>
      <c r="I1883" s="5" t="s">
        <v>52</v>
      </c>
      <c r="J1883" s="5" t="s">
        <v>22</v>
      </c>
      <c r="K1883" s="5" t="s">
        <v>36</v>
      </c>
      <c r="L1883" s="5" t="s">
        <v>36</v>
      </c>
      <c r="M1883" s="5" t="s">
        <v>284</v>
      </c>
      <c r="N1883" s="5" t="s">
        <v>53</v>
      </c>
      <c r="O1883" s="5">
        <v>19</v>
      </c>
      <c r="P1883" s="5"/>
      <c r="Q1883" s="5"/>
      <c r="R1883" s="8">
        <v>0</v>
      </c>
      <c r="S1883" s="5" t="s">
        <v>37</v>
      </c>
      <c r="T1883" t="str">
        <f>IF(Tabela1[[#This Row],[STATUS_NEGOCIO]]="Enviar E-mail",1,"")</f>
        <v/>
      </c>
      <c r="U1883" t="str">
        <f>TEXT(Tabela1[[#This Row],[DATA]],"dd/mm/aaaa")</f>
        <v>22/04/2026</v>
      </c>
    </row>
    <row r="1884" spans="1:21" x14ac:dyDescent="0.25">
      <c r="A1884" s="4">
        <v>46134.698275462964</v>
      </c>
      <c r="B1884" s="5" t="s">
        <v>19</v>
      </c>
      <c r="C1884" s="5" t="s">
        <v>37</v>
      </c>
      <c r="D1884" s="5">
        <v>334</v>
      </c>
      <c r="E1884" s="6">
        <v>30162531000141</v>
      </c>
      <c r="F1884" s="5">
        <v>334</v>
      </c>
      <c r="G1884" s="7">
        <v>177688713184351</v>
      </c>
      <c r="H1884" s="5" t="s">
        <v>167</v>
      </c>
      <c r="I1884" s="5">
        <v>3003</v>
      </c>
      <c r="J1884" s="5" t="s">
        <v>22</v>
      </c>
      <c r="K1884" s="5" t="s">
        <v>23</v>
      </c>
      <c r="L1884" s="5" t="s">
        <v>31</v>
      </c>
      <c r="M1884" s="5" t="s">
        <v>284</v>
      </c>
      <c r="N1884" s="5" t="s">
        <v>53</v>
      </c>
      <c r="O1884" s="5">
        <v>128</v>
      </c>
      <c r="P1884" s="5"/>
      <c r="Q1884" s="5"/>
      <c r="R1884" s="8">
        <v>8.1018518518518516E-5</v>
      </c>
      <c r="S1884" s="5" t="s">
        <v>37</v>
      </c>
      <c r="T1884" t="str">
        <f>IF(Tabela1[[#This Row],[STATUS_NEGOCIO]]="Enviar E-mail",1,"")</f>
        <v/>
      </c>
      <c r="U1884" t="str">
        <f>TEXT(Tabela1[[#This Row],[DATA]],"dd/mm/aaaa")</f>
        <v>22/04/2026</v>
      </c>
    </row>
    <row r="1885" spans="1:21" x14ac:dyDescent="0.25">
      <c r="A1885" s="4">
        <v>46134.698298611111</v>
      </c>
      <c r="B1885" s="5" t="s">
        <v>19</v>
      </c>
      <c r="C1885" s="5" t="s">
        <v>37</v>
      </c>
      <c r="D1885" s="5">
        <v>335</v>
      </c>
      <c r="E1885" s="6">
        <v>30165203000107</v>
      </c>
      <c r="F1885" s="5">
        <v>335</v>
      </c>
      <c r="G1885" s="7">
        <v>177688713384361</v>
      </c>
      <c r="H1885" s="5" t="s">
        <v>89</v>
      </c>
      <c r="I1885" s="5">
        <v>3003</v>
      </c>
      <c r="J1885" s="5" t="s">
        <v>22</v>
      </c>
      <c r="K1885" s="5" t="s">
        <v>23</v>
      </c>
      <c r="L1885" s="5" t="s">
        <v>31</v>
      </c>
      <c r="M1885" s="5" t="s">
        <v>284</v>
      </c>
      <c r="N1885" s="5" t="s">
        <v>53</v>
      </c>
      <c r="O1885" s="5">
        <v>128</v>
      </c>
      <c r="P1885" s="5"/>
      <c r="Q1885" s="5"/>
      <c r="R1885" s="8">
        <v>8.1018518518518516E-5</v>
      </c>
      <c r="S1885" s="5" t="s">
        <v>37</v>
      </c>
      <c r="T1885" t="str">
        <f>IF(Tabela1[[#This Row],[STATUS_NEGOCIO]]="Enviar E-mail",1,"")</f>
        <v/>
      </c>
      <c r="U1885" t="str">
        <f>TEXT(Tabela1[[#This Row],[DATA]],"dd/mm/aaaa")</f>
        <v>22/04/2026</v>
      </c>
    </row>
    <row r="1886" spans="1:21" x14ac:dyDescent="0.25">
      <c r="A1886" s="4">
        <v>46134.698414351849</v>
      </c>
      <c r="B1886" s="5" t="s">
        <v>19</v>
      </c>
      <c r="C1886" s="5" t="s">
        <v>37</v>
      </c>
      <c r="D1886" s="5">
        <v>336</v>
      </c>
      <c r="E1886" s="6">
        <v>30168759000149</v>
      </c>
      <c r="F1886" s="5">
        <v>336</v>
      </c>
      <c r="G1886" s="7">
        <v>177688714384381</v>
      </c>
      <c r="H1886" s="5" t="s">
        <v>493</v>
      </c>
      <c r="I1886" s="5" t="s">
        <v>52</v>
      </c>
      <c r="J1886" s="5" t="s">
        <v>22</v>
      </c>
      <c r="K1886" s="5" t="s">
        <v>36</v>
      </c>
      <c r="L1886" s="5" t="s">
        <v>36</v>
      </c>
      <c r="M1886" s="5" t="s">
        <v>284</v>
      </c>
      <c r="N1886" s="5" t="s">
        <v>53</v>
      </c>
      <c r="O1886" s="5">
        <v>1</v>
      </c>
      <c r="P1886" s="5"/>
      <c r="Q1886" s="5"/>
      <c r="R1886" s="8">
        <v>0</v>
      </c>
      <c r="S1886" s="5" t="s">
        <v>37</v>
      </c>
      <c r="T1886" t="str">
        <f>IF(Tabela1[[#This Row],[STATUS_NEGOCIO]]="Enviar E-mail",1,"")</f>
        <v/>
      </c>
      <c r="U1886" t="str">
        <f>TEXT(Tabela1[[#This Row],[DATA]],"dd/mm/aaaa")</f>
        <v>22/04/2026</v>
      </c>
    </row>
    <row r="1887" spans="1:21" x14ac:dyDescent="0.25">
      <c r="A1887" s="4">
        <v>46134.698425925926</v>
      </c>
      <c r="B1887" s="5" t="s">
        <v>19</v>
      </c>
      <c r="C1887" s="5" t="s">
        <v>37</v>
      </c>
      <c r="D1887" s="5">
        <v>337</v>
      </c>
      <c r="E1887" s="6">
        <v>30182814000155</v>
      </c>
      <c r="F1887" s="5">
        <v>337</v>
      </c>
      <c r="G1887" s="7">
        <v>177688714484401</v>
      </c>
      <c r="H1887" s="5" t="s">
        <v>494</v>
      </c>
      <c r="I1887" s="5">
        <v>3003</v>
      </c>
      <c r="J1887" s="5" t="s">
        <v>22</v>
      </c>
      <c r="K1887" s="5" t="s">
        <v>23</v>
      </c>
      <c r="L1887" s="5" t="s">
        <v>31</v>
      </c>
      <c r="M1887" s="5" t="s">
        <v>284</v>
      </c>
      <c r="N1887" s="5" t="s">
        <v>53</v>
      </c>
      <c r="O1887" s="5">
        <v>128</v>
      </c>
      <c r="P1887" s="5"/>
      <c r="Q1887" s="5"/>
      <c r="R1887" s="8">
        <v>8.1018518518518516E-5</v>
      </c>
      <c r="S1887" s="5" t="s">
        <v>37</v>
      </c>
      <c r="T1887" t="str">
        <f>IF(Tabela1[[#This Row],[STATUS_NEGOCIO]]="Enviar E-mail",1,"")</f>
        <v/>
      </c>
      <c r="U1887" t="str">
        <f>TEXT(Tabela1[[#This Row],[DATA]],"dd/mm/aaaa")</f>
        <v>22/04/2026</v>
      </c>
    </row>
    <row r="1888" spans="1:21" x14ac:dyDescent="0.25">
      <c r="A1888" s="4">
        <v>46134.698437500003</v>
      </c>
      <c r="B1888" s="5" t="s">
        <v>19</v>
      </c>
      <c r="C1888" s="5" t="s">
        <v>37</v>
      </c>
      <c r="D1888" s="5">
        <v>338</v>
      </c>
      <c r="E1888" s="6">
        <v>30220686000197</v>
      </c>
      <c r="F1888" s="5">
        <v>338</v>
      </c>
      <c r="G1888" s="7">
        <v>177688714584411</v>
      </c>
      <c r="H1888" s="5" t="s">
        <v>495</v>
      </c>
      <c r="I1888" s="5">
        <v>3003</v>
      </c>
      <c r="J1888" s="5" t="s">
        <v>22</v>
      </c>
      <c r="K1888" s="5" t="s">
        <v>23</v>
      </c>
      <c r="L1888" s="5" t="s">
        <v>31</v>
      </c>
      <c r="M1888" s="5" t="s">
        <v>284</v>
      </c>
      <c r="N1888" s="5" t="s">
        <v>53</v>
      </c>
      <c r="O1888" s="5">
        <v>128</v>
      </c>
      <c r="P1888" s="5"/>
      <c r="Q1888" s="5"/>
      <c r="R1888" s="8">
        <v>8.1018518518518516E-5</v>
      </c>
      <c r="S1888" s="5" t="s">
        <v>37</v>
      </c>
      <c r="T1888" t="str">
        <f>IF(Tabela1[[#This Row],[STATUS_NEGOCIO]]="Enviar E-mail",1,"")</f>
        <v/>
      </c>
      <c r="U1888" t="str">
        <f>TEXT(Tabela1[[#This Row],[DATA]],"dd/mm/aaaa")</f>
        <v>22/04/2026</v>
      </c>
    </row>
    <row r="1889" spans="1:21" x14ac:dyDescent="0.25">
      <c r="A1889" s="4">
        <v>46134.698437500003</v>
      </c>
      <c r="B1889" s="5" t="s">
        <v>19</v>
      </c>
      <c r="C1889" s="5" t="s">
        <v>37</v>
      </c>
      <c r="D1889" s="5">
        <v>340</v>
      </c>
      <c r="E1889" s="6">
        <v>30301105000141</v>
      </c>
      <c r="F1889" s="5">
        <v>340</v>
      </c>
      <c r="G1889" s="7">
        <v>177688714584421</v>
      </c>
      <c r="H1889" s="5" t="s">
        <v>496</v>
      </c>
      <c r="I1889" s="5">
        <v>3003</v>
      </c>
      <c r="J1889" s="5" t="s">
        <v>22</v>
      </c>
      <c r="K1889" s="5" t="s">
        <v>23</v>
      </c>
      <c r="L1889" s="5" t="s">
        <v>31</v>
      </c>
      <c r="M1889" s="5" t="s">
        <v>284</v>
      </c>
      <c r="N1889" s="5" t="s">
        <v>53</v>
      </c>
      <c r="O1889" s="5">
        <v>147</v>
      </c>
      <c r="P1889" s="5"/>
      <c r="Q1889" s="5"/>
      <c r="R1889" s="8">
        <v>8.1018518518518516E-5</v>
      </c>
      <c r="S1889" s="5" t="s">
        <v>37</v>
      </c>
      <c r="T1889" t="str">
        <f>IF(Tabela1[[#This Row],[STATUS_NEGOCIO]]="Enviar E-mail",1,"")</f>
        <v/>
      </c>
      <c r="U1889" t="str">
        <f>TEXT(Tabela1[[#This Row],[DATA]],"dd/mm/aaaa")</f>
        <v>22/04/2026</v>
      </c>
    </row>
    <row r="1890" spans="1:21" x14ac:dyDescent="0.25">
      <c r="A1890" s="4">
        <v>46134.698587962965</v>
      </c>
      <c r="B1890" s="5" t="s">
        <v>19</v>
      </c>
      <c r="C1890" s="5" t="s">
        <v>37</v>
      </c>
      <c r="D1890" s="5">
        <v>342</v>
      </c>
      <c r="E1890" s="6">
        <v>30540991000166</v>
      </c>
      <c r="F1890" s="5">
        <v>342</v>
      </c>
      <c r="G1890" s="7">
        <v>177688715884491</v>
      </c>
      <c r="H1890" s="5" t="s">
        <v>497</v>
      </c>
      <c r="I1890" s="5">
        <v>3003</v>
      </c>
      <c r="J1890" s="5" t="s">
        <v>22</v>
      </c>
      <c r="K1890" s="5" t="s">
        <v>23</v>
      </c>
      <c r="L1890" s="5" t="s">
        <v>31</v>
      </c>
      <c r="M1890" s="5" t="s">
        <v>284</v>
      </c>
      <c r="N1890" s="5" t="s">
        <v>53</v>
      </c>
      <c r="O1890" s="5">
        <v>128</v>
      </c>
      <c r="P1890" s="5"/>
      <c r="Q1890" s="5"/>
      <c r="R1890" s="8">
        <v>8.1018518518518516E-5</v>
      </c>
      <c r="S1890" s="5" t="s">
        <v>37</v>
      </c>
      <c r="T1890" t="str">
        <f>IF(Tabela1[[#This Row],[STATUS_NEGOCIO]]="Enviar E-mail",1,"")</f>
        <v/>
      </c>
      <c r="U1890" t="str">
        <f>TEXT(Tabela1[[#This Row],[DATA]],"dd/mm/aaaa")</f>
        <v>22/04/2026</v>
      </c>
    </row>
    <row r="1891" spans="1:21" x14ac:dyDescent="0.25">
      <c r="A1891" s="4">
        <v>46134.698587962965</v>
      </c>
      <c r="B1891" s="5" t="s">
        <v>19</v>
      </c>
      <c r="C1891" s="5" t="s">
        <v>37</v>
      </c>
      <c r="D1891" s="5">
        <v>343</v>
      </c>
      <c r="E1891" s="6">
        <v>30546429000140</v>
      </c>
      <c r="F1891" s="5">
        <v>343</v>
      </c>
      <c r="G1891" s="7">
        <v>177688715884501</v>
      </c>
      <c r="H1891" s="5" t="s">
        <v>498</v>
      </c>
      <c r="I1891" s="5">
        <v>3003</v>
      </c>
      <c r="J1891" s="5" t="s">
        <v>22</v>
      </c>
      <c r="K1891" s="5" t="s">
        <v>23</v>
      </c>
      <c r="L1891" s="5" t="s">
        <v>31</v>
      </c>
      <c r="M1891" s="5" t="s">
        <v>284</v>
      </c>
      <c r="N1891" s="5" t="s">
        <v>53</v>
      </c>
      <c r="O1891" s="5">
        <v>128</v>
      </c>
      <c r="P1891" s="5"/>
      <c r="Q1891" s="5"/>
      <c r="R1891" s="8">
        <v>8.1018518518518516E-5</v>
      </c>
      <c r="S1891" s="5" t="s">
        <v>37</v>
      </c>
      <c r="T1891" t="str">
        <f>IF(Tabela1[[#This Row],[STATUS_NEGOCIO]]="Enviar E-mail",1,"")</f>
        <v/>
      </c>
      <c r="U1891" t="str">
        <f>TEXT(Tabela1[[#This Row],[DATA]],"dd/mm/aaaa")</f>
        <v>22/04/2026</v>
      </c>
    </row>
    <row r="1892" spans="1:21" x14ac:dyDescent="0.25">
      <c r="A1892" s="4">
        <v>46134.698622685188</v>
      </c>
      <c r="B1892" s="5" t="s">
        <v>19</v>
      </c>
      <c r="C1892" s="5" t="s">
        <v>37</v>
      </c>
      <c r="D1892" s="5">
        <v>344</v>
      </c>
      <c r="E1892" s="6">
        <v>30548467000131</v>
      </c>
      <c r="F1892" s="5">
        <v>344</v>
      </c>
      <c r="G1892" s="7">
        <v>177688716184521</v>
      </c>
      <c r="H1892" s="5" t="s">
        <v>499</v>
      </c>
      <c r="I1892" s="5" t="s">
        <v>52</v>
      </c>
      <c r="J1892" s="5" t="s">
        <v>22</v>
      </c>
      <c r="K1892" s="5" t="s">
        <v>36</v>
      </c>
      <c r="L1892" s="5" t="s">
        <v>36</v>
      </c>
      <c r="M1892" s="5" t="s">
        <v>284</v>
      </c>
      <c r="N1892" s="5" t="s">
        <v>53</v>
      </c>
      <c r="O1892" s="5">
        <v>1</v>
      </c>
      <c r="P1892" s="5"/>
      <c r="Q1892" s="5"/>
      <c r="R1892" s="8">
        <v>0</v>
      </c>
      <c r="S1892" s="5" t="s">
        <v>37</v>
      </c>
      <c r="T1892" t="str">
        <f>IF(Tabela1[[#This Row],[STATUS_NEGOCIO]]="Enviar E-mail",1,"")</f>
        <v/>
      </c>
      <c r="U1892" t="str">
        <f>TEXT(Tabela1[[#This Row],[DATA]],"dd/mm/aaaa")</f>
        <v>22/04/2026</v>
      </c>
    </row>
    <row r="1893" spans="1:21" x14ac:dyDescent="0.25">
      <c r="A1893" s="4">
        <v>46134.698703703703</v>
      </c>
      <c r="B1893" s="5" t="s">
        <v>19</v>
      </c>
      <c r="C1893" s="5" t="s">
        <v>37</v>
      </c>
      <c r="D1893" s="5">
        <v>345</v>
      </c>
      <c r="E1893" s="6">
        <v>30603615000173</v>
      </c>
      <c r="F1893" s="5">
        <v>345</v>
      </c>
      <c r="G1893" s="7">
        <v>177688716884541</v>
      </c>
      <c r="H1893" s="5" t="s">
        <v>500</v>
      </c>
      <c r="I1893" s="5">
        <v>3003</v>
      </c>
      <c r="J1893" s="5" t="s">
        <v>22</v>
      </c>
      <c r="K1893" s="5" t="s">
        <v>23</v>
      </c>
      <c r="L1893" s="5" t="s">
        <v>31</v>
      </c>
      <c r="M1893" s="5" t="s">
        <v>284</v>
      </c>
      <c r="N1893" s="5" t="s">
        <v>53</v>
      </c>
      <c r="O1893" s="5">
        <v>128</v>
      </c>
      <c r="P1893" s="5"/>
      <c r="Q1893" s="5"/>
      <c r="R1893" s="8">
        <v>6.9444444444444444E-5</v>
      </c>
      <c r="S1893" s="5" t="s">
        <v>37</v>
      </c>
      <c r="T1893" t="str">
        <f>IF(Tabela1[[#This Row],[STATUS_NEGOCIO]]="Enviar E-mail",1,"")</f>
        <v/>
      </c>
      <c r="U1893" t="str">
        <f>TEXT(Tabela1[[#This Row],[DATA]],"dd/mm/aaaa")</f>
        <v>22/04/2026</v>
      </c>
    </row>
    <row r="1894" spans="1:21" x14ac:dyDescent="0.25">
      <c r="A1894" s="4">
        <v>46134.69871527778</v>
      </c>
      <c r="B1894" s="5" t="s">
        <v>19</v>
      </c>
      <c r="C1894" s="5" t="s">
        <v>37</v>
      </c>
      <c r="D1894" s="5">
        <v>346</v>
      </c>
      <c r="E1894" s="6">
        <v>30704910000116</v>
      </c>
      <c r="F1894" s="5">
        <v>346</v>
      </c>
      <c r="G1894" s="7">
        <v>177688716984561</v>
      </c>
      <c r="H1894" s="5" t="s">
        <v>501</v>
      </c>
      <c r="I1894" s="5">
        <v>3003</v>
      </c>
      <c r="J1894" s="5" t="s">
        <v>22</v>
      </c>
      <c r="K1894" s="5" t="s">
        <v>23</v>
      </c>
      <c r="L1894" s="5" t="s">
        <v>31</v>
      </c>
      <c r="M1894" s="5" t="s">
        <v>284</v>
      </c>
      <c r="N1894" s="5" t="s">
        <v>26</v>
      </c>
      <c r="O1894" s="5">
        <v>131</v>
      </c>
      <c r="P1894" s="5"/>
      <c r="Q1894" s="5"/>
      <c r="R1894" s="8">
        <v>3.4722222222222222E-5</v>
      </c>
      <c r="S1894" s="5" t="s">
        <v>37</v>
      </c>
      <c r="T1894" t="str">
        <f>IF(Tabela1[[#This Row],[STATUS_NEGOCIO]]="Enviar E-mail",1,"")</f>
        <v/>
      </c>
      <c r="U1894" t="str">
        <f>TEXT(Tabela1[[#This Row],[DATA]],"dd/mm/aaaa")</f>
        <v>22/04/2026</v>
      </c>
    </row>
    <row r="1895" spans="1:21" x14ac:dyDescent="0.25">
      <c r="A1895" s="4">
        <v>46134.69872685185</v>
      </c>
      <c r="B1895" s="5" t="s">
        <v>19</v>
      </c>
      <c r="C1895" s="5" t="s">
        <v>37</v>
      </c>
      <c r="D1895" s="5">
        <v>347</v>
      </c>
      <c r="E1895" s="6">
        <v>30780625000184</v>
      </c>
      <c r="F1895" s="5">
        <v>347</v>
      </c>
      <c r="G1895" s="7">
        <v>177688717084581</v>
      </c>
      <c r="H1895" s="5" t="s">
        <v>502</v>
      </c>
      <c r="I1895" s="5">
        <v>3003</v>
      </c>
      <c r="J1895" s="5" t="s">
        <v>22</v>
      </c>
      <c r="K1895" s="5" t="s">
        <v>23</v>
      </c>
      <c r="L1895" s="5" t="s">
        <v>31</v>
      </c>
      <c r="M1895" s="5" t="s">
        <v>284</v>
      </c>
      <c r="N1895" s="5" t="s">
        <v>53</v>
      </c>
      <c r="O1895" s="5">
        <v>147</v>
      </c>
      <c r="P1895" s="5"/>
      <c r="Q1895" s="5"/>
      <c r="R1895" s="8">
        <v>8.1018518518518516E-5</v>
      </c>
      <c r="S1895" s="5" t="s">
        <v>37</v>
      </c>
      <c r="T1895" t="str">
        <f>IF(Tabela1[[#This Row],[STATUS_NEGOCIO]]="Enviar E-mail",1,"")</f>
        <v/>
      </c>
      <c r="U1895" t="str">
        <f>TEXT(Tabela1[[#This Row],[DATA]],"dd/mm/aaaa")</f>
        <v>22/04/2026</v>
      </c>
    </row>
    <row r="1896" spans="1:21" x14ac:dyDescent="0.25">
      <c r="A1896" s="4">
        <v>46134.698796296296</v>
      </c>
      <c r="B1896" s="5" t="s">
        <v>19</v>
      </c>
      <c r="C1896" s="5" t="s">
        <v>37</v>
      </c>
      <c r="D1896" s="5">
        <v>348</v>
      </c>
      <c r="E1896" s="6">
        <v>30828743000115</v>
      </c>
      <c r="F1896" s="5">
        <v>348</v>
      </c>
      <c r="G1896" s="7">
        <v>177688717684601</v>
      </c>
      <c r="H1896" s="5" t="s">
        <v>503</v>
      </c>
      <c r="I1896" s="5">
        <v>3003</v>
      </c>
      <c r="J1896" s="5" t="s">
        <v>22</v>
      </c>
      <c r="K1896" s="5" t="s">
        <v>23</v>
      </c>
      <c r="L1896" s="5" t="s">
        <v>31</v>
      </c>
      <c r="M1896" s="5" t="s">
        <v>284</v>
      </c>
      <c r="N1896" s="5" t="s">
        <v>53</v>
      </c>
      <c r="O1896" s="5">
        <v>128</v>
      </c>
      <c r="P1896" s="5"/>
      <c r="Q1896" s="5"/>
      <c r="R1896" s="8">
        <v>8.1018518518518516E-5</v>
      </c>
      <c r="S1896" s="5" t="s">
        <v>37</v>
      </c>
      <c r="T1896" t="str">
        <f>IF(Tabela1[[#This Row],[STATUS_NEGOCIO]]="Enviar E-mail",1,"")</f>
        <v/>
      </c>
      <c r="U1896" t="str">
        <f>TEXT(Tabela1[[#This Row],[DATA]],"dd/mm/aaaa")</f>
        <v>22/04/2026</v>
      </c>
    </row>
    <row r="1897" spans="1:21" x14ac:dyDescent="0.25">
      <c r="A1897" s="4">
        <v>46134.698854166665</v>
      </c>
      <c r="B1897" s="5" t="s">
        <v>19</v>
      </c>
      <c r="C1897" s="5" t="s">
        <v>37</v>
      </c>
      <c r="D1897" s="5">
        <v>349</v>
      </c>
      <c r="E1897" s="6">
        <v>30905379000140</v>
      </c>
      <c r="F1897" s="5">
        <v>349</v>
      </c>
      <c r="G1897" s="7">
        <v>177688718184631</v>
      </c>
      <c r="H1897" s="5" t="s">
        <v>108</v>
      </c>
      <c r="I1897" s="5">
        <v>3003</v>
      </c>
      <c r="J1897" s="5" t="s">
        <v>22</v>
      </c>
      <c r="K1897" s="5" t="s">
        <v>23</v>
      </c>
      <c r="L1897" s="5" t="s">
        <v>31</v>
      </c>
      <c r="M1897" s="5" t="s">
        <v>284</v>
      </c>
      <c r="N1897" s="5" t="s">
        <v>53</v>
      </c>
      <c r="O1897" s="5">
        <v>128</v>
      </c>
      <c r="P1897" s="5"/>
      <c r="Q1897" s="5"/>
      <c r="R1897" s="8">
        <v>8.1018518518518516E-5</v>
      </c>
      <c r="S1897" s="5" t="s">
        <v>37</v>
      </c>
      <c r="T1897" t="str">
        <f>IF(Tabela1[[#This Row],[STATUS_NEGOCIO]]="Enviar E-mail",1,"")</f>
        <v/>
      </c>
      <c r="U1897" t="str">
        <f>TEXT(Tabela1[[#This Row],[DATA]],"dd/mm/aaaa")</f>
        <v>22/04/2026</v>
      </c>
    </row>
    <row r="1898" spans="1:21" x14ac:dyDescent="0.25">
      <c r="A1898" s="4">
        <v>46134.698923611111</v>
      </c>
      <c r="B1898" s="5" t="s">
        <v>19</v>
      </c>
      <c r="C1898" s="5" t="s">
        <v>37</v>
      </c>
      <c r="D1898" s="5">
        <v>350</v>
      </c>
      <c r="E1898" s="6">
        <v>31084270000151</v>
      </c>
      <c r="F1898" s="5">
        <v>350</v>
      </c>
      <c r="G1898" s="7">
        <v>177688718784651</v>
      </c>
      <c r="H1898" s="5" t="s">
        <v>146</v>
      </c>
      <c r="I1898" s="5">
        <v>3003</v>
      </c>
      <c r="J1898" s="5" t="s">
        <v>22</v>
      </c>
      <c r="K1898" s="5" t="s">
        <v>23</v>
      </c>
      <c r="L1898" s="5" t="s">
        <v>31</v>
      </c>
      <c r="M1898" s="5" t="s">
        <v>284</v>
      </c>
      <c r="N1898" s="5" t="s">
        <v>53</v>
      </c>
      <c r="O1898" s="5">
        <v>128</v>
      </c>
      <c r="P1898" s="5"/>
      <c r="Q1898" s="5"/>
      <c r="R1898" s="8">
        <v>8.1018518518518516E-5</v>
      </c>
      <c r="S1898" s="5" t="s">
        <v>37</v>
      </c>
      <c r="T1898" t="str">
        <f>IF(Tabela1[[#This Row],[STATUS_NEGOCIO]]="Enviar E-mail",1,"")</f>
        <v/>
      </c>
      <c r="U1898" t="str">
        <f>TEXT(Tabela1[[#This Row],[DATA]],"dd/mm/aaaa")</f>
        <v>22/04/2026</v>
      </c>
    </row>
    <row r="1899" spans="1:21" x14ac:dyDescent="0.25">
      <c r="A1899" s="4">
        <v>46134.698923611111</v>
      </c>
      <c r="B1899" s="5" t="s">
        <v>19</v>
      </c>
      <c r="C1899" s="5" t="s">
        <v>37</v>
      </c>
      <c r="D1899" s="5">
        <v>351</v>
      </c>
      <c r="E1899" s="6">
        <v>31086168000195</v>
      </c>
      <c r="F1899" s="5">
        <v>351</v>
      </c>
      <c r="G1899" s="7">
        <v>177688718784661</v>
      </c>
      <c r="H1899" s="5" t="s">
        <v>222</v>
      </c>
      <c r="I1899" s="5" t="s">
        <v>52</v>
      </c>
      <c r="J1899" s="5" t="s">
        <v>22</v>
      </c>
      <c r="K1899" s="5" t="s">
        <v>36</v>
      </c>
      <c r="L1899" s="5" t="s">
        <v>36</v>
      </c>
      <c r="M1899" s="5" t="s">
        <v>284</v>
      </c>
      <c r="N1899" s="5" t="s">
        <v>53</v>
      </c>
      <c r="O1899" s="5">
        <v>1</v>
      </c>
      <c r="P1899" s="5"/>
      <c r="Q1899" s="5"/>
      <c r="R1899" s="8">
        <v>0</v>
      </c>
      <c r="S1899" s="5" t="s">
        <v>37</v>
      </c>
      <c r="T1899" t="str">
        <f>IF(Tabela1[[#This Row],[STATUS_NEGOCIO]]="Enviar E-mail",1,"")</f>
        <v/>
      </c>
      <c r="U1899" t="str">
        <f>TEXT(Tabela1[[#This Row],[DATA]],"dd/mm/aaaa")</f>
        <v>22/04/2026</v>
      </c>
    </row>
    <row r="1900" spans="1:21" x14ac:dyDescent="0.25">
      <c r="A1900" s="4">
        <v>46134.698935185188</v>
      </c>
      <c r="B1900" s="5" t="s">
        <v>19</v>
      </c>
      <c r="C1900" s="5" t="s">
        <v>37</v>
      </c>
      <c r="D1900" s="5">
        <v>352</v>
      </c>
      <c r="E1900" s="6">
        <v>31131246000126</v>
      </c>
      <c r="F1900" s="5">
        <v>352</v>
      </c>
      <c r="G1900" s="7">
        <v>177688718884671</v>
      </c>
      <c r="H1900" s="5" t="s">
        <v>270</v>
      </c>
      <c r="I1900" s="5">
        <v>3003</v>
      </c>
      <c r="J1900" s="5" t="s">
        <v>22</v>
      </c>
      <c r="K1900" s="5" t="s">
        <v>23</v>
      </c>
      <c r="L1900" s="5" t="s">
        <v>31</v>
      </c>
      <c r="M1900" s="5" t="s">
        <v>284</v>
      </c>
      <c r="N1900" s="5" t="s">
        <v>53</v>
      </c>
      <c r="O1900" s="5">
        <v>128</v>
      </c>
      <c r="P1900" s="5"/>
      <c r="Q1900" s="5"/>
      <c r="R1900" s="8">
        <v>8.1018518518518516E-5</v>
      </c>
      <c r="S1900" s="5" t="s">
        <v>37</v>
      </c>
      <c r="T1900" t="str">
        <f>IF(Tabela1[[#This Row],[STATUS_NEGOCIO]]="Enviar E-mail",1,"")</f>
        <v/>
      </c>
      <c r="U1900" t="str">
        <f>TEXT(Tabela1[[#This Row],[DATA]],"dd/mm/aaaa")</f>
        <v>22/04/2026</v>
      </c>
    </row>
    <row r="1901" spans="1:21" x14ac:dyDescent="0.25">
      <c r="A1901" s="4">
        <v>46134.698958333334</v>
      </c>
      <c r="B1901" s="5" t="s">
        <v>19</v>
      </c>
      <c r="C1901" s="5" t="s">
        <v>37</v>
      </c>
      <c r="D1901" s="5">
        <v>353</v>
      </c>
      <c r="E1901" s="6">
        <v>31131998000197</v>
      </c>
      <c r="F1901" s="5">
        <v>353</v>
      </c>
      <c r="G1901" s="7">
        <v>177688719084691</v>
      </c>
      <c r="H1901" s="5" t="s">
        <v>124</v>
      </c>
      <c r="I1901" s="5">
        <v>3003</v>
      </c>
      <c r="J1901" s="5" t="s">
        <v>22</v>
      </c>
      <c r="K1901" s="5" t="s">
        <v>23</v>
      </c>
      <c r="L1901" s="5" t="s">
        <v>31</v>
      </c>
      <c r="M1901" s="5" t="s">
        <v>284</v>
      </c>
      <c r="N1901" s="5" t="s">
        <v>53</v>
      </c>
      <c r="O1901" s="5">
        <v>128</v>
      </c>
      <c r="P1901" s="5"/>
      <c r="Q1901" s="5"/>
      <c r="R1901" s="8">
        <v>8.1018518518518516E-5</v>
      </c>
      <c r="S1901" s="5" t="s">
        <v>37</v>
      </c>
      <c r="T1901" t="str">
        <f>IF(Tabela1[[#This Row],[STATUS_NEGOCIO]]="Enviar E-mail",1,"")</f>
        <v/>
      </c>
      <c r="U1901" t="str">
        <f>TEXT(Tabela1[[#This Row],[DATA]],"dd/mm/aaaa")</f>
        <v>22/04/2026</v>
      </c>
    </row>
    <row r="1902" spans="1:21" x14ac:dyDescent="0.25">
      <c r="A1902" s="4">
        <v>46134.698969907404</v>
      </c>
      <c r="B1902" s="5" t="s">
        <v>19</v>
      </c>
      <c r="C1902" s="5" t="s">
        <v>37</v>
      </c>
      <c r="D1902" s="5">
        <v>354</v>
      </c>
      <c r="E1902" s="6">
        <v>31142292000120</v>
      </c>
      <c r="F1902" s="5">
        <v>354</v>
      </c>
      <c r="G1902" s="7">
        <v>177688719184701</v>
      </c>
      <c r="H1902" s="5" t="s">
        <v>504</v>
      </c>
      <c r="I1902" s="5">
        <v>3003</v>
      </c>
      <c r="J1902" s="5" t="s">
        <v>22</v>
      </c>
      <c r="K1902" s="5" t="s">
        <v>23</v>
      </c>
      <c r="L1902" s="5" t="s">
        <v>31</v>
      </c>
      <c r="M1902" s="5" t="s">
        <v>284</v>
      </c>
      <c r="N1902" s="5" t="s">
        <v>53</v>
      </c>
      <c r="O1902" s="5">
        <v>128</v>
      </c>
      <c r="P1902" s="5"/>
      <c r="Q1902" s="5"/>
      <c r="R1902" s="8">
        <v>8.1018518518518516E-5</v>
      </c>
      <c r="S1902" s="5" t="s">
        <v>37</v>
      </c>
      <c r="T1902" t="str">
        <f>IF(Tabela1[[#This Row],[STATUS_NEGOCIO]]="Enviar E-mail",1,"")</f>
        <v/>
      </c>
      <c r="U1902" t="str">
        <f>TEXT(Tabela1[[#This Row],[DATA]],"dd/mm/aaaa")</f>
        <v>22/04/2026</v>
      </c>
    </row>
    <row r="1903" spans="1:21" x14ac:dyDescent="0.25">
      <c r="A1903" s="4">
        <v>46134.698993055557</v>
      </c>
      <c r="B1903" s="5" t="s">
        <v>19</v>
      </c>
      <c r="C1903" s="5" t="s">
        <v>37</v>
      </c>
      <c r="D1903" s="5">
        <v>355</v>
      </c>
      <c r="E1903" s="6">
        <v>31142572000139</v>
      </c>
      <c r="F1903" s="5">
        <v>355</v>
      </c>
      <c r="G1903" s="7">
        <v>177688719384721</v>
      </c>
      <c r="H1903" s="5" t="s">
        <v>505</v>
      </c>
      <c r="I1903" s="5">
        <v>3003</v>
      </c>
      <c r="J1903" s="5" t="s">
        <v>22</v>
      </c>
      <c r="K1903" s="5" t="s">
        <v>23</v>
      </c>
      <c r="L1903" s="5" t="s">
        <v>31</v>
      </c>
      <c r="M1903" s="5" t="s">
        <v>284</v>
      </c>
      <c r="N1903" s="5" t="s">
        <v>53</v>
      </c>
      <c r="O1903" s="5">
        <v>147</v>
      </c>
      <c r="P1903" s="5"/>
      <c r="Q1903" s="5"/>
      <c r="R1903" s="8">
        <v>8.1018518518518516E-5</v>
      </c>
      <c r="S1903" s="5" t="s">
        <v>37</v>
      </c>
      <c r="T1903" t="str">
        <f>IF(Tabela1[[#This Row],[STATUS_NEGOCIO]]="Enviar E-mail",1,"")</f>
        <v/>
      </c>
      <c r="U1903" t="str">
        <f>TEXT(Tabela1[[#This Row],[DATA]],"dd/mm/aaaa")</f>
        <v>22/04/2026</v>
      </c>
    </row>
    <row r="1904" spans="1:21" x14ac:dyDescent="0.25">
      <c r="A1904" s="4">
        <v>46134.69902777778</v>
      </c>
      <c r="B1904" s="5" t="s">
        <v>19</v>
      </c>
      <c r="C1904" s="5" t="s">
        <v>20</v>
      </c>
      <c r="D1904" s="5">
        <v>356</v>
      </c>
      <c r="E1904" s="6">
        <v>31301737000178</v>
      </c>
      <c r="F1904" s="5">
        <v>356</v>
      </c>
      <c r="G1904" s="7">
        <v>177688719684741</v>
      </c>
      <c r="H1904" s="5" t="s">
        <v>159</v>
      </c>
      <c r="I1904" s="5">
        <v>3003</v>
      </c>
      <c r="J1904" s="5" t="s">
        <v>22</v>
      </c>
      <c r="K1904" s="5" t="s">
        <v>23</v>
      </c>
      <c r="L1904" s="5" t="s">
        <v>265</v>
      </c>
      <c r="M1904" s="5" t="s">
        <v>284</v>
      </c>
      <c r="N1904" s="5" t="s">
        <v>32</v>
      </c>
      <c r="O1904" s="5">
        <v>16</v>
      </c>
      <c r="P1904" s="5"/>
      <c r="Q1904" s="5"/>
      <c r="R1904" s="8">
        <v>3.4722222222222224E-4</v>
      </c>
      <c r="S1904" s="8">
        <v>3.1250000000000001E-4</v>
      </c>
      <c r="T1904" t="str">
        <f>IF(Tabela1[[#This Row],[STATUS_NEGOCIO]]="Enviar E-mail",1,"")</f>
        <v/>
      </c>
      <c r="U1904" t="str">
        <f>TEXT(Tabela1[[#This Row],[DATA]],"dd/mm/aaaa")</f>
        <v>22/04/2026</v>
      </c>
    </row>
    <row r="1905" spans="1:21" x14ac:dyDescent="0.25">
      <c r="A1905" s="4">
        <v>46134.699097222219</v>
      </c>
      <c r="B1905" s="5" t="s">
        <v>19</v>
      </c>
      <c r="C1905" s="5" t="s">
        <v>37</v>
      </c>
      <c r="D1905" s="5">
        <v>357</v>
      </c>
      <c r="E1905" s="6">
        <v>31307787000162</v>
      </c>
      <c r="F1905" s="5">
        <v>357</v>
      </c>
      <c r="G1905" s="7">
        <v>177688720284761</v>
      </c>
      <c r="H1905" s="5" t="s">
        <v>506</v>
      </c>
      <c r="I1905" s="5">
        <v>3003</v>
      </c>
      <c r="J1905" s="5" t="s">
        <v>22</v>
      </c>
      <c r="K1905" s="5" t="s">
        <v>23</v>
      </c>
      <c r="L1905" s="5" t="s">
        <v>31</v>
      </c>
      <c r="M1905" s="5" t="s">
        <v>284</v>
      </c>
      <c r="N1905" s="5" t="s">
        <v>26</v>
      </c>
      <c r="O1905" s="5">
        <v>131</v>
      </c>
      <c r="P1905" s="5"/>
      <c r="Q1905" s="5"/>
      <c r="R1905" s="8">
        <v>6.9444444444444444E-5</v>
      </c>
      <c r="S1905" s="5" t="s">
        <v>37</v>
      </c>
      <c r="T1905" t="str">
        <f>IF(Tabela1[[#This Row],[STATUS_NEGOCIO]]="Enviar E-mail",1,"")</f>
        <v/>
      </c>
      <c r="U1905" t="str">
        <f>TEXT(Tabela1[[#This Row],[DATA]],"dd/mm/aaaa")</f>
        <v>22/04/2026</v>
      </c>
    </row>
    <row r="1906" spans="1:21" x14ac:dyDescent="0.25">
      <c r="A1906" s="4">
        <v>46134.699155092596</v>
      </c>
      <c r="B1906" s="5" t="s">
        <v>19</v>
      </c>
      <c r="C1906" s="5" t="s">
        <v>37</v>
      </c>
      <c r="D1906" s="5">
        <v>358</v>
      </c>
      <c r="E1906" s="6">
        <v>31396511000106</v>
      </c>
      <c r="F1906" s="5">
        <v>358</v>
      </c>
      <c r="G1906" s="7">
        <v>177688720784781</v>
      </c>
      <c r="H1906" s="5" t="s">
        <v>507</v>
      </c>
      <c r="I1906" s="5">
        <v>3003</v>
      </c>
      <c r="J1906" s="5" t="s">
        <v>22</v>
      </c>
      <c r="K1906" s="5" t="s">
        <v>23</v>
      </c>
      <c r="L1906" s="5" t="s">
        <v>31</v>
      </c>
      <c r="M1906" s="5" t="s">
        <v>284</v>
      </c>
      <c r="N1906" s="5" t="s">
        <v>53</v>
      </c>
      <c r="O1906" s="5">
        <v>128</v>
      </c>
      <c r="P1906" s="5"/>
      <c r="Q1906" s="5"/>
      <c r="R1906" s="8">
        <v>6.9444444444444444E-5</v>
      </c>
      <c r="S1906" s="5" t="s">
        <v>37</v>
      </c>
      <c r="T1906" t="str">
        <f>IF(Tabela1[[#This Row],[STATUS_NEGOCIO]]="Enviar E-mail",1,"")</f>
        <v/>
      </c>
      <c r="U1906" t="str">
        <f>TEXT(Tabela1[[#This Row],[DATA]],"dd/mm/aaaa")</f>
        <v>22/04/2026</v>
      </c>
    </row>
    <row r="1907" spans="1:21" x14ac:dyDescent="0.25">
      <c r="A1907" s="4">
        <v>46134.699166666665</v>
      </c>
      <c r="B1907" s="5" t="s">
        <v>19</v>
      </c>
      <c r="C1907" s="5" t="s">
        <v>37</v>
      </c>
      <c r="D1907" s="5">
        <v>359</v>
      </c>
      <c r="E1907" s="6">
        <v>31441165000122</v>
      </c>
      <c r="F1907" s="5">
        <v>359</v>
      </c>
      <c r="G1907" s="7">
        <v>177688720884801</v>
      </c>
      <c r="H1907" s="5" t="s">
        <v>508</v>
      </c>
      <c r="I1907" s="5">
        <v>3003</v>
      </c>
      <c r="J1907" s="5" t="s">
        <v>22</v>
      </c>
      <c r="K1907" s="5" t="s">
        <v>23</v>
      </c>
      <c r="L1907" s="5" t="s">
        <v>31</v>
      </c>
      <c r="M1907" s="5" t="s">
        <v>284</v>
      </c>
      <c r="N1907" s="5" t="s">
        <v>53</v>
      </c>
      <c r="O1907" s="5">
        <v>128</v>
      </c>
      <c r="P1907" s="5"/>
      <c r="Q1907" s="5"/>
      <c r="R1907" s="8">
        <v>8.1018518518518516E-5</v>
      </c>
      <c r="S1907" s="5" t="s">
        <v>37</v>
      </c>
      <c r="T1907" t="str">
        <f>IF(Tabela1[[#This Row],[STATUS_NEGOCIO]]="Enviar E-mail",1,"")</f>
        <v/>
      </c>
      <c r="U1907" t="str">
        <f>TEXT(Tabela1[[#This Row],[DATA]],"dd/mm/aaaa")</f>
        <v>22/04/2026</v>
      </c>
    </row>
    <row r="1908" spans="1:21" x14ac:dyDescent="0.25">
      <c r="A1908" s="4">
        <v>46134.699247685188</v>
      </c>
      <c r="B1908" s="5" t="s">
        <v>19</v>
      </c>
      <c r="C1908" s="5" t="s">
        <v>37</v>
      </c>
      <c r="D1908" s="5">
        <v>361</v>
      </c>
      <c r="E1908" s="6">
        <v>31591969000108</v>
      </c>
      <c r="F1908" s="5">
        <v>361</v>
      </c>
      <c r="G1908" s="7">
        <v>177688721584891</v>
      </c>
      <c r="H1908" s="5" t="s">
        <v>509</v>
      </c>
      <c r="I1908" s="5">
        <v>3003</v>
      </c>
      <c r="J1908" s="5" t="s">
        <v>22</v>
      </c>
      <c r="K1908" s="5" t="s">
        <v>23</v>
      </c>
      <c r="L1908" s="5" t="s">
        <v>31</v>
      </c>
      <c r="M1908" s="5" t="s">
        <v>284</v>
      </c>
      <c r="N1908" s="5" t="s">
        <v>53</v>
      </c>
      <c r="O1908" s="5">
        <v>128</v>
      </c>
      <c r="P1908" s="5"/>
      <c r="Q1908" s="5"/>
      <c r="R1908" s="8">
        <v>8.1018518518518516E-5</v>
      </c>
      <c r="S1908" s="5" t="s">
        <v>37</v>
      </c>
      <c r="T1908" t="str">
        <f>IF(Tabela1[[#This Row],[STATUS_NEGOCIO]]="Enviar E-mail",1,"")</f>
        <v/>
      </c>
      <c r="U1908" t="str">
        <f>TEXT(Tabela1[[#This Row],[DATA]],"dd/mm/aaaa")</f>
        <v>22/04/2026</v>
      </c>
    </row>
    <row r="1909" spans="1:21" x14ac:dyDescent="0.25">
      <c r="A1909" s="4">
        <v>46134.699270833335</v>
      </c>
      <c r="B1909" s="5" t="s">
        <v>19</v>
      </c>
      <c r="C1909" s="5" t="s">
        <v>37</v>
      </c>
      <c r="D1909" s="5">
        <v>362</v>
      </c>
      <c r="E1909" s="6">
        <v>31627306000104</v>
      </c>
      <c r="F1909" s="5">
        <v>362</v>
      </c>
      <c r="G1909" s="7">
        <v>177688721784931</v>
      </c>
      <c r="H1909" s="5" t="s">
        <v>112</v>
      </c>
      <c r="I1909" s="5">
        <v>3003</v>
      </c>
      <c r="J1909" s="5" t="s">
        <v>22</v>
      </c>
      <c r="K1909" s="5" t="s">
        <v>23</v>
      </c>
      <c r="L1909" s="5" t="s">
        <v>31</v>
      </c>
      <c r="M1909" s="5" t="s">
        <v>284</v>
      </c>
      <c r="N1909" s="5" t="s">
        <v>53</v>
      </c>
      <c r="O1909" s="5">
        <v>128</v>
      </c>
      <c r="P1909" s="5"/>
      <c r="Q1909" s="5"/>
      <c r="R1909" s="8">
        <v>8.1018518518518516E-5</v>
      </c>
      <c r="S1909" s="5" t="s">
        <v>37</v>
      </c>
      <c r="T1909" t="str">
        <f>IF(Tabela1[[#This Row],[STATUS_NEGOCIO]]="Enviar E-mail",1,"")</f>
        <v/>
      </c>
      <c r="U1909" t="str">
        <f>TEXT(Tabela1[[#This Row],[DATA]],"dd/mm/aaaa")</f>
        <v>22/04/2026</v>
      </c>
    </row>
    <row r="1910" spans="1:21" x14ac:dyDescent="0.25">
      <c r="A1910" s="4">
        <v>46134.699282407404</v>
      </c>
      <c r="B1910" s="5" t="s">
        <v>19</v>
      </c>
      <c r="C1910" s="5" t="s">
        <v>37</v>
      </c>
      <c r="D1910" s="5">
        <v>364</v>
      </c>
      <c r="E1910" s="6">
        <v>31669377000161</v>
      </c>
      <c r="F1910" s="5">
        <v>364</v>
      </c>
      <c r="G1910" s="7">
        <v>177688721884941</v>
      </c>
      <c r="H1910" s="5" t="s">
        <v>511</v>
      </c>
      <c r="I1910" s="5" t="s">
        <v>52</v>
      </c>
      <c r="J1910" s="5" t="s">
        <v>22</v>
      </c>
      <c r="K1910" s="5" t="s">
        <v>36</v>
      </c>
      <c r="L1910" s="5" t="s">
        <v>36</v>
      </c>
      <c r="M1910" s="5" t="s">
        <v>284</v>
      </c>
      <c r="N1910" s="5" t="s">
        <v>53</v>
      </c>
      <c r="O1910" s="5">
        <v>1</v>
      </c>
      <c r="P1910" s="5"/>
      <c r="Q1910" s="5"/>
      <c r="R1910" s="8">
        <v>0</v>
      </c>
      <c r="S1910" s="5" t="s">
        <v>37</v>
      </c>
      <c r="T1910" t="str">
        <f>IF(Tabela1[[#This Row],[STATUS_NEGOCIO]]="Enviar E-mail",1,"")</f>
        <v/>
      </c>
      <c r="U1910" t="str">
        <f>TEXT(Tabela1[[#This Row],[DATA]],"dd/mm/aaaa")</f>
        <v>22/04/2026</v>
      </c>
    </row>
    <row r="1911" spans="1:21" x14ac:dyDescent="0.25">
      <c r="A1911" s="4">
        <v>46134.699282407404</v>
      </c>
      <c r="B1911" s="5" t="s">
        <v>19</v>
      </c>
      <c r="C1911" s="5" t="s">
        <v>37</v>
      </c>
      <c r="D1911" s="5">
        <v>365</v>
      </c>
      <c r="E1911" s="6">
        <v>31865488000143</v>
      </c>
      <c r="F1911" s="5">
        <v>365</v>
      </c>
      <c r="G1911" s="7">
        <v>177688721884951</v>
      </c>
      <c r="H1911" s="5" t="s">
        <v>512</v>
      </c>
      <c r="I1911" s="5">
        <v>3003</v>
      </c>
      <c r="J1911" s="5" t="s">
        <v>22</v>
      </c>
      <c r="K1911" s="5" t="s">
        <v>23</v>
      </c>
      <c r="L1911" s="5" t="s">
        <v>31</v>
      </c>
      <c r="M1911" s="5" t="s">
        <v>284</v>
      </c>
      <c r="N1911" s="5" t="s">
        <v>53</v>
      </c>
      <c r="O1911" s="5">
        <v>128</v>
      </c>
      <c r="P1911" s="5"/>
      <c r="Q1911" s="5"/>
      <c r="R1911" s="8">
        <v>8.1018518518518516E-5</v>
      </c>
      <c r="S1911" s="5" t="s">
        <v>37</v>
      </c>
      <c r="T1911" t="str">
        <f>IF(Tabela1[[#This Row],[STATUS_NEGOCIO]]="Enviar E-mail",1,"")</f>
        <v/>
      </c>
      <c r="U1911" t="str">
        <f>TEXT(Tabela1[[#This Row],[DATA]],"dd/mm/aaaa")</f>
        <v>22/04/2026</v>
      </c>
    </row>
    <row r="1912" spans="1:21" x14ac:dyDescent="0.25">
      <c r="A1912" s="4">
        <v>46134.699293981481</v>
      </c>
      <c r="B1912" s="5" t="s">
        <v>19</v>
      </c>
      <c r="C1912" s="5" t="s">
        <v>37</v>
      </c>
      <c r="D1912" s="5">
        <v>366</v>
      </c>
      <c r="E1912" s="6">
        <v>31967201000196</v>
      </c>
      <c r="F1912" s="5">
        <v>366</v>
      </c>
      <c r="G1912" s="7">
        <v>177688721984961</v>
      </c>
      <c r="H1912" s="5" t="s">
        <v>513</v>
      </c>
      <c r="I1912" s="5">
        <v>3003</v>
      </c>
      <c r="J1912" s="5" t="s">
        <v>22</v>
      </c>
      <c r="K1912" s="5" t="s">
        <v>23</v>
      </c>
      <c r="L1912" s="5" t="s">
        <v>31</v>
      </c>
      <c r="M1912" s="5" t="s">
        <v>284</v>
      </c>
      <c r="N1912" s="5" t="s">
        <v>53</v>
      </c>
      <c r="O1912" s="5">
        <v>128</v>
      </c>
      <c r="P1912" s="5"/>
      <c r="Q1912" s="5"/>
      <c r="R1912" s="8">
        <v>8.1018518518518516E-5</v>
      </c>
      <c r="S1912" s="5" t="s">
        <v>37</v>
      </c>
      <c r="T1912" t="str">
        <f>IF(Tabela1[[#This Row],[STATUS_NEGOCIO]]="Enviar E-mail",1,"")</f>
        <v/>
      </c>
      <c r="U1912" t="str">
        <f>TEXT(Tabela1[[#This Row],[DATA]],"dd/mm/aaaa")</f>
        <v>22/04/2026</v>
      </c>
    </row>
    <row r="1913" spans="1:21" x14ac:dyDescent="0.25">
      <c r="A1913" s="4">
        <v>46134.699340277781</v>
      </c>
      <c r="B1913" s="5" t="s">
        <v>19</v>
      </c>
      <c r="C1913" s="5" t="s">
        <v>37</v>
      </c>
      <c r="D1913" s="5">
        <v>369</v>
      </c>
      <c r="E1913" s="6">
        <v>32121837000185</v>
      </c>
      <c r="F1913" s="5">
        <v>369</v>
      </c>
      <c r="G1913" s="7">
        <v>177688722385001</v>
      </c>
      <c r="H1913" s="5" t="s">
        <v>515</v>
      </c>
      <c r="I1913" s="5">
        <v>3003</v>
      </c>
      <c r="J1913" s="5" t="s">
        <v>22</v>
      </c>
      <c r="K1913" s="5" t="s">
        <v>23</v>
      </c>
      <c r="L1913" s="5" t="s">
        <v>31</v>
      </c>
      <c r="M1913" s="5" t="s">
        <v>284</v>
      </c>
      <c r="N1913" s="5" t="s">
        <v>53</v>
      </c>
      <c r="O1913" s="5">
        <v>128</v>
      </c>
      <c r="P1913" s="5"/>
      <c r="Q1913" s="5"/>
      <c r="R1913" s="8">
        <v>8.1018518518518516E-5</v>
      </c>
      <c r="S1913" s="5" t="s">
        <v>37</v>
      </c>
      <c r="T1913" t="str">
        <f>IF(Tabela1[[#This Row],[STATUS_NEGOCIO]]="Enviar E-mail",1,"")</f>
        <v/>
      </c>
      <c r="U1913" t="str">
        <f>TEXT(Tabela1[[#This Row],[DATA]],"dd/mm/aaaa")</f>
        <v>22/04/2026</v>
      </c>
    </row>
    <row r="1914" spans="1:21" x14ac:dyDescent="0.25">
      <c r="A1914" s="4">
        <v>46134.699386574073</v>
      </c>
      <c r="B1914" s="5" t="s">
        <v>19</v>
      </c>
      <c r="C1914" s="5" t="s">
        <v>37</v>
      </c>
      <c r="D1914" s="5">
        <v>370</v>
      </c>
      <c r="E1914" s="6">
        <v>32256448000167</v>
      </c>
      <c r="F1914" s="5">
        <v>370</v>
      </c>
      <c r="G1914" s="7">
        <v>177688722785021</v>
      </c>
      <c r="H1914" s="5" t="s">
        <v>516</v>
      </c>
      <c r="I1914" s="5">
        <v>3003</v>
      </c>
      <c r="J1914" s="5" t="s">
        <v>22</v>
      </c>
      <c r="K1914" s="5" t="s">
        <v>23</v>
      </c>
      <c r="L1914" s="5" t="s">
        <v>31</v>
      </c>
      <c r="M1914" s="5" t="s">
        <v>284</v>
      </c>
      <c r="N1914" s="5" t="s">
        <v>53</v>
      </c>
      <c r="O1914" s="5">
        <v>128</v>
      </c>
      <c r="P1914" s="5"/>
      <c r="Q1914" s="5"/>
      <c r="R1914" s="8">
        <v>8.1018518518518516E-5</v>
      </c>
      <c r="S1914" s="5" t="s">
        <v>37</v>
      </c>
      <c r="T1914" t="str">
        <f>IF(Tabela1[[#This Row],[STATUS_NEGOCIO]]="Enviar E-mail",1,"")</f>
        <v/>
      </c>
      <c r="U1914" t="str">
        <f>TEXT(Tabela1[[#This Row],[DATA]],"dd/mm/aaaa")</f>
        <v>22/04/2026</v>
      </c>
    </row>
    <row r="1915" spans="1:21" x14ac:dyDescent="0.25">
      <c r="A1915" s="4">
        <v>46134.69940972222</v>
      </c>
      <c r="B1915" s="5" t="s">
        <v>19</v>
      </c>
      <c r="C1915" s="5" t="s">
        <v>37</v>
      </c>
      <c r="D1915" s="5">
        <v>371</v>
      </c>
      <c r="E1915" s="6">
        <v>32258196000105</v>
      </c>
      <c r="F1915" s="5">
        <v>371</v>
      </c>
      <c r="G1915" s="7">
        <v>177688722985041</v>
      </c>
      <c r="H1915" s="5" t="s">
        <v>517</v>
      </c>
      <c r="I1915" s="5">
        <v>3003</v>
      </c>
      <c r="J1915" s="5" t="s">
        <v>22</v>
      </c>
      <c r="K1915" s="5" t="s">
        <v>23</v>
      </c>
      <c r="L1915" s="5" t="s">
        <v>31</v>
      </c>
      <c r="M1915" s="5" t="s">
        <v>284</v>
      </c>
      <c r="N1915" s="5" t="s">
        <v>53</v>
      </c>
      <c r="O1915" s="5">
        <v>128</v>
      </c>
      <c r="P1915" s="5"/>
      <c r="Q1915" s="5"/>
      <c r="R1915" s="8">
        <v>8.1018518518518516E-5</v>
      </c>
      <c r="S1915" s="5" t="s">
        <v>37</v>
      </c>
      <c r="T1915" t="str">
        <f>IF(Tabela1[[#This Row],[STATUS_NEGOCIO]]="Enviar E-mail",1,"")</f>
        <v/>
      </c>
      <c r="U1915" t="str">
        <f>TEXT(Tabela1[[#This Row],[DATA]],"dd/mm/aaaa")</f>
        <v>22/04/2026</v>
      </c>
    </row>
    <row r="1916" spans="1:21" x14ac:dyDescent="0.25">
      <c r="A1916" s="4">
        <v>46134.699456018519</v>
      </c>
      <c r="B1916" s="5" t="s">
        <v>19</v>
      </c>
      <c r="C1916" s="5" t="s">
        <v>37</v>
      </c>
      <c r="D1916" s="5">
        <v>372</v>
      </c>
      <c r="E1916" s="6">
        <v>32303404000140</v>
      </c>
      <c r="F1916" s="5">
        <v>372</v>
      </c>
      <c r="G1916" s="7">
        <v>177688723385061</v>
      </c>
      <c r="H1916" s="5" t="s">
        <v>518</v>
      </c>
      <c r="I1916" s="5">
        <v>3003</v>
      </c>
      <c r="J1916" s="5" t="s">
        <v>22</v>
      </c>
      <c r="K1916" s="5" t="s">
        <v>23</v>
      </c>
      <c r="L1916" s="5" t="s">
        <v>31</v>
      </c>
      <c r="M1916" s="5" t="s">
        <v>284</v>
      </c>
      <c r="N1916" s="5" t="s">
        <v>53</v>
      </c>
      <c r="O1916" s="5">
        <v>147</v>
      </c>
      <c r="P1916" s="5"/>
      <c r="Q1916" s="5"/>
      <c r="R1916" s="8">
        <v>8.1018518518518516E-5</v>
      </c>
      <c r="S1916" s="5" t="s">
        <v>37</v>
      </c>
      <c r="T1916" t="str">
        <f>IF(Tabela1[[#This Row],[STATUS_NEGOCIO]]="Enviar E-mail",1,"")</f>
        <v/>
      </c>
      <c r="U1916" t="str">
        <f>TEXT(Tabela1[[#This Row],[DATA]],"dd/mm/aaaa")</f>
        <v>22/04/2026</v>
      </c>
    </row>
    <row r="1917" spans="1:21" x14ac:dyDescent="0.25">
      <c r="A1917" s="4">
        <v>46134.699502314812</v>
      </c>
      <c r="B1917" s="5" t="s">
        <v>19</v>
      </c>
      <c r="C1917" s="5" t="s">
        <v>37</v>
      </c>
      <c r="D1917" s="5">
        <v>373</v>
      </c>
      <c r="E1917" s="6">
        <v>32333337000107</v>
      </c>
      <c r="F1917" s="5">
        <v>373</v>
      </c>
      <c r="G1917" s="7">
        <v>177688723785081</v>
      </c>
      <c r="H1917" s="5" t="s">
        <v>38</v>
      </c>
      <c r="I1917" s="5">
        <v>3003</v>
      </c>
      <c r="J1917" s="5" t="s">
        <v>22</v>
      </c>
      <c r="K1917" s="5" t="s">
        <v>23</v>
      </c>
      <c r="L1917" s="5" t="s">
        <v>31</v>
      </c>
      <c r="M1917" s="5" t="s">
        <v>284</v>
      </c>
      <c r="N1917" s="5" t="s">
        <v>53</v>
      </c>
      <c r="O1917" s="5">
        <v>128</v>
      </c>
      <c r="P1917" s="5"/>
      <c r="Q1917" s="5"/>
      <c r="R1917" s="8">
        <v>6.9444444444444444E-5</v>
      </c>
      <c r="S1917" s="5" t="s">
        <v>37</v>
      </c>
      <c r="T1917" t="str">
        <f>IF(Tabela1[[#This Row],[STATUS_NEGOCIO]]="Enviar E-mail",1,"")</f>
        <v/>
      </c>
      <c r="U1917" t="str">
        <f>TEXT(Tabela1[[#This Row],[DATA]],"dd/mm/aaaa")</f>
        <v>22/04/2026</v>
      </c>
    </row>
    <row r="1918" spans="1:21" x14ac:dyDescent="0.25">
      <c r="A1918" s="4">
        <v>46134.699513888889</v>
      </c>
      <c r="B1918" s="5" t="s">
        <v>19</v>
      </c>
      <c r="C1918" s="5" t="s">
        <v>37</v>
      </c>
      <c r="D1918" s="5">
        <v>374</v>
      </c>
      <c r="E1918" s="6">
        <v>32514234000143</v>
      </c>
      <c r="F1918" s="5">
        <v>374</v>
      </c>
      <c r="G1918" s="7">
        <v>177688723885101</v>
      </c>
      <c r="H1918" s="5" t="s">
        <v>278</v>
      </c>
      <c r="I1918" s="5">
        <v>3003</v>
      </c>
      <c r="J1918" s="5" t="s">
        <v>22</v>
      </c>
      <c r="K1918" s="5" t="s">
        <v>23</v>
      </c>
      <c r="L1918" s="5" t="s">
        <v>31</v>
      </c>
      <c r="M1918" s="5" t="s">
        <v>284</v>
      </c>
      <c r="N1918" s="5" t="s">
        <v>53</v>
      </c>
      <c r="O1918" s="5">
        <v>147</v>
      </c>
      <c r="P1918" s="5"/>
      <c r="Q1918" s="5"/>
      <c r="R1918" s="8">
        <v>8.1018518518518516E-5</v>
      </c>
      <c r="S1918" s="5" t="s">
        <v>37</v>
      </c>
      <c r="T1918" t="str">
        <f>IF(Tabela1[[#This Row],[STATUS_NEGOCIO]]="Enviar E-mail",1,"")</f>
        <v/>
      </c>
      <c r="U1918" t="str">
        <f>TEXT(Tabela1[[#This Row],[DATA]],"dd/mm/aaaa")</f>
        <v>22/04/2026</v>
      </c>
    </row>
    <row r="1919" spans="1:21" x14ac:dyDescent="0.25">
      <c r="A1919" s="4">
        <v>46134.699606481481</v>
      </c>
      <c r="B1919" s="5" t="s">
        <v>19</v>
      </c>
      <c r="C1919" s="5" t="s">
        <v>37</v>
      </c>
      <c r="D1919" s="5">
        <v>375</v>
      </c>
      <c r="E1919" s="6">
        <v>32579807000117</v>
      </c>
      <c r="F1919" s="5">
        <v>375</v>
      </c>
      <c r="G1919" s="7">
        <v>177688724685131</v>
      </c>
      <c r="H1919" s="5" t="s">
        <v>519</v>
      </c>
      <c r="I1919" s="5">
        <v>3003</v>
      </c>
      <c r="J1919" s="5" t="s">
        <v>22</v>
      </c>
      <c r="K1919" s="5" t="s">
        <v>23</v>
      </c>
      <c r="L1919" s="5" t="s">
        <v>31</v>
      </c>
      <c r="M1919" s="5" t="s">
        <v>284</v>
      </c>
      <c r="N1919" s="5" t="s">
        <v>53</v>
      </c>
      <c r="O1919" s="5">
        <v>128</v>
      </c>
      <c r="P1919" s="5"/>
      <c r="Q1919" s="5"/>
      <c r="R1919" s="8">
        <v>8.1018518518518516E-5</v>
      </c>
      <c r="S1919" s="5" t="s">
        <v>37</v>
      </c>
      <c r="T1919" t="str">
        <f>IF(Tabela1[[#This Row],[STATUS_NEGOCIO]]="Enviar E-mail",1,"")</f>
        <v/>
      </c>
      <c r="U1919" t="str">
        <f>TEXT(Tabela1[[#This Row],[DATA]],"dd/mm/aaaa")</f>
        <v>22/04/2026</v>
      </c>
    </row>
    <row r="1920" spans="1:21" x14ac:dyDescent="0.25">
      <c r="A1920" s="4">
        <v>46134.699618055558</v>
      </c>
      <c r="B1920" s="5" t="s">
        <v>19</v>
      </c>
      <c r="C1920" s="5" t="s">
        <v>37</v>
      </c>
      <c r="D1920" s="5">
        <v>376</v>
      </c>
      <c r="E1920" s="6">
        <v>32599342000166</v>
      </c>
      <c r="F1920" s="5">
        <v>376</v>
      </c>
      <c r="G1920" s="7">
        <v>177688724785141</v>
      </c>
      <c r="H1920" s="5" t="s">
        <v>520</v>
      </c>
      <c r="I1920" s="5">
        <v>3003</v>
      </c>
      <c r="J1920" s="5" t="s">
        <v>22</v>
      </c>
      <c r="K1920" s="5" t="s">
        <v>23</v>
      </c>
      <c r="L1920" s="5" t="s">
        <v>31</v>
      </c>
      <c r="M1920" s="5" t="s">
        <v>284</v>
      </c>
      <c r="N1920" s="5" t="s">
        <v>53</v>
      </c>
      <c r="O1920" s="5">
        <v>128</v>
      </c>
      <c r="P1920" s="5"/>
      <c r="Q1920" s="5"/>
      <c r="R1920" s="8">
        <v>6.9444444444444444E-5</v>
      </c>
      <c r="S1920" s="5" t="s">
        <v>37</v>
      </c>
      <c r="T1920" t="str">
        <f>IF(Tabela1[[#This Row],[STATUS_NEGOCIO]]="Enviar E-mail",1,"")</f>
        <v/>
      </c>
      <c r="U1920" t="str">
        <f>TEXT(Tabela1[[#This Row],[DATA]],"dd/mm/aaaa")</f>
        <v>22/04/2026</v>
      </c>
    </row>
    <row r="1921" spans="1:21" x14ac:dyDescent="0.25">
      <c r="A1921" s="4">
        <v>46134.699652777781</v>
      </c>
      <c r="B1921" s="5" t="s">
        <v>19</v>
      </c>
      <c r="C1921" s="5" t="s">
        <v>37</v>
      </c>
      <c r="D1921" s="5">
        <v>377</v>
      </c>
      <c r="E1921" s="6">
        <v>32956821000192</v>
      </c>
      <c r="F1921" s="5">
        <v>377</v>
      </c>
      <c r="G1921" s="7">
        <v>177688725085161</v>
      </c>
      <c r="H1921" s="5" t="s">
        <v>521</v>
      </c>
      <c r="I1921" s="5">
        <v>3003</v>
      </c>
      <c r="J1921" s="5" t="s">
        <v>22</v>
      </c>
      <c r="K1921" s="5" t="s">
        <v>23</v>
      </c>
      <c r="L1921" s="5" t="s">
        <v>31</v>
      </c>
      <c r="M1921" s="5" t="s">
        <v>284</v>
      </c>
      <c r="N1921" s="5" t="s">
        <v>53</v>
      </c>
      <c r="O1921" s="5">
        <v>128</v>
      </c>
      <c r="P1921" s="5"/>
      <c r="Q1921" s="5"/>
      <c r="R1921" s="8">
        <v>8.1018518518518516E-5</v>
      </c>
      <c r="S1921" s="5" t="s">
        <v>37</v>
      </c>
      <c r="T1921" t="str">
        <f>IF(Tabela1[[#This Row],[STATUS_NEGOCIO]]="Enviar E-mail",1,"")</f>
        <v/>
      </c>
      <c r="U1921" t="str">
        <f>TEXT(Tabela1[[#This Row],[DATA]],"dd/mm/aaaa")</f>
        <v>22/04/2026</v>
      </c>
    </row>
    <row r="1922" spans="1:21" x14ac:dyDescent="0.25">
      <c r="A1922" s="4">
        <v>46134.699687499997</v>
      </c>
      <c r="B1922" s="5" t="s">
        <v>19</v>
      </c>
      <c r="C1922" s="5" t="s">
        <v>37</v>
      </c>
      <c r="D1922" s="5">
        <v>378</v>
      </c>
      <c r="E1922" s="6">
        <v>32968396000151</v>
      </c>
      <c r="F1922" s="5">
        <v>378</v>
      </c>
      <c r="G1922" s="7">
        <v>177688725385191</v>
      </c>
      <c r="H1922" s="5" t="s">
        <v>522</v>
      </c>
      <c r="I1922" s="5">
        <v>3003</v>
      </c>
      <c r="J1922" s="5" t="s">
        <v>22</v>
      </c>
      <c r="K1922" s="5" t="s">
        <v>23</v>
      </c>
      <c r="L1922" s="5" t="s">
        <v>31</v>
      </c>
      <c r="M1922" s="5" t="s">
        <v>284</v>
      </c>
      <c r="N1922" s="5" t="s">
        <v>53</v>
      </c>
      <c r="O1922" s="5">
        <v>128</v>
      </c>
      <c r="P1922" s="5"/>
      <c r="Q1922" s="5"/>
      <c r="R1922" s="8">
        <v>8.1018518518518516E-5</v>
      </c>
      <c r="S1922" s="5" t="s">
        <v>37</v>
      </c>
      <c r="T1922" t="str">
        <f>IF(Tabela1[[#This Row],[STATUS_NEGOCIO]]="Enviar E-mail",1,"")</f>
        <v/>
      </c>
      <c r="U1922" t="str">
        <f>TEXT(Tabela1[[#This Row],[DATA]],"dd/mm/aaaa")</f>
        <v>22/04/2026</v>
      </c>
    </row>
    <row r="1923" spans="1:21" x14ac:dyDescent="0.25">
      <c r="A1923" s="4">
        <v>46134.69976851852</v>
      </c>
      <c r="B1923" s="5" t="s">
        <v>19</v>
      </c>
      <c r="C1923" s="5" t="s">
        <v>37</v>
      </c>
      <c r="D1923" s="5">
        <v>367</v>
      </c>
      <c r="E1923" s="6">
        <v>31969017000185</v>
      </c>
      <c r="F1923" s="5">
        <v>367</v>
      </c>
      <c r="G1923" s="7">
        <v>177688722184981</v>
      </c>
      <c r="H1923" s="5" t="s">
        <v>116</v>
      </c>
      <c r="I1923" s="5">
        <v>3003</v>
      </c>
      <c r="J1923" s="5" t="s">
        <v>22</v>
      </c>
      <c r="K1923" s="5" t="s">
        <v>23</v>
      </c>
      <c r="L1923" s="5" t="s">
        <v>31</v>
      </c>
      <c r="M1923" s="5" t="s">
        <v>284</v>
      </c>
      <c r="N1923" s="5" t="s">
        <v>26</v>
      </c>
      <c r="O1923" s="5">
        <v>131</v>
      </c>
      <c r="P1923" s="5"/>
      <c r="Q1923" s="5"/>
      <c r="R1923" s="8">
        <v>1.7361111111111112E-4</v>
      </c>
      <c r="S1923" s="5" t="s">
        <v>37</v>
      </c>
      <c r="T1923" t="str">
        <f>IF(Tabela1[[#This Row],[STATUS_NEGOCIO]]="Enviar E-mail",1,"")</f>
        <v/>
      </c>
      <c r="U1923" t="str">
        <f>TEXT(Tabela1[[#This Row],[DATA]],"dd/mm/aaaa")</f>
        <v>22/04/2026</v>
      </c>
    </row>
    <row r="1924" spans="1:21" x14ac:dyDescent="0.25">
      <c r="A1924" s="4">
        <v>46134.699837962966</v>
      </c>
      <c r="B1924" s="5" t="s">
        <v>19</v>
      </c>
      <c r="C1924" s="5" t="s">
        <v>37</v>
      </c>
      <c r="D1924" s="5">
        <v>380</v>
      </c>
      <c r="E1924" s="6">
        <v>33117243000163</v>
      </c>
      <c r="F1924" s="5">
        <v>380</v>
      </c>
      <c r="G1924" s="7">
        <v>177688726685281</v>
      </c>
      <c r="H1924" s="5" t="s">
        <v>276</v>
      </c>
      <c r="I1924" s="5">
        <v>3003</v>
      </c>
      <c r="J1924" s="5" t="s">
        <v>22</v>
      </c>
      <c r="K1924" s="5" t="s">
        <v>23</v>
      </c>
      <c r="L1924" s="5" t="s">
        <v>31</v>
      </c>
      <c r="M1924" s="5" t="s">
        <v>284</v>
      </c>
      <c r="N1924" s="5" t="s">
        <v>53</v>
      </c>
      <c r="O1924" s="5">
        <v>128</v>
      </c>
      <c r="P1924" s="5"/>
      <c r="Q1924" s="5"/>
      <c r="R1924" s="8">
        <v>8.1018518518518516E-5</v>
      </c>
      <c r="S1924" s="5" t="s">
        <v>37</v>
      </c>
      <c r="T1924" t="str">
        <f>IF(Tabela1[[#This Row],[STATUS_NEGOCIO]]="Enviar E-mail",1,"")</f>
        <v/>
      </c>
      <c r="U1924" t="str">
        <f>TEXT(Tabela1[[#This Row],[DATA]],"dd/mm/aaaa")</f>
        <v>22/04/2026</v>
      </c>
    </row>
    <row r="1925" spans="1:21" x14ac:dyDescent="0.25">
      <c r="A1925" s="4">
        <v>46134.699849537035</v>
      </c>
      <c r="B1925" s="5" t="s">
        <v>19</v>
      </c>
      <c r="C1925" s="5" t="s">
        <v>37</v>
      </c>
      <c r="D1925" s="5">
        <v>381</v>
      </c>
      <c r="E1925" s="6">
        <v>33208034000125</v>
      </c>
      <c r="F1925" s="5">
        <v>381</v>
      </c>
      <c r="G1925" s="7">
        <v>177688726785291</v>
      </c>
      <c r="H1925" s="5" t="s">
        <v>524</v>
      </c>
      <c r="I1925" s="5">
        <v>3003</v>
      </c>
      <c r="J1925" s="5" t="s">
        <v>22</v>
      </c>
      <c r="K1925" s="5" t="s">
        <v>23</v>
      </c>
      <c r="L1925" s="5" t="s">
        <v>31</v>
      </c>
      <c r="M1925" s="5" t="s">
        <v>284</v>
      </c>
      <c r="N1925" s="5" t="s">
        <v>53</v>
      </c>
      <c r="O1925" s="5">
        <v>128</v>
      </c>
      <c r="P1925" s="5"/>
      <c r="Q1925" s="5"/>
      <c r="R1925" s="8">
        <v>8.1018518518518516E-5</v>
      </c>
      <c r="S1925" s="5" t="s">
        <v>37</v>
      </c>
      <c r="T1925" t="str">
        <f>IF(Tabela1[[#This Row],[STATUS_NEGOCIO]]="Enviar E-mail",1,"")</f>
        <v/>
      </c>
      <c r="U1925" t="str">
        <f>TEXT(Tabela1[[#This Row],[DATA]],"dd/mm/aaaa")</f>
        <v>22/04/2026</v>
      </c>
    </row>
    <row r="1926" spans="1:21" x14ac:dyDescent="0.25">
      <c r="A1926" s="4">
        <v>46134.699849537035</v>
      </c>
      <c r="B1926" s="5" t="s">
        <v>19</v>
      </c>
      <c r="C1926" s="5" t="s">
        <v>37</v>
      </c>
      <c r="D1926" s="5">
        <v>382</v>
      </c>
      <c r="E1926" s="6">
        <v>33208174000101</v>
      </c>
      <c r="F1926" s="5">
        <v>382</v>
      </c>
      <c r="G1926" s="7">
        <v>177688726785301</v>
      </c>
      <c r="H1926" s="5" t="s">
        <v>525</v>
      </c>
      <c r="I1926" s="5">
        <v>3003</v>
      </c>
      <c r="J1926" s="5" t="s">
        <v>22</v>
      </c>
      <c r="K1926" s="5" t="s">
        <v>23</v>
      </c>
      <c r="L1926" s="5" t="s">
        <v>31</v>
      </c>
      <c r="M1926" s="5" t="s">
        <v>284</v>
      </c>
      <c r="N1926" s="5" t="s">
        <v>53</v>
      </c>
      <c r="O1926" s="5">
        <v>128</v>
      </c>
      <c r="P1926" s="5"/>
      <c r="Q1926" s="5"/>
      <c r="R1926" s="8">
        <v>8.1018518518518516E-5</v>
      </c>
      <c r="S1926" s="5" t="s">
        <v>37</v>
      </c>
      <c r="T1926" t="str">
        <f>IF(Tabela1[[#This Row],[STATUS_NEGOCIO]]="Enviar E-mail",1,"")</f>
        <v/>
      </c>
      <c r="U1926" t="str">
        <f>TEXT(Tabela1[[#This Row],[DATA]],"dd/mm/aaaa")</f>
        <v>22/04/2026</v>
      </c>
    </row>
    <row r="1927" spans="1:21" x14ac:dyDescent="0.25">
      <c r="A1927" s="4">
        <v>46134.699849537035</v>
      </c>
      <c r="B1927" s="5" t="s">
        <v>19</v>
      </c>
      <c r="C1927" s="5" t="s">
        <v>37</v>
      </c>
      <c r="D1927" s="5">
        <v>383</v>
      </c>
      <c r="E1927" s="6">
        <v>33242199000113</v>
      </c>
      <c r="F1927" s="5">
        <v>383</v>
      </c>
      <c r="G1927" s="7">
        <v>177688726785311</v>
      </c>
      <c r="H1927" s="5" t="s">
        <v>526</v>
      </c>
      <c r="I1927" s="5" t="s">
        <v>52</v>
      </c>
      <c r="J1927" s="5" t="s">
        <v>22</v>
      </c>
      <c r="K1927" s="5" t="s">
        <v>62</v>
      </c>
      <c r="L1927" s="5" t="s">
        <v>62</v>
      </c>
      <c r="M1927" s="5" t="s">
        <v>284</v>
      </c>
      <c r="N1927" s="5" t="s">
        <v>53</v>
      </c>
      <c r="O1927" s="5">
        <v>17</v>
      </c>
      <c r="P1927" s="5"/>
      <c r="Q1927" s="5"/>
      <c r="R1927" s="8">
        <v>0</v>
      </c>
      <c r="S1927" s="5" t="s">
        <v>37</v>
      </c>
      <c r="T1927" t="str">
        <f>IF(Tabela1[[#This Row],[STATUS_NEGOCIO]]="Enviar E-mail",1,"")</f>
        <v/>
      </c>
      <c r="U1927" t="str">
        <f>TEXT(Tabela1[[#This Row],[DATA]],"dd/mm/aaaa")</f>
        <v>22/04/2026</v>
      </c>
    </row>
    <row r="1928" spans="1:21" x14ac:dyDescent="0.25">
      <c r="A1928" s="4">
        <v>46134.699861111112</v>
      </c>
      <c r="B1928" s="5" t="s">
        <v>19</v>
      </c>
      <c r="C1928" s="5" t="s">
        <v>37</v>
      </c>
      <c r="D1928" s="5">
        <v>385</v>
      </c>
      <c r="E1928" s="6">
        <v>33472846000183</v>
      </c>
      <c r="F1928" s="5">
        <v>385</v>
      </c>
      <c r="G1928" s="7">
        <v>177688726885331</v>
      </c>
      <c r="H1928" s="5" t="s">
        <v>527</v>
      </c>
      <c r="I1928" s="5" t="s">
        <v>52</v>
      </c>
      <c r="J1928" s="5" t="s">
        <v>22</v>
      </c>
      <c r="K1928" s="5" t="s">
        <v>36</v>
      </c>
      <c r="L1928" s="5" t="s">
        <v>36</v>
      </c>
      <c r="M1928" s="5" t="s">
        <v>284</v>
      </c>
      <c r="N1928" s="5" t="s">
        <v>53</v>
      </c>
      <c r="O1928" s="5">
        <v>34</v>
      </c>
      <c r="P1928" s="5"/>
      <c r="Q1928" s="5"/>
      <c r="R1928" s="8">
        <v>0</v>
      </c>
      <c r="S1928" s="5" t="s">
        <v>37</v>
      </c>
      <c r="T1928" t="str">
        <f>IF(Tabela1[[#This Row],[STATUS_NEGOCIO]]="Enviar E-mail",1,"")</f>
        <v/>
      </c>
      <c r="U1928" t="str">
        <f>TEXT(Tabela1[[#This Row],[DATA]],"dd/mm/aaaa")</f>
        <v>22/04/2026</v>
      </c>
    </row>
    <row r="1929" spans="1:21" x14ac:dyDescent="0.25">
      <c r="A1929" s="4">
        <v>46134.7</v>
      </c>
      <c r="B1929" s="5" t="s">
        <v>19</v>
      </c>
      <c r="C1929" s="5" t="s">
        <v>37</v>
      </c>
      <c r="D1929" s="5">
        <v>386</v>
      </c>
      <c r="E1929" s="6">
        <v>33524117000123</v>
      </c>
      <c r="F1929" s="5">
        <v>386</v>
      </c>
      <c r="G1929" s="7">
        <v>177688728085351</v>
      </c>
      <c r="H1929" s="5" t="s">
        <v>168</v>
      </c>
      <c r="I1929" s="5">
        <v>3003</v>
      </c>
      <c r="J1929" s="5" t="s">
        <v>22</v>
      </c>
      <c r="K1929" s="5" t="s">
        <v>23</v>
      </c>
      <c r="L1929" s="5" t="s">
        <v>31</v>
      </c>
      <c r="M1929" s="5" t="s">
        <v>284</v>
      </c>
      <c r="N1929" s="5" t="s">
        <v>53</v>
      </c>
      <c r="O1929" s="5">
        <v>128</v>
      </c>
      <c r="P1929" s="5"/>
      <c r="Q1929" s="5"/>
      <c r="R1929" s="8">
        <v>6.9444444444444444E-5</v>
      </c>
      <c r="S1929" s="5" t="s">
        <v>37</v>
      </c>
      <c r="T1929" t="str">
        <f>IF(Tabela1[[#This Row],[STATUS_NEGOCIO]]="Enviar E-mail",1,"")</f>
        <v/>
      </c>
      <c r="U1929" t="str">
        <f>TEXT(Tabela1[[#This Row],[DATA]],"dd/mm/aaaa")</f>
        <v>22/04/2026</v>
      </c>
    </row>
    <row r="1930" spans="1:21" x14ac:dyDescent="0.25">
      <c r="A1930" s="4">
        <v>46134.700173611112</v>
      </c>
      <c r="B1930" s="5" t="s">
        <v>19</v>
      </c>
      <c r="C1930" s="5" t="s">
        <v>37</v>
      </c>
      <c r="D1930" s="5">
        <v>387</v>
      </c>
      <c r="E1930" s="6">
        <v>33524950000174</v>
      </c>
      <c r="F1930" s="5">
        <v>387</v>
      </c>
      <c r="G1930" s="7">
        <v>177688729585441</v>
      </c>
      <c r="H1930" s="5" t="s">
        <v>104</v>
      </c>
      <c r="I1930" s="5">
        <v>3003</v>
      </c>
      <c r="J1930" s="5" t="s">
        <v>22</v>
      </c>
      <c r="K1930" s="5" t="s">
        <v>23</v>
      </c>
      <c r="L1930" s="5" t="s">
        <v>31</v>
      </c>
      <c r="M1930" s="5" t="s">
        <v>284</v>
      </c>
      <c r="N1930" s="5" t="s">
        <v>53</v>
      </c>
      <c r="O1930" s="5">
        <v>128</v>
      </c>
      <c r="P1930" s="5"/>
      <c r="Q1930" s="5"/>
      <c r="R1930" s="8">
        <v>8.1018518518518516E-5</v>
      </c>
      <c r="S1930" s="5" t="s">
        <v>37</v>
      </c>
      <c r="T1930" t="str">
        <f>IF(Tabela1[[#This Row],[STATUS_NEGOCIO]]="Enviar E-mail",1,"")</f>
        <v/>
      </c>
      <c r="U1930" t="str">
        <f>TEXT(Tabela1[[#This Row],[DATA]],"dd/mm/aaaa")</f>
        <v>22/04/2026</v>
      </c>
    </row>
    <row r="1931" spans="1:21" x14ac:dyDescent="0.25">
      <c r="A1931" s="4">
        <v>46134.700196759259</v>
      </c>
      <c r="B1931" s="5" t="s">
        <v>19</v>
      </c>
      <c r="C1931" s="5" t="s">
        <v>37</v>
      </c>
      <c r="D1931" s="5">
        <v>388</v>
      </c>
      <c r="E1931" s="6">
        <v>33833660000102</v>
      </c>
      <c r="F1931" s="5">
        <v>388</v>
      </c>
      <c r="G1931" s="7">
        <v>177688729785461</v>
      </c>
      <c r="H1931" s="5" t="s">
        <v>155</v>
      </c>
      <c r="I1931" s="5">
        <v>3003</v>
      </c>
      <c r="J1931" s="5" t="s">
        <v>22</v>
      </c>
      <c r="K1931" s="5" t="s">
        <v>23</v>
      </c>
      <c r="L1931" s="5" t="s">
        <v>31</v>
      </c>
      <c r="M1931" s="5" t="s">
        <v>284</v>
      </c>
      <c r="N1931" s="5" t="s">
        <v>53</v>
      </c>
      <c r="O1931" s="5">
        <v>128</v>
      </c>
      <c r="P1931" s="5"/>
      <c r="Q1931" s="5"/>
      <c r="R1931" s="8">
        <v>8.1018518518518516E-5</v>
      </c>
      <c r="S1931" s="5" t="s">
        <v>37</v>
      </c>
      <c r="T1931" t="str">
        <f>IF(Tabela1[[#This Row],[STATUS_NEGOCIO]]="Enviar E-mail",1,"")</f>
        <v/>
      </c>
      <c r="U1931" t="str">
        <f>TEXT(Tabela1[[#This Row],[DATA]],"dd/mm/aaaa")</f>
        <v>22/04/2026</v>
      </c>
    </row>
    <row r="1932" spans="1:21" x14ac:dyDescent="0.25">
      <c r="A1932" s="4">
        <v>46134.700219907405</v>
      </c>
      <c r="B1932" s="5" t="s">
        <v>19</v>
      </c>
      <c r="C1932" s="5" t="s">
        <v>37</v>
      </c>
      <c r="D1932" s="5">
        <v>389</v>
      </c>
      <c r="E1932" s="6">
        <v>33863778000183</v>
      </c>
      <c r="F1932" s="5">
        <v>389</v>
      </c>
      <c r="G1932" s="7">
        <v>177688729985481</v>
      </c>
      <c r="H1932" s="5" t="s">
        <v>528</v>
      </c>
      <c r="I1932" s="5">
        <v>3003</v>
      </c>
      <c r="J1932" s="5" t="s">
        <v>22</v>
      </c>
      <c r="K1932" s="5" t="s">
        <v>23</v>
      </c>
      <c r="L1932" s="5" t="s">
        <v>31</v>
      </c>
      <c r="M1932" s="5" t="s">
        <v>284</v>
      </c>
      <c r="N1932" s="5" t="s">
        <v>53</v>
      </c>
      <c r="O1932" s="5">
        <v>128</v>
      </c>
      <c r="P1932" s="5"/>
      <c r="Q1932" s="5"/>
      <c r="R1932" s="8">
        <v>6.9444444444444444E-5</v>
      </c>
      <c r="S1932" s="5" t="s">
        <v>37</v>
      </c>
      <c r="T1932" t="str">
        <f>IF(Tabela1[[#This Row],[STATUS_NEGOCIO]]="Enviar E-mail",1,"")</f>
        <v/>
      </c>
      <c r="U1932" t="str">
        <f>TEXT(Tabela1[[#This Row],[DATA]],"dd/mm/aaaa")</f>
        <v>22/04/2026</v>
      </c>
    </row>
    <row r="1933" spans="1:21" x14ac:dyDescent="0.25">
      <c r="A1933" s="4">
        <v>46134.70040509259</v>
      </c>
      <c r="B1933" s="5" t="s">
        <v>19</v>
      </c>
      <c r="C1933" s="5" t="s">
        <v>37</v>
      </c>
      <c r="D1933" s="5">
        <v>391</v>
      </c>
      <c r="E1933" s="6">
        <v>33889341000119</v>
      </c>
      <c r="F1933" s="5">
        <v>391</v>
      </c>
      <c r="G1933" s="7">
        <v>177688731585591</v>
      </c>
      <c r="H1933" s="5" t="s">
        <v>200</v>
      </c>
      <c r="I1933" s="5">
        <v>3003</v>
      </c>
      <c r="J1933" s="5" t="s">
        <v>22</v>
      </c>
      <c r="K1933" s="5" t="s">
        <v>23</v>
      </c>
      <c r="L1933" s="5" t="s">
        <v>31</v>
      </c>
      <c r="M1933" s="5" t="s">
        <v>284</v>
      </c>
      <c r="N1933" s="5" t="s">
        <v>53</v>
      </c>
      <c r="O1933" s="5">
        <v>128</v>
      </c>
      <c r="P1933" s="5"/>
      <c r="Q1933" s="5"/>
      <c r="R1933" s="8">
        <v>8.1018518518518516E-5</v>
      </c>
      <c r="S1933" s="5" t="s">
        <v>37</v>
      </c>
      <c r="T1933" t="str">
        <f>IF(Tabela1[[#This Row],[STATUS_NEGOCIO]]="Enviar E-mail",1,"")</f>
        <v/>
      </c>
      <c r="U1933" t="str">
        <f>TEXT(Tabela1[[#This Row],[DATA]],"dd/mm/aaaa")</f>
        <v>22/04/2026</v>
      </c>
    </row>
    <row r="1934" spans="1:21" x14ac:dyDescent="0.25">
      <c r="A1934" s="4">
        <v>46134.700601851851</v>
      </c>
      <c r="B1934" s="5" t="s">
        <v>19</v>
      </c>
      <c r="C1934" s="5" t="s">
        <v>37</v>
      </c>
      <c r="D1934" s="5">
        <v>392</v>
      </c>
      <c r="E1934" s="6">
        <v>33979964000182</v>
      </c>
      <c r="F1934" s="5">
        <v>392</v>
      </c>
      <c r="G1934" s="7">
        <v>177688733285681</v>
      </c>
      <c r="H1934" s="5" t="s">
        <v>529</v>
      </c>
      <c r="I1934" s="5">
        <v>3003</v>
      </c>
      <c r="J1934" s="5" t="s">
        <v>22</v>
      </c>
      <c r="K1934" s="5" t="s">
        <v>23</v>
      </c>
      <c r="L1934" s="5" t="s">
        <v>31</v>
      </c>
      <c r="M1934" s="5" t="s">
        <v>284</v>
      </c>
      <c r="N1934" s="5" t="s">
        <v>26</v>
      </c>
      <c r="O1934" s="5">
        <v>131</v>
      </c>
      <c r="P1934" s="5"/>
      <c r="Q1934" s="5"/>
      <c r="R1934" s="8">
        <v>3.0092592592592595E-4</v>
      </c>
      <c r="S1934" s="5" t="s">
        <v>37</v>
      </c>
      <c r="T1934" t="str">
        <f>IF(Tabela1[[#This Row],[STATUS_NEGOCIO]]="Enviar E-mail",1,"")</f>
        <v/>
      </c>
      <c r="U1934" t="str">
        <f>TEXT(Tabela1[[#This Row],[DATA]],"dd/mm/aaaa")</f>
        <v>22/04/2026</v>
      </c>
    </row>
    <row r="1935" spans="1:21" x14ac:dyDescent="0.25">
      <c r="A1935" s="4">
        <v>46134.700937499998</v>
      </c>
      <c r="B1935" s="5" t="s">
        <v>19</v>
      </c>
      <c r="C1935" s="5" t="s">
        <v>37</v>
      </c>
      <c r="D1935" s="5">
        <v>393</v>
      </c>
      <c r="E1935" s="6">
        <v>34005108000199</v>
      </c>
      <c r="F1935" s="5">
        <v>393</v>
      </c>
      <c r="G1935" s="7">
        <v>177688736185741</v>
      </c>
      <c r="H1935" s="5" t="s">
        <v>530</v>
      </c>
      <c r="I1935" s="5">
        <v>3003</v>
      </c>
      <c r="J1935" s="5" t="s">
        <v>22</v>
      </c>
      <c r="K1935" s="5" t="s">
        <v>23</v>
      </c>
      <c r="L1935" s="5" t="s">
        <v>31</v>
      </c>
      <c r="M1935" s="5" t="s">
        <v>284</v>
      </c>
      <c r="N1935" s="5" t="s">
        <v>53</v>
      </c>
      <c r="O1935" s="5">
        <v>147</v>
      </c>
      <c r="P1935" s="5"/>
      <c r="Q1935" s="5"/>
      <c r="R1935" s="8">
        <v>8.1018518518518516E-5</v>
      </c>
      <c r="S1935" s="5" t="s">
        <v>37</v>
      </c>
      <c r="T1935" t="str">
        <f>IF(Tabela1[[#This Row],[STATUS_NEGOCIO]]="Enviar E-mail",1,"")</f>
        <v/>
      </c>
      <c r="U1935" t="str">
        <f>TEXT(Tabela1[[#This Row],[DATA]],"dd/mm/aaaa")</f>
        <v>22/04/2026</v>
      </c>
    </row>
    <row r="1936" spans="1:21" x14ac:dyDescent="0.25">
      <c r="A1936" s="4">
        <v>46134.700960648152</v>
      </c>
      <c r="B1936" s="5" t="s">
        <v>19</v>
      </c>
      <c r="C1936" s="5" t="s">
        <v>37</v>
      </c>
      <c r="D1936" s="5">
        <v>394</v>
      </c>
      <c r="E1936" s="6">
        <v>34050567000194</v>
      </c>
      <c r="F1936" s="5">
        <v>394</v>
      </c>
      <c r="G1936" s="7">
        <v>177688736385751</v>
      </c>
      <c r="H1936" s="5" t="s">
        <v>531</v>
      </c>
      <c r="I1936" s="5">
        <v>3003</v>
      </c>
      <c r="J1936" s="5" t="s">
        <v>22</v>
      </c>
      <c r="K1936" s="5" t="s">
        <v>23</v>
      </c>
      <c r="L1936" s="5" t="s">
        <v>31</v>
      </c>
      <c r="M1936" s="5" t="s">
        <v>284</v>
      </c>
      <c r="N1936" s="5" t="s">
        <v>53</v>
      </c>
      <c r="O1936" s="5">
        <v>128</v>
      </c>
      <c r="P1936" s="5"/>
      <c r="Q1936" s="5"/>
      <c r="R1936" s="8">
        <v>8.1018518518518516E-5</v>
      </c>
      <c r="S1936" s="5" t="s">
        <v>37</v>
      </c>
      <c r="T1936" t="str">
        <f>IF(Tabela1[[#This Row],[STATUS_NEGOCIO]]="Enviar E-mail",1,"")</f>
        <v/>
      </c>
      <c r="U1936" t="str">
        <f>TEXT(Tabela1[[#This Row],[DATA]],"dd/mm/aaaa")</f>
        <v>22/04/2026</v>
      </c>
    </row>
    <row r="1937" spans="1:21" x14ac:dyDescent="0.25">
      <c r="A1937" s="4">
        <v>46134.701018518521</v>
      </c>
      <c r="B1937" s="5" t="s">
        <v>19</v>
      </c>
      <c r="C1937" s="5" t="s">
        <v>37</v>
      </c>
      <c r="D1937" s="5">
        <v>395</v>
      </c>
      <c r="E1937" s="6">
        <v>34058701000101</v>
      </c>
      <c r="F1937" s="5">
        <v>395</v>
      </c>
      <c r="G1937" s="7">
        <v>177688736885791</v>
      </c>
      <c r="H1937" s="5" t="s">
        <v>532</v>
      </c>
      <c r="I1937" s="5">
        <v>3003</v>
      </c>
      <c r="J1937" s="5" t="s">
        <v>22</v>
      </c>
      <c r="K1937" s="5" t="s">
        <v>23</v>
      </c>
      <c r="L1937" s="5" t="s">
        <v>31</v>
      </c>
      <c r="M1937" s="5" t="s">
        <v>284</v>
      </c>
      <c r="N1937" s="5" t="s">
        <v>53</v>
      </c>
      <c r="O1937" s="5">
        <v>128</v>
      </c>
      <c r="P1937" s="5"/>
      <c r="Q1937" s="5"/>
      <c r="R1937" s="8">
        <v>8.1018518518518516E-5</v>
      </c>
      <c r="S1937" s="5" t="s">
        <v>37</v>
      </c>
      <c r="T1937" t="str">
        <f>IF(Tabela1[[#This Row],[STATUS_NEGOCIO]]="Enviar E-mail",1,"")</f>
        <v/>
      </c>
      <c r="U1937" t="str">
        <f>TEXT(Tabela1[[#This Row],[DATA]],"dd/mm/aaaa")</f>
        <v>22/04/2026</v>
      </c>
    </row>
    <row r="1938" spans="1:21" x14ac:dyDescent="0.25">
      <c r="A1938" s="4">
        <v>46134.70107638889</v>
      </c>
      <c r="B1938" s="5" t="s">
        <v>19</v>
      </c>
      <c r="C1938" s="5" t="s">
        <v>37</v>
      </c>
      <c r="D1938" s="5">
        <v>396</v>
      </c>
      <c r="E1938" s="6">
        <v>34413663000150</v>
      </c>
      <c r="F1938" s="5">
        <v>396</v>
      </c>
      <c r="G1938" s="7">
        <v>177688737385811</v>
      </c>
      <c r="H1938" s="5" t="s">
        <v>45</v>
      </c>
      <c r="I1938" s="5">
        <v>3003</v>
      </c>
      <c r="J1938" s="5" t="s">
        <v>22</v>
      </c>
      <c r="K1938" s="5" t="s">
        <v>23</v>
      </c>
      <c r="L1938" s="5" t="s">
        <v>31</v>
      </c>
      <c r="M1938" s="5" t="s">
        <v>284</v>
      </c>
      <c r="N1938" s="5" t="s">
        <v>53</v>
      </c>
      <c r="O1938" s="5">
        <v>128</v>
      </c>
      <c r="P1938" s="5"/>
      <c r="Q1938" s="5"/>
      <c r="R1938" s="8">
        <v>8.1018518518518516E-5</v>
      </c>
      <c r="S1938" s="5" t="s">
        <v>37</v>
      </c>
      <c r="T1938" t="str">
        <f>IF(Tabela1[[#This Row],[STATUS_NEGOCIO]]="Enviar E-mail",1,"")</f>
        <v/>
      </c>
      <c r="U1938" t="str">
        <f>TEXT(Tabela1[[#This Row],[DATA]],"dd/mm/aaaa")</f>
        <v>22/04/2026</v>
      </c>
    </row>
    <row r="1939" spans="1:21" x14ac:dyDescent="0.25">
      <c r="A1939" s="4">
        <v>46134.701203703706</v>
      </c>
      <c r="B1939" s="5" t="s">
        <v>19</v>
      </c>
      <c r="C1939" s="5" t="s">
        <v>37</v>
      </c>
      <c r="D1939" s="5">
        <v>397</v>
      </c>
      <c r="E1939" s="6">
        <v>34484975000154</v>
      </c>
      <c r="F1939" s="5">
        <v>397</v>
      </c>
      <c r="G1939" s="7">
        <v>177688738485851</v>
      </c>
      <c r="H1939" s="5" t="s">
        <v>173</v>
      </c>
      <c r="I1939" s="5">
        <v>3003</v>
      </c>
      <c r="J1939" s="5" t="s">
        <v>22</v>
      </c>
      <c r="K1939" s="5" t="s">
        <v>23</v>
      </c>
      <c r="L1939" s="5" t="s">
        <v>31</v>
      </c>
      <c r="M1939" s="5" t="s">
        <v>284</v>
      </c>
      <c r="N1939" s="5" t="s">
        <v>53</v>
      </c>
      <c r="O1939" s="5">
        <v>128</v>
      </c>
      <c r="P1939" s="5"/>
      <c r="Q1939" s="5"/>
      <c r="R1939" s="8">
        <v>8.1018518518518516E-5</v>
      </c>
      <c r="S1939" s="5" t="s">
        <v>37</v>
      </c>
      <c r="T1939" t="str">
        <f>IF(Tabela1[[#This Row],[STATUS_NEGOCIO]]="Enviar E-mail",1,"")</f>
        <v/>
      </c>
      <c r="U1939" t="str">
        <f>TEXT(Tabela1[[#This Row],[DATA]],"dd/mm/aaaa")</f>
        <v>22/04/2026</v>
      </c>
    </row>
    <row r="1940" spans="1:21" x14ac:dyDescent="0.25">
      <c r="A1940" s="4">
        <v>46134.701238425929</v>
      </c>
      <c r="B1940" s="5" t="s">
        <v>19</v>
      </c>
      <c r="C1940" s="5" t="s">
        <v>37</v>
      </c>
      <c r="D1940" s="5">
        <v>398</v>
      </c>
      <c r="E1940" s="6">
        <v>34851161000100</v>
      </c>
      <c r="F1940" s="5">
        <v>398</v>
      </c>
      <c r="G1940" s="7">
        <v>177688738785871</v>
      </c>
      <c r="H1940" s="5" t="s">
        <v>533</v>
      </c>
      <c r="I1940" s="5">
        <v>3003</v>
      </c>
      <c r="J1940" s="5" t="s">
        <v>22</v>
      </c>
      <c r="K1940" s="5" t="s">
        <v>23</v>
      </c>
      <c r="L1940" s="5" t="s">
        <v>31</v>
      </c>
      <c r="M1940" s="5" t="s">
        <v>284</v>
      </c>
      <c r="N1940" s="5" t="s">
        <v>53</v>
      </c>
      <c r="O1940" s="5">
        <v>128</v>
      </c>
      <c r="P1940" s="5"/>
      <c r="Q1940" s="5"/>
      <c r="R1940" s="8">
        <v>8.1018518518518516E-5</v>
      </c>
      <c r="S1940" s="5" t="s">
        <v>37</v>
      </c>
      <c r="T1940" t="str">
        <f>IF(Tabela1[[#This Row],[STATUS_NEGOCIO]]="Enviar E-mail",1,"")</f>
        <v/>
      </c>
      <c r="U1940" t="str">
        <f>TEXT(Tabela1[[#This Row],[DATA]],"dd/mm/aaaa")</f>
        <v>22/04/2026</v>
      </c>
    </row>
    <row r="1941" spans="1:21" x14ac:dyDescent="0.25">
      <c r="A1941" s="4">
        <v>46134.701377314814</v>
      </c>
      <c r="B1941" s="5" t="s">
        <v>19</v>
      </c>
      <c r="C1941" s="5" t="s">
        <v>37</v>
      </c>
      <c r="D1941" s="5">
        <v>399</v>
      </c>
      <c r="E1941" s="6">
        <v>34978275000116</v>
      </c>
      <c r="F1941" s="5">
        <v>399</v>
      </c>
      <c r="G1941" s="7">
        <v>177688739985991</v>
      </c>
      <c r="H1941" s="5" t="s">
        <v>77</v>
      </c>
      <c r="I1941" s="5">
        <v>3003</v>
      </c>
      <c r="J1941" s="5" t="s">
        <v>22</v>
      </c>
      <c r="K1941" s="5" t="s">
        <v>23</v>
      </c>
      <c r="L1941" s="5" t="s">
        <v>31</v>
      </c>
      <c r="M1941" s="5" t="s">
        <v>284</v>
      </c>
      <c r="N1941" s="5" t="s">
        <v>53</v>
      </c>
      <c r="O1941" s="5">
        <v>128</v>
      </c>
      <c r="P1941" s="5"/>
      <c r="Q1941" s="5"/>
      <c r="R1941" s="8">
        <v>8.1018518518518516E-5</v>
      </c>
      <c r="S1941" s="5" t="s">
        <v>37</v>
      </c>
      <c r="T1941" t="str">
        <f>IF(Tabela1[[#This Row],[STATUS_NEGOCIO]]="Enviar E-mail",1,"")</f>
        <v/>
      </c>
      <c r="U1941" t="str">
        <f>TEXT(Tabela1[[#This Row],[DATA]],"dd/mm/aaaa")</f>
        <v>22/04/2026</v>
      </c>
    </row>
    <row r="1942" spans="1:21" x14ac:dyDescent="0.25">
      <c r="A1942" s="4">
        <v>46134.701412037037</v>
      </c>
      <c r="B1942" s="5" t="s">
        <v>19</v>
      </c>
      <c r="C1942" s="5" t="s">
        <v>37</v>
      </c>
      <c r="D1942" s="5">
        <v>400</v>
      </c>
      <c r="E1942" s="6">
        <v>35055430000195</v>
      </c>
      <c r="F1942" s="5">
        <v>400</v>
      </c>
      <c r="G1942" s="7">
        <v>177688740286041</v>
      </c>
      <c r="H1942" s="5" t="s">
        <v>534</v>
      </c>
      <c r="I1942" s="5">
        <v>3003</v>
      </c>
      <c r="J1942" s="5" t="s">
        <v>22</v>
      </c>
      <c r="K1942" s="5" t="s">
        <v>23</v>
      </c>
      <c r="L1942" s="5" t="s">
        <v>31</v>
      </c>
      <c r="M1942" s="5" t="s">
        <v>284</v>
      </c>
      <c r="N1942" s="5" t="s">
        <v>53</v>
      </c>
      <c r="O1942" s="5">
        <v>147</v>
      </c>
      <c r="P1942" s="5"/>
      <c r="Q1942" s="5"/>
      <c r="R1942" s="8">
        <v>8.1018518518518516E-5</v>
      </c>
      <c r="S1942" s="5" t="s">
        <v>37</v>
      </c>
      <c r="T1942" t="str">
        <f>IF(Tabela1[[#This Row],[STATUS_NEGOCIO]]="Enviar E-mail",1,"")</f>
        <v/>
      </c>
      <c r="U1942" t="str">
        <f>TEXT(Tabela1[[#This Row],[DATA]],"dd/mm/aaaa")</f>
        <v>22/04/2026</v>
      </c>
    </row>
    <row r="1943" spans="1:21" x14ac:dyDescent="0.25">
      <c r="A1943" s="4">
        <v>46134.701458333337</v>
      </c>
      <c r="B1943" s="5" t="s">
        <v>19</v>
      </c>
      <c r="C1943" s="5" t="s">
        <v>37</v>
      </c>
      <c r="D1943" s="5">
        <v>402</v>
      </c>
      <c r="E1943" s="6">
        <v>35700816000102</v>
      </c>
      <c r="F1943" s="5">
        <v>402</v>
      </c>
      <c r="G1943" s="7">
        <v>177688740686101</v>
      </c>
      <c r="H1943" s="5" t="s">
        <v>535</v>
      </c>
      <c r="I1943" s="5" t="s">
        <v>52</v>
      </c>
      <c r="J1943" s="5" t="s">
        <v>22</v>
      </c>
      <c r="K1943" s="5" t="s">
        <v>36</v>
      </c>
      <c r="L1943" s="5" t="s">
        <v>36</v>
      </c>
      <c r="M1943" s="5" t="s">
        <v>284</v>
      </c>
      <c r="N1943" s="5" t="s">
        <v>53</v>
      </c>
      <c r="O1943" s="5">
        <v>34</v>
      </c>
      <c r="P1943" s="5"/>
      <c r="Q1943" s="5"/>
      <c r="R1943" s="8">
        <v>0</v>
      </c>
      <c r="S1943" s="5" t="s">
        <v>37</v>
      </c>
      <c r="T1943" t="str">
        <f>IF(Tabela1[[#This Row],[STATUS_NEGOCIO]]="Enviar E-mail",1,"")</f>
        <v/>
      </c>
      <c r="U1943" t="str">
        <f>TEXT(Tabela1[[#This Row],[DATA]],"dd/mm/aaaa")</f>
        <v>22/04/2026</v>
      </c>
    </row>
    <row r="1944" spans="1:21" x14ac:dyDescent="0.25">
      <c r="A1944" s="4">
        <v>46134.701562499999</v>
      </c>
      <c r="B1944" s="5" t="s">
        <v>19</v>
      </c>
      <c r="C1944" s="5" t="s">
        <v>37</v>
      </c>
      <c r="D1944" s="5">
        <v>403</v>
      </c>
      <c r="E1944" s="6">
        <v>35765734000146</v>
      </c>
      <c r="F1944" s="5">
        <v>403</v>
      </c>
      <c r="G1944" s="7">
        <v>177688741586251</v>
      </c>
      <c r="H1944" s="5" t="s">
        <v>536</v>
      </c>
      <c r="I1944" s="5" t="s">
        <v>52</v>
      </c>
      <c r="J1944" s="5" t="s">
        <v>22</v>
      </c>
      <c r="K1944" s="5" t="s">
        <v>36</v>
      </c>
      <c r="L1944" s="5" t="s">
        <v>36</v>
      </c>
      <c r="M1944" s="5" t="s">
        <v>284</v>
      </c>
      <c r="N1944" s="5" t="s">
        <v>53</v>
      </c>
      <c r="O1944" s="5">
        <v>19</v>
      </c>
      <c r="P1944" s="5"/>
      <c r="Q1944" s="5"/>
      <c r="R1944" s="8">
        <v>0</v>
      </c>
      <c r="S1944" s="5" t="s">
        <v>37</v>
      </c>
      <c r="T1944" t="str">
        <f>IF(Tabela1[[#This Row],[STATUS_NEGOCIO]]="Enviar E-mail",1,"")</f>
        <v/>
      </c>
      <c r="U1944" t="str">
        <f>TEXT(Tabela1[[#This Row],[DATA]],"dd/mm/aaaa")</f>
        <v>22/04/2026</v>
      </c>
    </row>
    <row r="1945" spans="1:21" x14ac:dyDescent="0.25">
      <c r="A1945" s="4">
        <v>46134.701979166668</v>
      </c>
      <c r="B1945" s="5" t="s">
        <v>19</v>
      </c>
      <c r="C1945" s="5" t="s">
        <v>37</v>
      </c>
      <c r="D1945" s="5">
        <v>404</v>
      </c>
      <c r="E1945" s="6">
        <v>35872118000194</v>
      </c>
      <c r="F1945" s="5">
        <v>404</v>
      </c>
      <c r="G1945" s="7">
        <v>177688745186351</v>
      </c>
      <c r="H1945" s="5" t="s">
        <v>537</v>
      </c>
      <c r="I1945" s="5">
        <v>3003</v>
      </c>
      <c r="J1945" s="5" t="s">
        <v>22</v>
      </c>
      <c r="K1945" s="5" t="s">
        <v>23</v>
      </c>
      <c r="L1945" s="5" t="s">
        <v>31</v>
      </c>
      <c r="M1945" s="5" t="s">
        <v>284</v>
      </c>
      <c r="N1945" s="5" t="s">
        <v>53</v>
      </c>
      <c r="O1945" s="5">
        <v>128</v>
      </c>
      <c r="P1945" s="5"/>
      <c r="Q1945" s="5"/>
      <c r="R1945" s="8">
        <v>8.1018518518518516E-5</v>
      </c>
      <c r="S1945" s="5" t="s">
        <v>37</v>
      </c>
      <c r="T1945" t="str">
        <f>IF(Tabela1[[#This Row],[STATUS_NEGOCIO]]="Enviar E-mail",1,"")</f>
        <v/>
      </c>
      <c r="U1945" t="str">
        <f>TEXT(Tabela1[[#This Row],[DATA]],"dd/mm/aaaa")</f>
        <v>22/04/2026</v>
      </c>
    </row>
    <row r="1946" spans="1:21" x14ac:dyDescent="0.25">
      <c r="A1946" s="4">
        <v>46134.702025462961</v>
      </c>
      <c r="B1946" s="5" t="s">
        <v>19</v>
      </c>
      <c r="C1946" s="5" t="s">
        <v>37</v>
      </c>
      <c r="D1946" s="5">
        <v>405</v>
      </c>
      <c r="E1946" s="6">
        <v>35981385000108</v>
      </c>
      <c r="F1946" s="5">
        <v>405</v>
      </c>
      <c r="G1946" s="7">
        <v>177688745586371</v>
      </c>
      <c r="H1946" s="5" t="s">
        <v>76</v>
      </c>
      <c r="I1946" s="5">
        <v>3003</v>
      </c>
      <c r="J1946" s="5" t="s">
        <v>22</v>
      </c>
      <c r="K1946" s="5" t="s">
        <v>23</v>
      </c>
      <c r="L1946" s="5" t="s">
        <v>31</v>
      </c>
      <c r="M1946" s="5" t="s">
        <v>284</v>
      </c>
      <c r="N1946" s="5" t="s">
        <v>53</v>
      </c>
      <c r="O1946" s="5">
        <v>128</v>
      </c>
      <c r="P1946" s="5"/>
      <c r="Q1946" s="5"/>
      <c r="R1946" s="8">
        <v>8.1018518518518516E-5</v>
      </c>
      <c r="S1946" s="5" t="s">
        <v>37</v>
      </c>
      <c r="T1946" t="str">
        <f>IF(Tabela1[[#This Row],[STATUS_NEGOCIO]]="Enviar E-mail",1,"")</f>
        <v/>
      </c>
      <c r="U1946" t="str">
        <f>TEXT(Tabela1[[#This Row],[DATA]],"dd/mm/aaaa")</f>
        <v>22/04/2026</v>
      </c>
    </row>
    <row r="1947" spans="1:21" x14ac:dyDescent="0.25">
      <c r="A1947" s="4">
        <v>46134.70212962963</v>
      </c>
      <c r="B1947" s="5" t="s">
        <v>19</v>
      </c>
      <c r="C1947" s="5" t="s">
        <v>37</v>
      </c>
      <c r="D1947" s="5">
        <v>406</v>
      </c>
      <c r="E1947" s="6">
        <v>35982209000182</v>
      </c>
      <c r="F1947" s="5">
        <v>406</v>
      </c>
      <c r="G1947" s="7">
        <v>177688746486431</v>
      </c>
      <c r="H1947" s="5" t="s">
        <v>204</v>
      </c>
      <c r="I1947" s="5">
        <v>3003</v>
      </c>
      <c r="J1947" s="5" t="s">
        <v>22</v>
      </c>
      <c r="K1947" s="5" t="s">
        <v>23</v>
      </c>
      <c r="L1947" s="5" t="s">
        <v>31</v>
      </c>
      <c r="M1947" s="5" t="s">
        <v>284</v>
      </c>
      <c r="N1947" s="5" t="s">
        <v>53</v>
      </c>
      <c r="O1947" s="5">
        <v>128</v>
      </c>
      <c r="P1947" s="5"/>
      <c r="Q1947" s="5"/>
      <c r="R1947" s="8">
        <v>8.1018518518518516E-5</v>
      </c>
      <c r="S1947" s="5" t="s">
        <v>37</v>
      </c>
      <c r="T1947" t="str">
        <f>IF(Tabela1[[#This Row],[STATUS_NEGOCIO]]="Enviar E-mail",1,"")</f>
        <v/>
      </c>
      <c r="U1947" t="str">
        <f>TEXT(Tabela1[[#This Row],[DATA]],"dd/mm/aaaa")</f>
        <v>22/04/2026</v>
      </c>
    </row>
    <row r="1948" spans="1:21" x14ac:dyDescent="0.25">
      <c r="A1948" s="4">
        <v>46134.702222222222</v>
      </c>
      <c r="B1948" s="5" t="s">
        <v>19</v>
      </c>
      <c r="C1948" s="5" t="s">
        <v>37</v>
      </c>
      <c r="D1948" s="5">
        <v>408</v>
      </c>
      <c r="E1948" s="6">
        <v>36085439000101</v>
      </c>
      <c r="F1948" s="5">
        <v>408</v>
      </c>
      <c r="G1948" s="7">
        <v>177688747286451</v>
      </c>
      <c r="H1948" s="5" t="s">
        <v>539</v>
      </c>
      <c r="I1948" s="5">
        <v>3003</v>
      </c>
      <c r="J1948" s="5" t="s">
        <v>22</v>
      </c>
      <c r="K1948" s="5" t="s">
        <v>23</v>
      </c>
      <c r="L1948" s="5" t="s">
        <v>31</v>
      </c>
      <c r="M1948" s="5" t="s">
        <v>284</v>
      </c>
      <c r="N1948" s="5" t="s">
        <v>53</v>
      </c>
      <c r="O1948" s="5">
        <v>128</v>
      </c>
      <c r="P1948" s="5"/>
      <c r="Q1948" s="5"/>
      <c r="R1948" s="8">
        <v>2.3148148148148147E-5</v>
      </c>
      <c r="S1948" s="5" t="s">
        <v>37</v>
      </c>
      <c r="T1948" t="str">
        <f>IF(Tabela1[[#This Row],[STATUS_NEGOCIO]]="Enviar E-mail",1,"")</f>
        <v/>
      </c>
      <c r="U1948" t="str">
        <f>TEXT(Tabela1[[#This Row],[DATA]],"dd/mm/aaaa")</f>
        <v>22/04/2026</v>
      </c>
    </row>
    <row r="1949" spans="1:21" x14ac:dyDescent="0.25">
      <c r="A1949" s="4">
        <v>46134.702245370368</v>
      </c>
      <c r="B1949" s="5" t="s">
        <v>19</v>
      </c>
      <c r="C1949" s="5" t="s">
        <v>37</v>
      </c>
      <c r="D1949" s="5">
        <v>384</v>
      </c>
      <c r="E1949" s="6">
        <v>33262916000179</v>
      </c>
      <c r="F1949" s="5">
        <v>384</v>
      </c>
      <c r="G1949" s="7">
        <v>177688726885321</v>
      </c>
      <c r="H1949" s="5" t="s">
        <v>244</v>
      </c>
      <c r="I1949" s="5">
        <v>3003</v>
      </c>
      <c r="J1949" s="5" t="s">
        <v>22</v>
      </c>
      <c r="K1949" s="5" t="s">
        <v>23</v>
      </c>
      <c r="L1949" s="5" t="s">
        <v>31</v>
      </c>
      <c r="M1949" s="5" t="s">
        <v>284</v>
      </c>
      <c r="N1949" s="5" t="s">
        <v>26</v>
      </c>
      <c r="O1949" s="5">
        <v>131</v>
      </c>
      <c r="P1949" s="5"/>
      <c r="Q1949" s="5"/>
      <c r="R1949" s="8">
        <v>2.1296296296296298E-3</v>
      </c>
      <c r="S1949" s="5" t="s">
        <v>37</v>
      </c>
      <c r="T1949" t="str">
        <f>IF(Tabela1[[#This Row],[STATUS_NEGOCIO]]="Enviar E-mail",1,"")</f>
        <v/>
      </c>
      <c r="U1949" t="str">
        <f>TEXT(Tabela1[[#This Row],[DATA]],"dd/mm/aaaa")</f>
        <v>22/04/2026</v>
      </c>
    </row>
    <row r="1950" spans="1:21" x14ac:dyDescent="0.25">
      <c r="A1950" s="4">
        <v>46134.702280092592</v>
      </c>
      <c r="B1950" s="5" t="s">
        <v>19</v>
      </c>
      <c r="C1950" s="5" t="s">
        <v>37</v>
      </c>
      <c r="D1950" s="5">
        <v>409</v>
      </c>
      <c r="E1950" s="6">
        <v>36158632000125</v>
      </c>
      <c r="F1950" s="5">
        <v>409</v>
      </c>
      <c r="G1950" s="7">
        <v>177688747786661</v>
      </c>
      <c r="H1950" s="5" t="s">
        <v>166</v>
      </c>
      <c r="I1950" s="5">
        <v>3003</v>
      </c>
      <c r="J1950" s="5" t="s">
        <v>22</v>
      </c>
      <c r="K1950" s="5" t="s">
        <v>23</v>
      </c>
      <c r="L1950" s="5" t="s">
        <v>31</v>
      </c>
      <c r="M1950" s="5" t="s">
        <v>284</v>
      </c>
      <c r="N1950" s="5" t="s">
        <v>53</v>
      </c>
      <c r="O1950" s="5">
        <v>128</v>
      </c>
      <c r="P1950" s="5"/>
      <c r="Q1950" s="5"/>
      <c r="R1950" s="8">
        <v>6.9444444444444444E-5</v>
      </c>
      <c r="S1950" s="5" t="s">
        <v>37</v>
      </c>
      <c r="T1950" t="str">
        <f>IF(Tabela1[[#This Row],[STATUS_NEGOCIO]]="Enviar E-mail",1,"")</f>
        <v/>
      </c>
      <c r="U1950" t="str">
        <f>TEXT(Tabela1[[#This Row],[DATA]],"dd/mm/aaaa")</f>
        <v>22/04/2026</v>
      </c>
    </row>
    <row r="1951" spans="1:21" x14ac:dyDescent="0.25">
      <c r="A1951" s="4">
        <v>46134.702326388891</v>
      </c>
      <c r="B1951" s="5" t="s">
        <v>19</v>
      </c>
      <c r="C1951" s="5" t="s">
        <v>37</v>
      </c>
      <c r="D1951" s="5">
        <v>410</v>
      </c>
      <c r="E1951" s="6">
        <v>36204923000102</v>
      </c>
      <c r="F1951" s="5">
        <v>410</v>
      </c>
      <c r="G1951" s="7">
        <v>177688748186671</v>
      </c>
      <c r="H1951" s="5" t="s">
        <v>540</v>
      </c>
      <c r="I1951" s="5">
        <v>3003</v>
      </c>
      <c r="J1951" s="5" t="s">
        <v>22</v>
      </c>
      <c r="K1951" s="5" t="s">
        <v>23</v>
      </c>
      <c r="L1951" s="5" t="s">
        <v>31</v>
      </c>
      <c r="M1951" s="5" t="s">
        <v>284</v>
      </c>
      <c r="N1951" s="5" t="s">
        <v>53</v>
      </c>
      <c r="O1951" s="5">
        <v>147</v>
      </c>
      <c r="P1951" s="5"/>
      <c r="Q1951" s="5"/>
      <c r="R1951" s="8">
        <v>8.1018518518518516E-5</v>
      </c>
      <c r="S1951" s="5" t="s">
        <v>37</v>
      </c>
      <c r="T1951" t="str">
        <f>IF(Tabela1[[#This Row],[STATUS_NEGOCIO]]="Enviar E-mail",1,"")</f>
        <v/>
      </c>
      <c r="U1951" t="str">
        <f>TEXT(Tabela1[[#This Row],[DATA]],"dd/mm/aaaa")</f>
        <v>22/04/2026</v>
      </c>
    </row>
    <row r="1952" spans="1:21" x14ac:dyDescent="0.25">
      <c r="A1952" s="4">
        <v>46134.702326388891</v>
      </c>
      <c r="B1952" s="5" t="s">
        <v>19</v>
      </c>
      <c r="C1952" s="5" t="s">
        <v>37</v>
      </c>
      <c r="D1952" s="5">
        <v>411</v>
      </c>
      <c r="E1952" s="6">
        <v>36264719000187</v>
      </c>
      <c r="F1952" s="5">
        <v>411</v>
      </c>
      <c r="G1952" s="7">
        <v>177688748186681</v>
      </c>
      <c r="H1952" s="5" t="s">
        <v>541</v>
      </c>
      <c r="I1952" s="5">
        <v>3003</v>
      </c>
      <c r="J1952" s="5" t="s">
        <v>22</v>
      </c>
      <c r="K1952" s="5" t="s">
        <v>23</v>
      </c>
      <c r="L1952" s="5" t="s">
        <v>31</v>
      </c>
      <c r="M1952" s="5" t="s">
        <v>284</v>
      </c>
      <c r="N1952" s="5" t="s">
        <v>53</v>
      </c>
      <c r="O1952" s="5">
        <v>128</v>
      </c>
      <c r="P1952" s="5"/>
      <c r="Q1952" s="5"/>
      <c r="R1952" s="8">
        <v>8.1018518518518516E-5</v>
      </c>
      <c r="S1952" s="5" t="s">
        <v>37</v>
      </c>
      <c r="T1952" t="str">
        <f>IF(Tabela1[[#This Row],[STATUS_NEGOCIO]]="Enviar E-mail",1,"")</f>
        <v/>
      </c>
      <c r="U1952" t="str">
        <f>TEXT(Tabela1[[#This Row],[DATA]],"dd/mm/aaaa")</f>
        <v>22/04/2026</v>
      </c>
    </row>
    <row r="1953" spans="1:21" x14ac:dyDescent="0.25">
      <c r="A1953" s="4">
        <v>46134.702337962961</v>
      </c>
      <c r="B1953" s="5" t="s">
        <v>19</v>
      </c>
      <c r="C1953" s="5" t="s">
        <v>37</v>
      </c>
      <c r="D1953" s="5">
        <v>414</v>
      </c>
      <c r="E1953" s="6">
        <v>36481984000117</v>
      </c>
      <c r="F1953" s="5">
        <v>414</v>
      </c>
      <c r="G1953" s="7">
        <v>177688748286691</v>
      </c>
      <c r="H1953" s="5" t="s">
        <v>543</v>
      </c>
      <c r="I1953" s="5">
        <v>3003</v>
      </c>
      <c r="J1953" s="5" t="s">
        <v>22</v>
      </c>
      <c r="K1953" s="5" t="s">
        <v>23</v>
      </c>
      <c r="L1953" s="5" t="s">
        <v>31</v>
      </c>
      <c r="M1953" s="5" t="s">
        <v>284</v>
      </c>
      <c r="N1953" s="5" t="s">
        <v>53</v>
      </c>
      <c r="O1953" s="5">
        <v>128</v>
      </c>
      <c r="P1953" s="5"/>
      <c r="Q1953" s="5"/>
      <c r="R1953" s="8">
        <v>8.1018518518518516E-5</v>
      </c>
      <c r="S1953" s="5" t="s">
        <v>37</v>
      </c>
      <c r="T1953" t="str">
        <f>IF(Tabela1[[#This Row],[STATUS_NEGOCIO]]="Enviar E-mail",1,"")</f>
        <v/>
      </c>
      <c r="U1953" t="str">
        <f>TEXT(Tabela1[[#This Row],[DATA]],"dd/mm/aaaa")</f>
        <v>22/04/2026</v>
      </c>
    </row>
    <row r="1954" spans="1:21" x14ac:dyDescent="0.25">
      <c r="A1954" s="4">
        <v>46134.702337962961</v>
      </c>
      <c r="B1954" s="5" t="s">
        <v>19</v>
      </c>
      <c r="C1954" s="5" t="s">
        <v>37</v>
      </c>
      <c r="D1954" s="5">
        <v>415</v>
      </c>
      <c r="E1954" s="6">
        <v>36509446000193</v>
      </c>
      <c r="F1954" s="5">
        <v>415</v>
      </c>
      <c r="G1954" s="7">
        <v>177688748286701</v>
      </c>
      <c r="H1954" s="5" t="s">
        <v>544</v>
      </c>
      <c r="I1954" s="5">
        <v>3003</v>
      </c>
      <c r="J1954" s="5" t="s">
        <v>22</v>
      </c>
      <c r="K1954" s="5" t="s">
        <v>23</v>
      </c>
      <c r="L1954" s="5" t="s">
        <v>31</v>
      </c>
      <c r="M1954" s="5" t="s">
        <v>284</v>
      </c>
      <c r="N1954" s="5" t="s">
        <v>53</v>
      </c>
      <c r="O1954" s="5">
        <v>128</v>
      </c>
      <c r="P1954" s="5"/>
      <c r="Q1954" s="5"/>
      <c r="R1954" s="8">
        <v>8.1018518518518516E-5</v>
      </c>
      <c r="S1954" s="5" t="s">
        <v>37</v>
      </c>
      <c r="T1954" t="str">
        <f>IF(Tabela1[[#This Row],[STATUS_NEGOCIO]]="Enviar E-mail",1,"")</f>
        <v/>
      </c>
      <c r="U1954" t="str">
        <f>TEXT(Tabela1[[#This Row],[DATA]],"dd/mm/aaaa")</f>
        <v>22/04/2026</v>
      </c>
    </row>
    <row r="1955" spans="1:21" x14ac:dyDescent="0.25">
      <c r="A1955" s="4">
        <v>46134.70239583333</v>
      </c>
      <c r="B1955" s="5" t="s">
        <v>19</v>
      </c>
      <c r="C1955" s="5" t="s">
        <v>37</v>
      </c>
      <c r="D1955" s="5">
        <v>416</v>
      </c>
      <c r="E1955" s="6">
        <v>36541506000155</v>
      </c>
      <c r="F1955" s="5">
        <v>416</v>
      </c>
      <c r="G1955" s="7">
        <v>177688748786721</v>
      </c>
      <c r="H1955" s="5" t="s">
        <v>227</v>
      </c>
      <c r="I1955" s="5" t="s">
        <v>52</v>
      </c>
      <c r="J1955" s="5" t="s">
        <v>22</v>
      </c>
      <c r="K1955" s="5" t="s">
        <v>36</v>
      </c>
      <c r="L1955" s="5" t="s">
        <v>36</v>
      </c>
      <c r="M1955" s="5" t="s">
        <v>284</v>
      </c>
      <c r="N1955" s="5" t="s">
        <v>53</v>
      </c>
      <c r="O1955" s="5">
        <v>1</v>
      </c>
      <c r="P1955" s="5"/>
      <c r="Q1955" s="5"/>
      <c r="R1955" s="8">
        <v>0</v>
      </c>
      <c r="S1955" s="5" t="s">
        <v>37</v>
      </c>
      <c r="T1955" t="str">
        <f>IF(Tabela1[[#This Row],[STATUS_NEGOCIO]]="Enviar E-mail",1,"")</f>
        <v/>
      </c>
      <c r="U1955" t="str">
        <f>TEXT(Tabela1[[#This Row],[DATA]],"dd/mm/aaaa")</f>
        <v>22/04/2026</v>
      </c>
    </row>
    <row r="1956" spans="1:21" x14ac:dyDescent="0.25">
      <c r="A1956" s="4">
        <v>46134.70239583333</v>
      </c>
      <c r="B1956" s="5" t="s">
        <v>19</v>
      </c>
      <c r="C1956" s="5" t="s">
        <v>37</v>
      </c>
      <c r="D1956" s="5">
        <v>417</v>
      </c>
      <c r="E1956" s="6">
        <v>36565794000188</v>
      </c>
      <c r="F1956" s="5">
        <v>417</v>
      </c>
      <c r="G1956" s="7">
        <v>177688748786731</v>
      </c>
      <c r="H1956" s="5" t="s">
        <v>545</v>
      </c>
      <c r="I1956" s="5">
        <v>3003</v>
      </c>
      <c r="J1956" s="5" t="s">
        <v>22</v>
      </c>
      <c r="K1956" s="5" t="s">
        <v>23</v>
      </c>
      <c r="L1956" s="5" t="s">
        <v>31</v>
      </c>
      <c r="M1956" s="5" t="s">
        <v>284</v>
      </c>
      <c r="N1956" s="5" t="s">
        <v>53</v>
      </c>
      <c r="O1956" s="5">
        <v>128</v>
      </c>
      <c r="P1956" s="5"/>
      <c r="Q1956" s="5"/>
      <c r="R1956" s="8">
        <v>8.1018518518518516E-5</v>
      </c>
      <c r="S1956" s="5" t="s">
        <v>37</v>
      </c>
      <c r="T1956" t="str">
        <f>IF(Tabela1[[#This Row],[STATUS_NEGOCIO]]="Enviar E-mail",1,"")</f>
        <v/>
      </c>
      <c r="U1956" t="str">
        <f>TEXT(Tabela1[[#This Row],[DATA]],"dd/mm/aaaa")</f>
        <v>22/04/2026</v>
      </c>
    </row>
    <row r="1957" spans="1:21" x14ac:dyDescent="0.25">
      <c r="A1957" s="4">
        <v>46134.702511574076</v>
      </c>
      <c r="B1957" s="5" t="s">
        <v>19</v>
      </c>
      <c r="C1957" s="5" t="s">
        <v>37</v>
      </c>
      <c r="D1957" s="5">
        <v>420</v>
      </c>
      <c r="E1957" s="6">
        <v>36936004000123</v>
      </c>
      <c r="F1957" s="5">
        <v>420</v>
      </c>
      <c r="G1957" s="7">
        <v>177688749786791</v>
      </c>
      <c r="H1957" s="5" t="s">
        <v>548</v>
      </c>
      <c r="I1957" s="5">
        <v>3003</v>
      </c>
      <c r="J1957" s="5" t="s">
        <v>22</v>
      </c>
      <c r="K1957" s="5" t="s">
        <v>23</v>
      </c>
      <c r="L1957" s="5" t="s">
        <v>31</v>
      </c>
      <c r="M1957" s="5" t="s">
        <v>284</v>
      </c>
      <c r="N1957" s="5" t="s">
        <v>53</v>
      </c>
      <c r="O1957" s="5">
        <v>128</v>
      </c>
      <c r="P1957" s="5"/>
      <c r="Q1957" s="5"/>
      <c r="R1957" s="8">
        <v>8.1018518518518516E-5</v>
      </c>
      <c r="S1957" s="5" t="s">
        <v>37</v>
      </c>
      <c r="T1957" t="str">
        <f>IF(Tabela1[[#This Row],[STATUS_NEGOCIO]]="Enviar E-mail",1,"")</f>
        <v/>
      </c>
      <c r="U1957" t="str">
        <f>TEXT(Tabela1[[#This Row],[DATA]],"dd/mm/aaaa")</f>
        <v>22/04/2026</v>
      </c>
    </row>
    <row r="1958" spans="1:21" x14ac:dyDescent="0.25">
      <c r="A1958" s="4">
        <v>46134.702569444446</v>
      </c>
      <c r="B1958" s="5" t="s">
        <v>19</v>
      </c>
      <c r="C1958" s="5" t="s">
        <v>37</v>
      </c>
      <c r="D1958" s="5">
        <v>421</v>
      </c>
      <c r="E1958" s="6">
        <v>37285492000119</v>
      </c>
      <c r="F1958" s="5">
        <v>421</v>
      </c>
      <c r="G1958" s="7">
        <v>177688750286811</v>
      </c>
      <c r="H1958" s="5" t="s">
        <v>275</v>
      </c>
      <c r="I1958" s="5">
        <v>3003</v>
      </c>
      <c r="J1958" s="5" t="s">
        <v>22</v>
      </c>
      <c r="K1958" s="5" t="s">
        <v>23</v>
      </c>
      <c r="L1958" s="5" t="s">
        <v>31</v>
      </c>
      <c r="M1958" s="5" t="s">
        <v>284</v>
      </c>
      <c r="N1958" s="5" t="s">
        <v>53</v>
      </c>
      <c r="O1958" s="5">
        <v>147</v>
      </c>
      <c r="P1958" s="5"/>
      <c r="Q1958" s="5"/>
      <c r="R1958" s="8">
        <v>8.1018518518518516E-5</v>
      </c>
      <c r="S1958" s="5" t="s">
        <v>37</v>
      </c>
      <c r="T1958" t="str">
        <f>IF(Tabela1[[#This Row],[STATUS_NEGOCIO]]="Enviar E-mail",1,"")</f>
        <v/>
      </c>
      <c r="U1958" t="str">
        <f>TEXT(Tabela1[[#This Row],[DATA]],"dd/mm/aaaa")</f>
        <v>22/04/2026</v>
      </c>
    </row>
    <row r="1959" spans="1:21" x14ac:dyDescent="0.25">
      <c r="A1959" s="4">
        <v>46134.702662037038</v>
      </c>
      <c r="B1959" s="5" t="s">
        <v>19</v>
      </c>
      <c r="C1959" s="5" t="s">
        <v>37</v>
      </c>
      <c r="D1959" s="5">
        <v>422</v>
      </c>
      <c r="E1959" s="6">
        <v>37407191000110</v>
      </c>
      <c r="F1959" s="5">
        <v>422</v>
      </c>
      <c r="G1959" s="7">
        <v>177688751086881</v>
      </c>
      <c r="H1959" s="5" t="s">
        <v>549</v>
      </c>
      <c r="I1959" s="5" t="s">
        <v>52</v>
      </c>
      <c r="J1959" s="5" t="s">
        <v>22</v>
      </c>
      <c r="K1959" s="5" t="s">
        <v>36</v>
      </c>
      <c r="L1959" s="5" t="s">
        <v>36</v>
      </c>
      <c r="M1959" s="5" t="s">
        <v>284</v>
      </c>
      <c r="N1959" s="5" t="s">
        <v>53</v>
      </c>
      <c r="O1959" s="5">
        <v>19</v>
      </c>
      <c r="P1959" s="5"/>
      <c r="Q1959" s="5"/>
      <c r="R1959" s="8">
        <v>0</v>
      </c>
      <c r="S1959" s="5" t="s">
        <v>37</v>
      </c>
      <c r="T1959" t="str">
        <f>IF(Tabela1[[#This Row],[STATUS_NEGOCIO]]="Enviar E-mail",1,"")</f>
        <v/>
      </c>
      <c r="U1959" t="str">
        <f>TEXT(Tabela1[[#This Row],[DATA]],"dd/mm/aaaa")</f>
        <v>22/04/2026</v>
      </c>
    </row>
    <row r="1960" spans="1:21" x14ac:dyDescent="0.25">
      <c r="A1960" s="4">
        <v>46134.702673611115</v>
      </c>
      <c r="B1960" s="5" t="s">
        <v>19</v>
      </c>
      <c r="C1960" s="5" t="s">
        <v>37</v>
      </c>
      <c r="D1960" s="5">
        <v>424</v>
      </c>
      <c r="E1960" s="6">
        <v>37676685000109</v>
      </c>
      <c r="F1960" s="5">
        <v>424</v>
      </c>
      <c r="G1960" s="7">
        <v>177688751186921</v>
      </c>
      <c r="H1960" s="5" t="s">
        <v>551</v>
      </c>
      <c r="I1960" s="5">
        <v>3003</v>
      </c>
      <c r="J1960" s="5" t="s">
        <v>22</v>
      </c>
      <c r="K1960" s="5" t="s">
        <v>23</v>
      </c>
      <c r="L1960" s="5" t="s">
        <v>31</v>
      </c>
      <c r="M1960" s="5" t="s">
        <v>284</v>
      </c>
      <c r="N1960" s="5" t="s">
        <v>53</v>
      </c>
      <c r="O1960" s="5">
        <v>128</v>
      </c>
      <c r="P1960" s="5"/>
      <c r="Q1960" s="5"/>
      <c r="R1960" s="8">
        <v>8.1018518518518516E-5</v>
      </c>
      <c r="S1960" s="5" t="s">
        <v>37</v>
      </c>
      <c r="T1960" t="str">
        <f>IF(Tabela1[[#This Row],[STATUS_NEGOCIO]]="Enviar E-mail",1,"")</f>
        <v/>
      </c>
      <c r="U1960" t="str">
        <f>TEXT(Tabela1[[#This Row],[DATA]],"dd/mm/aaaa")</f>
        <v>22/04/2026</v>
      </c>
    </row>
    <row r="1961" spans="1:21" x14ac:dyDescent="0.25">
      <c r="A1961" s="4">
        <v>46134.702789351853</v>
      </c>
      <c r="B1961" s="5" t="s">
        <v>19</v>
      </c>
      <c r="C1961" s="5" t="s">
        <v>37</v>
      </c>
      <c r="D1961" s="5">
        <v>425</v>
      </c>
      <c r="E1961" s="6">
        <v>37785014000178</v>
      </c>
      <c r="F1961" s="5">
        <v>425</v>
      </c>
      <c r="G1961" s="7">
        <v>177688752186991</v>
      </c>
      <c r="H1961" s="5" t="s">
        <v>552</v>
      </c>
      <c r="I1961" s="5">
        <v>3003</v>
      </c>
      <c r="J1961" s="5" t="s">
        <v>22</v>
      </c>
      <c r="K1961" s="5" t="s">
        <v>23</v>
      </c>
      <c r="L1961" s="5" t="s">
        <v>31</v>
      </c>
      <c r="M1961" s="5" t="s">
        <v>284</v>
      </c>
      <c r="N1961" s="5" t="s">
        <v>26</v>
      </c>
      <c r="O1961" s="5">
        <v>131</v>
      </c>
      <c r="P1961" s="5"/>
      <c r="Q1961" s="5"/>
      <c r="R1961" s="8">
        <v>4.6296296296296294E-5</v>
      </c>
      <c r="S1961" s="5" t="s">
        <v>37</v>
      </c>
      <c r="T1961" t="str">
        <f>IF(Tabela1[[#This Row],[STATUS_NEGOCIO]]="Enviar E-mail",1,"")</f>
        <v/>
      </c>
      <c r="U1961" t="str">
        <f>TEXT(Tabela1[[#This Row],[DATA]],"dd/mm/aaaa")</f>
        <v>22/04/2026</v>
      </c>
    </row>
    <row r="1962" spans="1:21" x14ac:dyDescent="0.25">
      <c r="A1962" s="4">
        <v>46134.702881944446</v>
      </c>
      <c r="B1962" s="5" t="s">
        <v>19</v>
      </c>
      <c r="C1962" s="5" t="s">
        <v>37</v>
      </c>
      <c r="D1962" s="5">
        <v>426</v>
      </c>
      <c r="E1962" s="6">
        <v>37961934000108</v>
      </c>
      <c r="F1962" s="5">
        <v>426</v>
      </c>
      <c r="G1962" s="7">
        <v>177688752987021</v>
      </c>
      <c r="H1962" s="5" t="s">
        <v>553</v>
      </c>
      <c r="I1962" s="5" t="s">
        <v>52</v>
      </c>
      <c r="J1962" s="5" t="s">
        <v>22</v>
      </c>
      <c r="K1962" s="5" t="s">
        <v>36</v>
      </c>
      <c r="L1962" s="5" t="s">
        <v>36</v>
      </c>
      <c r="M1962" s="5" t="s">
        <v>284</v>
      </c>
      <c r="N1962" s="5" t="s">
        <v>53</v>
      </c>
      <c r="O1962" s="5">
        <v>19</v>
      </c>
      <c r="P1962" s="5"/>
      <c r="Q1962" s="5"/>
      <c r="R1962" s="8">
        <v>0</v>
      </c>
      <c r="S1962" s="5" t="s">
        <v>37</v>
      </c>
      <c r="T1962" t="str">
        <f>IF(Tabela1[[#This Row],[STATUS_NEGOCIO]]="Enviar E-mail",1,"")</f>
        <v/>
      </c>
      <c r="U1962" t="str">
        <f>TEXT(Tabela1[[#This Row],[DATA]],"dd/mm/aaaa")</f>
        <v>22/04/2026</v>
      </c>
    </row>
    <row r="1963" spans="1:21" x14ac:dyDescent="0.25">
      <c r="A1963" s="4">
        <v>46134.702893518515</v>
      </c>
      <c r="B1963" s="5" t="s">
        <v>19</v>
      </c>
      <c r="C1963" s="5" t="s">
        <v>37</v>
      </c>
      <c r="D1963" s="5">
        <v>427</v>
      </c>
      <c r="E1963" s="6">
        <v>38253250000106</v>
      </c>
      <c r="F1963" s="5">
        <v>427</v>
      </c>
      <c r="G1963" s="7">
        <v>177688753087041</v>
      </c>
      <c r="H1963" s="5" t="s">
        <v>199</v>
      </c>
      <c r="I1963" s="5">
        <v>3003</v>
      </c>
      <c r="J1963" s="5" t="s">
        <v>22</v>
      </c>
      <c r="K1963" s="5" t="s">
        <v>23</v>
      </c>
      <c r="L1963" s="5" t="s">
        <v>31</v>
      </c>
      <c r="M1963" s="5" t="s">
        <v>284</v>
      </c>
      <c r="N1963" s="5" t="s">
        <v>53</v>
      </c>
      <c r="O1963" s="5">
        <v>128</v>
      </c>
      <c r="P1963" s="5"/>
      <c r="Q1963" s="5"/>
      <c r="R1963" s="8">
        <v>8.1018518518518516E-5</v>
      </c>
      <c r="S1963" s="5" t="s">
        <v>37</v>
      </c>
      <c r="T1963" t="str">
        <f>IF(Tabela1[[#This Row],[STATUS_NEGOCIO]]="Enviar E-mail",1,"")</f>
        <v/>
      </c>
      <c r="U1963" t="str">
        <f>TEXT(Tabela1[[#This Row],[DATA]],"dd/mm/aaaa")</f>
        <v>22/04/2026</v>
      </c>
    </row>
    <row r="1964" spans="1:21" x14ac:dyDescent="0.25">
      <c r="A1964" s="4">
        <v>46134.702893518515</v>
      </c>
      <c r="B1964" s="5" t="s">
        <v>19</v>
      </c>
      <c r="C1964" s="5" t="s">
        <v>37</v>
      </c>
      <c r="D1964" s="5">
        <v>428</v>
      </c>
      <c r="E1964" s="6">
        <v>38327906000198</v>
      </c>
      <c r="F1964" s="5">
        <v>428</v>
      </c>
      <c r="G1964" s="7">
        <v>177688753087051</v>
      </c>
      <c r="H1964" s="5" t="s">
        <v>554</v>
      </c>
      <c r="I1964" s="5">
        <v>3003</v>
      </c>
      <c r="J1964" s="5" t="s">
        <v>22</v>
      </c>
      <c r="K1964" s="5" t="s">
        <v>23</v>
      </c>
      <c r="L1964" s="5" t="s">
        <v>31</v>
      </c>
      <c r="M1964" s="5" t="s">
        <v>284</v>
      </c>
      <c r="N1964" s="5" t="s">
        <v>53</v>
      </c>
      <c r="O1964" s="5">
        <v>128</v>
      </c>
      <c r="P1964" s="5"/>
      <c r="Q1964" s="5"/>
      <c r="R1964" s="8">
        <v>8.1018518518518516E-5</v>
      </c>
      <c r="S1964" s="5" t="s">
        <v>37</v>
      </c>
      <c r="T1964" t="str">
        <f>IF(Tabela1[[#This Row],[STATUS_NEGOCIO]]="Enviar E-mail",1,"")</f>
        <v/>
      </c>
      <c r="U1964" t="str">
        <f>TEXT(Tabela1[[#This Row],[DATA]],"dd/mm/aaaa")</f>
        <v>22/04/2026</v>
      </c>
    </row>
    <row r="1965" spans="1:21" x14ac:dyDescent="0.25">
      <c r="A1965" s="4">
        <v>46134.702893518515</v>
      </c>
      <c r="B1965" s="5" t="s">
        <v>19</v>
      </c>
      <c r="C1965" s="5" t="s">
        <v>37</v>
      </c>
      <c r="D1965" s="5">
        <v>429</v>
      </c>
      <c r="E1965" s="6">
        <v>38456890000113</v>
      </c>
      <c r="F1965" s="5">
        <v>429</v>
      </c>
      <c r="G1965" s="7">
        <v>177688753087071</v>
      </c>
      <c r="H1965" s="5" t="s">
        <v>555</v>
      </c>
      <c r="I1965" s="5">
        <v>3003</v>
      </c>
      <c r="J1965" s="5" t="s">
        <v>22</v>
      </c>
      <c r="K1965" s="5" t="s">
        <v>23</v>
      </c>
      <c r="L1965" s="5" t="s">
        <v>31</v>
      </c>
      <c r="M1965" s="5" t="s">
        <v>284</v>
      </c>
      <c r="N1965" s="5" t="s">
        <v>53</v>
      </c>
      <c r="O1965" s="5">
        <v>128</v>
      </c>
      <c r="P1965" s="5"/>
      <c r="Q1965" s="5"/>
      <c r="R1965" s="8">
        <v>8.1018518518518516E-5</v>
      </c>
      <c r="S1965" s="5" t="s">
        <v>37</v>
      </c>
      <c r="T1965" t="str">
        <f>IF(Tabela1[[#This Row],[STATUS_NEGOCIO]]="Enviar E-mail",1,"")</f>
        <v/>
      </c>
      <c r="U1965" t="str">
        <f>TEXT(Tabela1[[#This Row],[DATA]],"dd/mm/aaaa")</f>
        <v>22/04/2026</v>
      </c>
    </row>
    <row r="1966" spans="1:21" x14ac:dyDescent="0.25">
      <c r="A1966" s="4">
        <v>46134.702951388892</v>
      </c>
      <c r="B1966" s="5" t="s">
        <v>19</v>
      </c>
      <c r="C1966" s="5" t="s">
        <v>37</v>
      </c>
      <c r="D1966" s="5">
        <v>430</v>
      </c>
      <c r="E1966" s="6">
        <v>39210513000162</v>
      </c>
      <c r="F1966" s="5">
        <v>430</v>
      </c>
      <c r="G1966" s="7">
        <v>177688753587091</v>
      </c>
      <c r="H1966" s="5" t="s">
        <v>556</v>
      </c>
      <c r="I1966" s="5">
        <v>3003</v>
      </c>
      <c r="J1966" s="5" t="s">
        <v>22</v>
      </c>
      <c r="K1966" s="5" t="s">
        <v>23</v>
      </c>
      <c r="L1966" s="5" t="s">
        <v>31</v>
      </c>
      <c r="M1966" s="5" t="s">
        <v>284</v>
      </c>
      <c r="N1966" s="5" t="s">
        <v>53</v>
      </c>
      <c r="O1966" s="5">
        <v>128</v>
      </c>
      <c r="P1966" s="5"/>
      <c r="Q1966" s="5"/>
      <c r="R1966" s="8">
        <v>8.1018518518518516E-5</v>
      </c>
      <c r="S1966" s="5" t="s">
        <v>37</v>
      </c>
      <c r="T1966" t="str">
        <f>IF(Tabela1[[#This Row],[STATUS_NEGOCIO]]="Enviar E-mail",1,"")</f>
        <v/>
      </c>
      <c r="U1966" t="str">
        <f>TEXT(Tabela1[[#This Row],[DATA]],"dd/mm/aaaa")</f>
        <v>22/04/2026</v>
      </c>
    </row>
    <row r="1967" spans="1:21" x14ac:dyDescent="0.25">
      <c r="A1967" s="4">
        <v>46134.703043981484</v>
      </c>
      <c r="B1967" s="5" t="s">
        <v>19</v>
      </c>
      <c r="C1967" s="5" t="s">
        <v>37</v>
      </c>
      <c r="D1967" s="5">
        <v>431</v>
      </c>
      <c r="E1967" s="6">
        <v>39214150000133</v>
      </c>
      <c r="F1967" s="5">
        <v>431</v>
      </c>
      <c r="G1967" s="7">
        <v>177688754387111</v>
      </c>
      <c r="H1967" s="5" t="s">
        <v>557</v>
      </c>
      <c r="I1967" s="5" t="s">
        <v>52</v>
      </c>
      <c r="J1967" s="5" t="s">
        <v>22</v>
      </c>
      <c r="K1967" s="5" t="s">
        <v>62</v>
      </c>
      <c r="L1967" s="5" t="s">
        <v>62</v>
      </c>
      <c r="M1967" s="5" t="s">
        <v>284</v>
      </c>
      <c r="N1967" s="5" t="s">
        <v>53</v>
      </c>
      <c r="O1967" s="5">
        <v>17</v>
      </c>
      <c r="P1967" s="5"/>
      <c r="Q1967" s="5"/>
      <c r="R1967" s="8">
        <v>0</v>
      </c>
      <c r="S1967" s="5" t="s">
        <v>37</v>
      </c>
      <c r="T1967" t="str">
        <f>IF(Tabela1[[#This Row],[STATUS_NEGOCIO]]="Enviar E-mail",1,"")</f>
        <v/>
      </c>
      <c r="U1967" t="str">
        <f>TEXT(Tabela1[[#This Row],[DATA]],"dd/mm/aaaa")</f>
        <v>22/04/2026</v>
      </c>
    </row>
    <row r="1968" spans="1:21" x14ac:dyDescent="0.25">
      <c r="A1968" s="4">
        <v>46134.703101851854</v>
      </c>
      <c r="B1968" s="5" t="s">
        <v>19</v>
      </c>
      <c r="C1968" s="5" t="s">
        <v>37</v>
      </c>
      <c r="D1968" s="5">
        <v>432</v>
      </c>
      <c r="E1968" s="6">
        <v>39216809000190</v>
      </c>
      <c r="F1968" s="5">
        <v>432</v>
      </c>
      <c r="G1968" s="7">
        <v>177688754887131</v>
      </c>
      <c r="H1968" s="5" t="s">
        <v>558</v>
      </c>
      <c r="I1968" s="5">
        <v>3003</v>
      </c>
      <c r="J1968" s="5" t="s">
        <v>22</v>
      </c>
      <c r="K1968" s="5" t="s">
        <v>23</v>
      </c>
      <c r="L1968" s="5" t="s">
        <v>31</v>
      </c>
      <c r="M1968" s="5" t="s">
        <v>284</v>
      </c>
      <c r="N1968" s="5" t="s">
        <v>53</v>
      </c>
      <c r="O1968" s="5">
        <v>128</v>
      </c>
      <c r="P1968" s="5"/>
      <c r="Q1968" s="5"/>
      <c r="R1968" s="8">
        <v>8.1018518518518516E-5</v>
      </c>
      <c r="S1968" s="5" t="s">
        <v>37</v>
      </c>
      <c r="T1968" t="str">
        <f>IF(Tabela1[[#This Row],[STATUS_NEGOCIO]]="Enviar E-mail",1,"")</f>
        <v/>
      </c>
      <c r="U1968" t="str">
        <f>TEXT(Tabela1[[#This Row],[DATA]],"dd/mm/aaaa")</f>
        <v>22/04/2026</v>
      </c>
    </row>
    <row r="1969" spans="1:21" x14ac:dyDescent="0.25">
      <c r="A1969" s="4">
        <v>46134.703136574077</v>
      </c>
      <c r="B1969" s="5" t="s">
        <v>19</v>
      </c>
      <c r="C1969" s="5" t="s">
        <v>37</v>
      </c>
      <c r="D1969" s="5">
        <v>433</v>
      </c>
      <c r="E1969" s="6">
        <v>39220751000159</v>
      </c>
      <c r="F1969" s="5">
        <v>433</v>
      </c>
      <c r="G1969" s="7">
        <v>177688755187151</v>
      </c>
      <c r="H1969" s="5" t="s">
        <v>546</v>
      </c>
      <c r="I1969" s="5">
        <v>3003</v>
      </c>
      <c r="J1969" s="5" t="s">
        <v>22</v>
      </c>
      <c r="K1969" s="5" t="s">
        <v>23</v>
      </c>
      <c r="L1969" s="5" t="s">
        <v>31</v>
      </c>
      <c r="M1969" s="5" t="s">
        <v>284</v>
      </c>
      <c r="N1969" s="5" t="s">
        <v>53</v>
      </c>
      <c r="O1969" s="5">
        <v>128</v>
      </c>
      <c r="P1969" s="5"/>
      <c r="Q1969" s="5"/>
      <c r="R1969" s="8">
        <v>8.1018518518518516E-5</v>
      </c>
      <c r="S1969" s="5" t="s">
        <v>37</v>
      </c>
      <c r="T1969" t="str">
        <f>IF(Tabela1[[#This Row],[STATUS_NEGOCIO]]="Enviar E-mail",1,"")</f>
        <v/>
      </c>
      <c r="U1969" t="str">
        <f>TEXT(Tabela1[[#This Row],[DATA]],"dd/mm/aaaa")</f>
        <v>22/04/2026</v>
      </c>
    </row>
    <row r="1970" spans="1:21" x14ac:dyDescent="0.25">
      <c r="A1970" s="4">
        <v>46134.703240740739</v>
      </c>
      <c r="B1970" s="5" t="s">
        <v>19</v>
      </c>
      <c r="C1970" s="5" t="s">
        <v>37</v>
      </c>
      <c r="D1970" s="5">
        <v>434</v>
      </c>
      <c r="E1970" s="6">
        <v>39227830000191</v>
      </c>
      <c r="F1970" s="5">
        <v>434</v>
      </c>
      <c r="G1970" s="7">
        <v>177688756087221</v>
      </c>
      <c r="H1970" s="5" t="s">
        <v>559</v>
      </c>
      <c r="I1970" s="5">
        <v>3003</v>
      </c>
      <c r="J1970" s="5" t="s">
        <v>22</v>
      </c>
      <c r="K1970" s="5" t="s">
        <v>23</v>
      </c>
      <c r="L1970" s="5" t="s">
        <v>31</v>
      </c>
      <c r="M1970" s="5" t="s">
        <v>284</v>
      </c>
      <c r="N1970" s="5" t="s">
        <v>53</v>
      </c>
      <c r="O1970" s="5">
        <v>128</v>
      </c>
      <c r="P1970" s="5"/>
      <c r="Q1970" s="5"/>
      <c r="R1970" s="8">
        <v>8.1018518518518516E-5</v>
      </c>
      <c r="S1970" s="5" t="s">
        <v>37</v>
      </c>
      <c r="T1970" t="str">
        <f>IF(Tabela1[[#This Row],[STATUS_NEGOCIO]]="Enviar E-mail",1,"")</f>
        <v/>
      </c>
      <c r="U1970" t="str">
        <f>TEXT(Tabela1[[#This Row],[DATA]],"dd/mm/aaaa")</f>
        <v>22/04/2026</v>
      </c>
    </row>
    <row r="1971" spans="1:21" x14ac:dyDescent="0.25">
      <c r="A1971" s="4">
        <v>46134.703275462962</v>
      </c>
      <c r="B1971" s="5" t="s">
        <v>19</v>
      </c>
      <c r="C1971" s="5" t="s">
        <v>37</v>
      </c>
      <c r="D1971" s="5">
        <v>435</v>
      </c>
      <c r="E1971" s="6">
        <v>39468257000108</v>
      </c>
      <c r="F1971" s="5">
        <v>435</v>
      </c>
      <c r="G1971" s="7">
        <v>177688756387241</v>
      </c>
      <c r="H1971" s="5" t="s">
        <v>560</v>
      </c>
      <c r="I1971" s="5">
        <v>3003</v>
      </c>
      <c r="J1971" s="5" t="s">
        <v>22</v>
      </c>
      <c r="K1971" s="5" t="s">
        <v>23</v>
      </c>
      <c r="L1971" s="5" t="s">
        <v>31</v>
      </c>
      <c r="M1971" s="5" t="s">
        <v>284</v>
      </c>
      <c r="N1971" s="5" t="s">
        <v>53</v>
      </c>
      <c r="O1971" s="5">
        <v>147</v>
      </c>
      <c r="P1971" s="5"/>
      <c r="Q1971" s="5"/>
      <c r="R1971" s="8">
        <v>8.1018518518518516E-5</v>
      </c>
      <c r="S1971" s="5" t="s">
        <v>37</v>
      </c>
      <c r="T1971" t="str">
        <f>IF(Tabela1[[#This Row],[STATUS_NEGOCIO]]="Enviar E-mail",1,"")</f>
        <v/>
      </c>
      <c r="U1971" t="str">
        <f>TEXT(Tabela1[[#This Row],[DATA]],"dd/mm/aaaa")</f>
        <v>22/04/2026</v>
      </c>
    </row>
    <row r="1972" spans="1:21" x14ac:dyDescent="0.25">
      <c r="A1972" s="4">
        <v>46134.703298611108</v>
      </c>
      <c r="B1972" s="5" t="s">
        <v>19</v>
      </c>
      <c r="C1972" s="5" t="s">
        <v>37</v>
      </c>
      <c r="D1972" s="5">
        <v>436</v>
      </c>
      <c r="E1972" s="6">
        <v>39556402000102</v>
      </c>
      <c r="F1972" s="5">
        <v>436</v>
      </c>
      <c r="G1972" s="7">
        <v>177688756587261</v>
      </c>
      <c r="H1972" s="5" t="s">
        <v>229</v>
      </c>
      <c r="I1972" s="5">
        <v>3003</v>
      </c>
      <c r="J1972" s="5" t="s">
        <v>22</v>
      </c>
      <c r="K1972" s="5" t="s">
        <v>23</v>
      </c>
      <c r="L1972" s="5" t="s">
        <v>31</v>
      </c>
      <c r="M1972" s="5" t="s">
        <v>284</v>
      </c>
      <c r="N1972" s="5" t="s">
        <v>53</v>
      </c>
      <c r="O1972" s="5">
        <v>128</v>
      </c>
      <c r="P1972" s="5"/>
      <c r="Q1972" s="5"/>
      <c r="R1972" s="8">
        <v>8.1018518518518516E-5</v>
      </c>
      <c r="S1972" s="5" t="s">
        <v>37</v>
      </c>
      <c r="T1972" t="str">
        <f>IF(Tabela1[[#This Row],[STATUS_NEGOCIO]]="Enviar E-mail",1,"")</f>
        <v/>
      </c>
      <c r="U1972" t="str">
        <f>TEXT(Tabela1[[#This Row],[DATA]],"dd/mm/aaaa")</f>
        <v>22/04/2026</v>
      </c>
    </row>
    <row r="1973" spans="1:21" x14ac:dyDescent="0.25">
      <c r="A1973" s="4">
        <v>46134.703425925924</v>
      </c>
      <c r="B1973" s="5" t="s">
        <v>19</v>
      </c>
      <c r="C1973" s="5" t="s">
        <v>37</v>
      </c>
      <c r="D1973" s="5">
        <v>437</v>
      </c>
      <c r="E1973" s="6">
        <v>39596079000109</v>
      </c>
      <c r="F1973" s="5">
        <v>437</v>
      </c>
      <c r="G1973" s="7">
        <v>177688757687271</v>
      </c>
      <c r="H1973" s="5" t="s">
        <v>141</v>
      </c>
      <c r="I1973" s="5">
        <v>3003</v>
      </c>
      <c r="J1973" s="5" t="s">
        <v>22</v>
      </c>
      <c r="K1973" s="5" t="s">
        <v>23</v>
      </c>
      <c r="L1973" s="5" t="s">
        <v>31</v>
      </c>
      <c r="M1973" s="5" t="s">
        <v>284</v>
      </c>
      <c r="N1973" s="5" t="s">
        <v>53</v>
      </c>
      <c r="O1973" s="5">
        <v>128</v>
      </c>
      <c r="P1973" s="5"/>
      <c r="Q1973" s="5"/>
      <c r="R1973" s="8">
        <v>8.1018518518518516E-5</v>
      </c>
      <c r="S1973" s="5" t="s">
        <v>37</v>
      </c>
      <c r="T1973" t="str">
        <f>IF(Tabela1[[#This Row],[STATUS_NEGOCIO]]="Enviar E-mail",1,"")</f>
        <v/>
      </c>
      <c r="U1973" t="str">
        <f>TEXT(Tabela1[[#This Row],[DATA]],"dd/mm/aaaa")</f>
        <v>22/04/2026</v>
      </c>
    </row>
    <row r="1974" spans="1:21" x14ac:dyDescent="0.25">
      <c r="A1974" s="4">
        <v>46134.7034375</v>
      </c>
      <c r="B1974" s="5" t="s">
        <v>19</v>
      </c>
      <c r="C1974" s="5" t="s">
        <v>37</v>
      </c>
      <c r="D1974" s="5">
        <v>438</v>
      </c>
      <c r="E1974" s="6">
        <v>39929832000122</v>
      </c>
      <c r="F1974" s="5">
        <v>438</v>
      </c>
      <c r="G1974" s="7">
        <v>177688757787281</v>
      </c>
      <c r="H1974" s="5" t="s">
        <v>561</v>
      </c>
      <c r="I1974" s="5">
        <v>3003</v>
      </c>
      <c r="J1974" s="5" t="s">
        <v>22</v>
      </c>
      <c r="K1974" s="5" t="s">
        <v>23</v>
      </c>
      <c r="L1974" s="5" t="s">
        <v>31</v>
      </c>
      <c r="M1974" s="5" t="s">
        <v>284</v>
      </c>
      <c r="N1974" s="5" t="s">
        <v>53</v>
      </c>
      <c r="O1974" s="5">
        <v>128</v>
      </c>
      <c r="P1974" s="5"/>
      <c r="Q1974" s="5"/>
      <c r="R1974" s="8">
        <v>8.1018518518518516E-5</v>
      </c>
      <c r="S1974" s="5" t="s">
        <v>37</v>
      </c>
      <c r="T1974" t="str">
        <f>IF(Tabela1[[#This Row],[STATUS_NEGOCIO]]="Enviar E-mail",1,"")</f>
        <v/>
      </c>
      <c r="U1974" t="str">
        <f>TEXT(Tabela1[[#This Row],[DATA]],"dd/mm/aaaa")</f>
        <v>22/04/2026</v>
      </c>
    </row>
    <row r="1975" spans="1:21" x14ac:dyDescent="0.25">
      <c r="A1975" s="4">
        <v>46134.703483796293</v>
      </c>
      <c r="B1975" s="5" t="s">
        <v>19</v>
      </c>
      <c r="C1975" s="5" t="s">
        <v>37</v>
      </c>
      <c r="D1975" s="5">
        <v>439</v>
      </c>
      <c r="E1975" s="6">
        <v>39935945000130</v>
      </c>
      <c r="F1975" s="5">
        <v>439</v>
      </c>
      <c r="G1975" s="7">
        <v>177688758187301</v>
      </c>
      <c r="H1975" s="5" t="s">
        <v>417</v>
      </c>
      <c r="I1975" s="5">
        <v>3003</v>
      </c>
      <c r="J1975" s="5" t="s">
        <v>22</v>
      </c>
      <c r="K1975" s="5" t="s">
        <v>23</v>
      </c>
      <c r="L1975" s="5" t="s">
        <v>31</v>
      </c>
      <c r="M1975" s="5" t="s">
        <v>284</v>
      </c>
      <c r="N1975" s="5" t="s">
        <v>26</v>
      </c>
      <c r="O1975" s="5">
        <v>131</v>
      </c>
      <c r="P1975" s="5"/>
      <c r="Q1975" s="5"/>
      <c r="R1975" s="8">
        <v>2.199074074074074E-4</v>
      </c>
      <c r="S1975" s="5" t="s">
        <v>37</v>
      </c>
      <c r="T1975" t="str">
        <f>IF(Tabela1[[#This Row],[STATUS_NEGOCIO]]="Enviar E-mail",1,"")</f>
        <v/>
      </c>
      <c r="U1975" t="str">
        <f>TEXT(Tabela1[[#This Row],[DATA]],"dd/mm/aaaa")</f>
        <v>22/04/2026</v>
      </c>
    </row>
    <row r="1976" spans="1:21" x14ac:dyDescent="0.25">
      <c r="A1976" s="4">
        <v>46134.703564814816</v>
      </c>
      <c r="B1976" s="5" t="s">
        <v>19</v>
      </c>
      <c r="C1976" s="5" t="s">
        <v>37</v>
      </c>
      <c r="D1976" s="5">
        <v>440</v>
      </c>
      <c r="E1976" s="6">
        <v>40019453000184</v>
      </c>
      <c r="F1976" s="5">
        <v>440</v>
      </c>
      <c r="G1976" s="7">
        <v>177688758887321</v>
      </c>
      <c r="H1976" s="5" t="s">
        <v>64</v>
      </c>
      <c r="I1976" s="5">
        <v>3003</v>
      </c>
      <c r="J1976" s="5" t="s">
        <v>22</v>
      </c>
      <c r="K1976" s="5" t="s">
        <v>23</v>
      </c>
      <c r="L1976" s="5" t="s">
        <v>31</v>
      </c>
      <c r="M1976" s="5" t="s">
        <v>284</v>
      </c>
      <c r="N1976" s="5" t="s">
        <v>53</v>
      </c>
      <c r="O1976" s="5">
        <v>147</v>
      </c>
      <c r="P1976" s="5"/>
      <c r="Q1976" s="5"/>
      <c r="R1976" s="8">
        <v>8.1018518518518516E-5</v>
      </c>
      <c r="S1976" s="5" t="s">
        <v>37</v>
      </c>
      <c r="T1976" t="str">
        <f>IF(Tabela1[[#This Row],[STATUS_NEGOCIO]]="Enviar E-mail",1,"")</f>
        <v/>
      </c>
      <c r="U1976" t="str">
        <f>TEXT(Tabela1[[#This Row],[DATA]],"dd/mm/aaaa")</f>
        <v>22/04/2026</v>
      </c>
    </row>
    <row r="1977" spans="1:21" x14ac:dyDescent="0.25">
      <c r="A1977" s="4">
        <v>46134.703611111108</v>
      </c>
      <c r="B1977" s="5" t="s">
        <v>19</v>
      </c>
      <c r="C1977" s="5" t="s">
        <v>37</v>
      </c>
      <c r="D1977" s="5">
        <v>441</v>
      </c>
      <c r="E1977" s="6">
        <v>40127921000134</v>
      </c>
      <c r="F1977" s="5">
        <v>441</v>
      </c>
      <c r="G1977" s="7">
        <v>177688759287341</v>
      </c>
      <c r="H1977" s="5" t="s">
        <v>110</v>
      </c>
      <c r="I1977" s="5">
        <v>3003</v>
      </c>
      <c r="J1977" s="5" t="s">
        <v>22</v>
      </c>
      <c r="K1977" s="5" t="s">
        <v>23</v>
      </c>
      <c r="L1977" s="5" t="s">
        <v>31</v>
      </c>
      <c r="M1977" s="5" t="s">
        <v>284</v>
      </c>
      <c r="N1977" s="5" t="s">
        <v>53</v>
      </c>
      <c r="O1977" s="5">
        <v>128</v>
      </c>
      <c r="P1977" s="5"/>
      <c r="Q1977" s="5"/>
      <c r="R1977" s="8">
        <v>8.1018518518518516E-5</v>
      </c>
      <c r="S1977" s="5" t="s">
        <v>37</v>
      </c>
      <c r="T1977" t="str">
        <f>IF(Tabela1[[#This Row],[STATUS_NEGOCIO]]="Enviar E-mail",1,"")</f>
        <v/>
      </c>
      <c r="U1977" t="str">
        <f>TEXT(Tabela1[[#This Row],[DATA]],"dd/mm/aaaa")</f>
        <v>22/04/2026</v>
      </c>
    </row>
    <row r="1978" spans="1:21" x14ac:dyDescent="0.25">
      <c r="A1978" s="4">
        <v>46134.703726851854</v>
      </c>
      <c r="B1978" s="5" t="s">
        <v>19</v>
      </c>
      <c r="C1978" s="5" t="s">
        <v>37</v>
      </c>
      <c r="D1978" s="5">
        <v>443</v>
      </c>
      <c r="E1978" s="6">
        <v>40159980000194</v>
      </c>
      <c r="F1978" s="5">
        <v>443</v>
      </c>
      <c r="G1978" s="7">
        <v>177688760287401</v>
      </c>
      <c r="H1978" s="5" t="s">
        <v>170</v>
      </c>
      <c r="I1978" s="5">
        <v>3003</v>
      </c>
      <c r="J1978" s="5" t="s">
        <v>22</v>
      </c>
      <c r="K1978" s="5" t="s">
        <v>23</v>
      </c>
      <c r="L1978" s="5" t="s">
        <v>31</v>
      </c>
      <c r="M1978" s="5" t="s">
        <v>284</v>
      </c>
      <c r="N1978" s="5" t="s">
        <v>53</v>
      </c>
      <c r="O1978" s="5">
        <v>128</v>
      </c>
      <c r="P1978" s="5"/>
      <c r="Q1978" s="5"/>
      <c r="R1978" s="8">
        <v>8.1018518518518516E-5</v>
      </c>
      <c r="S1978" s="5" t="s">
        <v>37</v>
      </c>
      <c r="T1978" t="str">
        <f>IF(Tabela1[[#This Row],[STATUS_NEGOCIO]]="Enviar E-mail",1,"")</f>
        <v/>
      </c>
      <c r="U1978" t="str">
        <f>TEXT(Tabela1[[#This Row],[DATA]],"dd/mm/aaaa")</f>
        <v>22/04/2026</v>
      </c>
    </row>
    <row r="1979" spans="1:21" x14ac:dyDescent="0.25">
      <c r="A1979" s="4">
        <v>46134.703738425924</v>
      </c>
      <c r="B1979" s="5" t="s">
        <v>19</v>
      </c>
      <c r="C1979" s="5" t="s">
        <v>37</v>
      </c>
      <c r="D1979" s="5">
        <v>445</v>
      </c>
      <c r="E1979" s="6">
        <v>40205791000100</v>
      </c>
      <c r="F1979" s="5">
        <v>445</v>
      </c>
      <c r="G1979" s="7">
        <v>177688760387431</v>
      </c>
      <c r="H1979" s="5" t="s">
        <v>564</v>
      </c>
      <c r="I1979" s="5">
        <v>3003</v>
      </c>
      <c r="J1979" s="5" t="s">
        <v>22</v>
      </c>
      <c r="K1979" s="5" t="s">
        <v>23</v>
      </c>
      <c r="L1979" s="5" t="s">
        <v>31</v>
      </c>
      <c r="M1979" s="5" t="s">
        <v>284</v>
      </c>
      <c r="N1979" s="5" t="s">
        <v>53</v>
      </c>
      <c r="O1979" s="5">
        <v>128</v>
      </c>
      <c r="P1979" s="5"/>
      <c r="Q1979" s="5"/>
      <c r="R1979" s="8">
        <v>8.1018518518518516E-5</v>
      </c>
      <c r="S1979" s="5" t="s">
        <v>37</v>
      </c>
      <c r="T1979" t="str">
        <f>IF(Tabela1[[#This Row],[STATUS_NEGOCIO]]="Enviar E-mail",1,"")</f>
        <v/>
      </c>
      <c r="U1979" t="str">
        <f>TEXT(Tabela1[[#This Row],[DATA]],"dd/mm/aaaa")</f>
        <v>22/04/2026</v>
      </c>
    </row>
    <row r="1980" spans="1:21" x14ac:dyDescent="0.25">
      <c r="A1980" s="4">
        <v>46134.703750000001</v>
      </c>
      <c r="B1980" s="5" t="s">
        <v>19</v>
      </c>
      <c r="C1980" s="5" t="s">
        <v>37</v>
      </c>
      <c r="D1980" s="5">
        <v>446</v>
      </c>
      <c r="E1980" s="6">
        <v>40217278000130</v>
      </c>
      <c r="F1980" s="5">
        <v>446</v>
      </c>
      <c r="G1980" s="7">
        <v>177688760487451</v>
      </c>
      <c r="H1980" s="5" t="s">
        <v>194</v>
      </c>
      <c r="I1980" s="5">
        <v>3003</v>
      </c>
      <c r="J1980" s="5" t="s">
        <v>22</v>
      </c>
      <c r="K1980" s="5" t="s">
        <v>23</v>
      </c>
      <c r="L1980" s="5" t="s">
        <v>31</v>
      </c>
      <c r="M1980" s="5" t="s">
        <v>284</v>
      </c>
      <c r="N1980" s="5" t="s">
        <v>53</v>
      </c>
      <c r="O1980" s="5">
        <v>128</v>
      </c>
      <c r="P1980" s="5"/>
      <c r="Q1980" s="5"/>
      <c r="R1980" s="8">
        <v>6.9444444444444444E-5</v>
      </c>
      <c r="S1980" s="5" t="s">
        <v>37</v>
      </c>
      <c r="T1980" t="str">
        <f>IF(Tabela1[[#This Row],[STATUS_NEGOCIO]]="Enviar E-mail",1,"")</f>
        <v/>
      </c>
      <c r="U1980" t="str">
        <f>TEXT(Tabela1[[#This Row],[DATA]],"dd/mm/aaaa")</f>
        <v>22/04/2026</v>
      </c>
    </row>
    <row r="1981" spans="1:21" x14ac:dyDescent="0.25">
      <c r="A1981" s="4">
        <v>46134.70385416667</v>
      </c>
      <c r="B1981" s="5" t="s">
        <v>19</v>
      </c>
      <c r="C1981" s="5" t="s">
        <v>37</v>
      </c>
      <c r="D1981" s="5">
        <v>447</v>
      </c>
      <c r="E1981" s="6">
        <v>40290991000109</v>
      </c>
      <c r="F1981" s="5">
        <v>447</v>
      </c>
      <c r="G1981" s="7">
        <v>177688761387531</v>
      </c>
      <c r="H1981" s="5" t="s">
        <v>565</v>
      </c>
      <c r="I1981" s="5" t="s">
        <v>52</v>
      </c>
      <c r="J1981" s="5" t="s">
        <v>22</v>
      </c>
      <c r="K1981" s="5" t="s">
        <v>36</v>
      </c>
      <c r="L1981" s="5" t="s">
        <v>36</v>
      </c>
      <c r="M1981" s="5" t="s">
        <v>284</v>
      </c>
      <c r="N1981" s="5" t="s">
        <v>53</v>
      </c>
      <c r="O1981" s="5">
        <v>1</v>
      </c>
      <c r="P1981" s="5"/>
      <c r="Q1981" s="5"/>
      <c r="R1981" s="8">
        <v>0</v>
      </c>
      <c r="S1981" s="5" t="s">
        <v>37</v>
      </c>
      <c r="T1981" t="str">
        <f>IF(Tabela1[[#This Row],[STATUS_NEGOCIO]]="Enviar E-mail",1,"")</f>
        <v/>
      </c>
      <c r="U1981" t="str">
        <f>TEXT(Tabela1[[#This Row],[DATA]],"dd/mm/aaaa")</f>
        <v>22/04/2026</v>
      </c>
    </row>
    <row r="1982" spans="1:21" x14ac:dyDescent="0.25">
      <c r="A1982" s="4">
        <v>46134.703877314816</v>
      </c>
      <c r="B1982" s="5" t="s">
        <v>19</v>
      </c>
      <c r="C1982" s="5" t="s">
        <v>37</v>
      </c>
      <c r="D1982" s="5">
        <v>448</v>
      </c>
      <c r="E1982" s="6">
        <v>40503929000158</v>
      </c>
      <c r="F1982" s="5">
        <v>448</v>
      </c>
      <c r="G1982" s="7">
        <v>177688761587541</v>
      </c>
      <c r="H1982" s="5" t="s">
        <v>566</v>
      </c>
      <c r="I1982" s="5">
        <v>3003</v>
      </c>
      <c r="J1982" s="5" t="s">
        <v>22</v>
      </c>
      <c r="K1982" s="5" t="s">
        <v>23</v>
      </c>
      <c r="L1982" s="5" t="s">
        <v>31</v>
      </c>
      <c r="M1982" s="5" t="s">
        <v>284</v>
      </c>
      <c r="N1982" s="5" t="s">
        <v>53</v>
      </c>
      <c r="O1982" s="5">
        <v>128</v>
      </c>
      <c r="P1982" s="5"/>
      <c r="Q1982" s="5"/>
      <c r="R1982" s="8">
        <v>8.1018518518518516E-5</v>
      </c>
      <c r="S1982" s="5" t="s">
        <v>37</v>
      </c>
      <c r="T1982" t="str">
        <f>IF(Tabela1[[#This Row],[STATUS_NEGOCIO]]="Enviar E-mail",1,"")</f>
        <v/>
      </c>
      <c r="U1982" t="str">
        <f>TEXT(Tabela1[[#This Row],[DATA]],"dd/mm/aaaa")</f>
        <v>22/04/2026</v>
      </c>
    </row>
    <row r="1983" spans="1:21" x14ac:dyDescent="0.25">
      <c r="A1983" s="4">
        <v>46134.703969907408</v>
      </c>
      <c r="B1983" s="5" t="s">
        <v>19</v>
      </c>
      <c r="C1983" s="5" t="s">
        <v>37</v>
      </c>
      <c r="D1983" s="5">
        <v>450</v>
      </c>
      <c r="E1983" s="6">
        <v>40696152000195</v>
      </c>
      <c r="F1983" s="5">
        <v>450</v>
      </c>
      <c r="G1983" s="7">
        <v>177688762387591</v>
      </c>
      <c r="H1983" s="5" t="s">
        <v>188</v>
      </c>
      <c r="I1983" s="5">
        <v>3003</v>
      </c>
      <c r="J1983" s="5" t="s">
        <v>22</v>
      </c>
      <c r="K1983" s="5" t="s">
        <v>23</v>
      </c>
      <c r="L1983" s="5" t="s">
        <v>31</v>
      </c>
      <c r="M1983" s="5" t="s">
        <v>284</v>
      </c>
      <c r="N1983" s="5" t="s">
        <v>53</v>
      </c>
      <c r="O1983" s="5">
        <v>128</v>
      </c>
      <c r="P1983" s="5"/>
      <c r="Q1983" s="5"/>
      <c r="R1983" s="8">
        <v>6.9444444444444444E-5</v>
      </c>
      <c r="S1983" s="5" t="s">
        <v>37</v>
      </c>
      <c r="T1983" t="str">
        <f>IF(Tabela1[[#This Row],[STATUS_NEGOCIO]]="Enviar E-mail",1,"")</f>
        <v/>
      </c>
      <c r="U1983" t="str">
        <f>TEXT(Tabela1[[#This Row],[DATA]],"dd/mm/aaaa")</f>
        <v>22/04/2026</v>
      </c>
    </row>
    <row r="1984" spans="1:21" x14ac:dyDescent="0.25">
      <c r="A1984" s="4">
        <v>46134.704004629632</v>
      </c>
      <c r="B1984" s="5" t="s">
        <v>19</v>
      </c>
      <c r="C1984" s="5" t="s">
        <v>37</v>
      </c>
      <c r="D1984" s="5">
        <v>452</v>
      </c>
      <c r="E1984" s="6">
        <v>40904952000154</v>
      </c>
      <c r="F1984" s="5">
        <v>452</v>
      </c>
      <c r="G1984" s="7">
        <v>177688762687611</v>
      </c>
      <c r="H1984" s="5" t="s">
        <v>569</v>
      </c>
      <c r="I1984" s="5">
        <v>3003</v>
      </c>
      <c r="J1984" s="5" t="s">
        <v>22</v>
      </c>
      <c r="K1984" s="5" t="s">
        <v>23</v>
      </c>
      <c r="L1984" s="5" t="s">
        <v>31</v>
      </c>
      <c r="M1984" s="5" t="s">
        <v>284</v>
      </c>
      <c r="N1984" s="5" t="s">
        <v>53</v>
      </c>
      <c r="O1984" s="5">
        <v>128</v>
      </c>
      <c r="P1984" s="5"/>
      <c r="Q1984" s="5"/>
      <c r="R1984" s="8">
        <v>8.1018518518518516E-5</v>
      </c>
      <c r="S1984" s="5" t="s">
        <v>37</v>
      </c>
      <c r="T1984" t="str">
        <f>IF(Tabela1[[#This Row],[STATUS_NEGOCIO]]="Enviar E-mail",1,"")</f>
        <v/>
      </c>
      <c r="U1984" t="str">
        <f>TEXT(Tabela1[[#This Row],[DATA]],"dd/mm/aaaa")</f>
        <v>22/04/2026</v>
      </c>
    </row>
    <row r="1985" spans="1:21" x14ac:dyDescent="0.25">
      <c r="A1985" s="9">
        <v>46134.704050925924</v>
      </c>
      <c r="B1985" t="s">
        <v>19</v>
      </c>
      <c r="C1985" t="s">
        <v>37</v>
      </c>
      <c r="D1985">
        <v>453</v>
      </c>
      <c r="E1985" s="1">
        <v>41284144000102</v>
      </c>
      <c r="F1985">
        <v>453</v>
      </c>
      <c r="G1985" s="10">
        <v>177688763087631</v>
      </c>
      <c r="H1985" t="s">
        <v>570</v>
      </c>
      <c r="I1985">
        <v>3003</v>
      </c>
      <c r="J1985" t="s">
        <v>22</v>
      </c>
      <c r="K1985" t="s">
        <v>23</v>
      </c>
      <c r="L1985" s="5" t="s">
        <v>31</v>
      </c>
      <c r="M1985" t="s">
        <v>284</v>
      </c>
      <c r="N1985" t="s">
        <v>53</v>
      </c>
      <c r="O1985">
        <v>128</v>
      </c>
      <c r="R1985" s="11">
        <v>8.1018518518518516E-5</v>
      </c>
      <c r="S1985" t="s">
        <v>37</v>
      </c>
      <c r="T1985" t="str">
        <f>IF(Tabela1[[#This Row],[STATUS_NEGOCIO]]="Enviar E-mail",1,"")</f>
        <v/>
      </c>
      <c r="U1985" t="str">
        <f>TEXT(Tabela1[[#This Row],[DATA]],"dd/mm/aaaa")</f>
        <v>22/04/2026</v>
      </c>
    </row>
    <row r="1986" spans="1:21" x14ac:dyDescent="0.25">
      <c r="A1986" s="9">
        <v>46134.704074074078</v>
      </c>
      <c r="B1986" t="s">
        <v>19</v>
      </c>
      <c r="C1986" t="s">
        <v>37</v>
      </c>
      <c r="D1986">
        <v>454</v>
      </c>
      <c r="E1986" s="1">
        <v>41433088000112</v>
      </c>
      <c r="F1986">
        <v>454</v>
      </c>
      <c r="G1986" s="10">
        <v>177688763287651</v>
      </c>
      <c r="H1986" t="s">
        <v>571</v>
      </c>
      <c r="I1986">
        <v>3003</v>
      </c>
      <c r="J1986" t="s">
        <v>22</v>
      </c>
      <c r="K1986" t="s">
        <v>23</v>
      </c>
      <c r="L1986" s="5" t="s">
        <v>31</v>
      </c>
      <c r="M1986" t="s">
        <v>284</v>
      </c>
      <c r="N1986" t="s">
        <v>53</v>
      </c>
      <c r="O1986">
        <v>128</v>
      </c>
      <c r="R1986" s="11">
        <v>8.1018518518518516E-5</v>
      </c>
      <c r="S1986" t="s">
        <v>37</v>
      </c>
      <c r="T1986" t="str">
        <f>IF(Tabela1[[#This Row],[STATUS_NEGOCIO]]="Enviar E-mail",1,"")</f>
        <v/>
      </c>
      <c r="U1986" t="str">
        <f>TEXT(Tabela1[[#This Row],[DATA]],"dd/mm/aaaa")</f>
        <v>22/04/2026</v>
      </c>
    </row>
    <row r="1987" spans="1:21" x14ac:dyDescent="0.25">
      <c r="A1987" s="9">
        <v>46134.704085648147</v>
      </c>
      <c r="B1987" t="s">
        <v>19</v>
      </c>
      <c r="C1987" t="s">
        <v>37</v>
      </c>
      <c r="D1987">
        <v>455</v>
      </c>
      <c r="E1987" s="1">
        <v>41601367000148</v>
      </c>
      <c r="F1987">
        <v>455</v>
      </c>
      <c r="G1987" s="10">
        <v>177688763387671</v>
      </c>
      <c r="H1987" t="s">
        <v>572</v>
      </c>
      <c r="I1987">
        <v>3003</v>
      </c>
      <c r="J1987" t="s">
        <v>22</v>
      </c>
      <c r="K1987" t="s">
        <v>23</v>
      </c>
      <c r="L1987" s="5" t="s">
        <v>31</v>
      </c>
      <c r="M1987" t="s">
        <v>284</v>
      </c>
      <c r="N1987" t="s">
        <v>53</v>
      </c>
      <c r="O1987">
        <v>128</v>
      </c>
      <c r="R1987" s="11">
        <v>8.1018518518518516E-5</v>
      </c>
      <c r="S1987" t="s">
        <v>37</v>
      </c>
      <c r="T1987" t="str">
        <f>IF(Tabela1[[#This Row],[STATUS_NEGOCIO]]="Enviar E-mail",1,"")</f>
        <v/>
      </c>
      <c r="U1987" t="str">
        <f>TEXT(Tabela1[[#This Row],[DATA]],"dd/mm/aaaa")</f>
        <v>22/04/2026</v>
      </c>
    </row>
    <row r="1988" spans="1:21" x14ac:dyDescent="0.25">
      <c r="A1988" s="9">
        <v>46134.704085648147</v>
      </c>
      <c r="B1988" t="s">
        <v>19</v>
      </c>
      <c r="C1988" t="s">
        <v>37</v>
      </c>
      <c r="D1988">
        <v>456</v>
      </c>
      <c r="E1988" s="1">
        <v>41907234000102</v>
      </c>
      <c r="F1988">
        <v>456</v>
      </c>
      <c r="G1988" s="10">
        <v>177688763387691</v>
      </c>
      <c r="H1988" t="s">
        <v>573</v>
      </c>
      <c r="I1988">
        <v>3003</v>
      </c>
      <c r="J1988" t="s">
        <v>22</v>
      </c>
      <c r="K1988" t="s">
        <v>23</v>
      </c>
      <c r="L1988" s="5" t="s">
        <v>31</v>
      </c>
      <c r="M1988" t="s">
        <v>284</v>
      </c>
      <c r="N1988" t="s">
        <v>53</v>
      </c>
      <c r="O1988">
        <v>128</v>
      </c>
      <c r="R1988" s="11">
        <v>8.1018518518518516E-5</v>
      </c>
      <c r="S1988" t="s">
        <v>37</v>
      </c>
      <c r="T1988" t="str">
        <f>IF(Tabela1[[#This Row],[STATUS_NEGOCIO]]="Enviar E-mail",1,"")</f>
        <v/>
      </c>
      <c r="U1988" t="str">
        <f>TEXT(Tabela1[[#This Row],[DATA]],"dd/mm/aaaa")</f>
        <v>22/04/2026</v>
      </c>
    </row>
    <row r="1989" spans="1:21" x14ac:dyDescent="0.25">
      <c r="A1989" s="9">
        <v>46134.704155092593</v>
      </c>
      <c r="B1989" t="s">
        <v>19</v>
      </c>
      <c r="C1989" t="s">
        <v>37</v>
      </c>
      <c r="D1989">
        <v>457</v>
      </c>
      <c r="E1989" s="1">
        <v>42081946000170</v>
      </c>
      <c r="F1989">
        <v>457</v>
      </c>
      <c r="G1989" s="10">
        <v>177688763987711</v>
      </c>
      <c r="H1989" t="s">
        <v>126</v>
      </c>
      <c r="I1989">
        <v>3003</v>
      </c>
      <c r="J1989" t="s">
        <v>22</v>
      </c>
      <c r="K1989" t="s">
        <v>23</v>
      </c>
      <c r="L1989" s="5" t="s">
        <v>31</v>
      </c>
      <c r="M1989" t="s">
        <v>284</v>
      </c>
      <c r="N1989" t="s">
        <v>53</v>
      </c>
      <c r="O1989">
        <v>128</v>
      </c>
      <c r="R1989" s="11">
        <v>8.1018518518518516E-5</v>
      </c>
      <c r="S1989" t="s">
        <v>37</v>
      </c>
      <c r="T1989" t="str">
        <f>IF(Tabela1[[#This Row],[STATUS_NEGOCIO]]="Enviar E-mail",1,"")</f>
        <v/>
      </c>
      <c r="U1989" t="str">
        <f>TEXT(Tabela1[[#This Row],[DATA]],"dd/mm/aaaa")</f>
        <v>22/04/2026</v>
      </c>
    </row>
    <row r="1990" spans="1:21" x14ac:dyDescent="0.25">
      <c r="A1990" s="9">
        <v>46134.704270833332</v>
      </c>
      <c r="B1990" t="s">
        <v>19</v>
      </c>
      <c r="C1990" t="s">
        <v>37</v>
      </c>
      <c r="D1990">
        <v>458</v>
      </c>
      <c r="E1990" s="1">
        <v>42427558000106</v>
      </c>
      <c r="F1990">
        <v>458</v>
      </c>
      <c r="G1990" s="10">
        <v>177688764987731</v>
      </c>
      <c r="H1990" t="s">
        <v>574</v>
      </c>
      <c r="I1990">
        <v>3003</v>
      </c>
      <c r="J1990" t="s">
        <v>22</v>
      </c>
      <c r="K1990" t="s">
        <v>23</v>
      </c>
      <c r="L1990" s="5" t="s">
        <v>31</v>
      </c>
      <c r="M1990" t="s">
        <v>284</v>
      </c>
      <c r="N1990" t="s">
        <v>53</v>
      </c>
      <c r="O1990">
        <v>128</v>
      </c>
      <c r="R1990" s="11">
        <v>8.1018518518518516E-5</v>
      </c>
      <c r="S1990" t="s">
        <v>37</v>
      </c>
      <c r="T1990" t="str">
        <f>IF(Tabela1[[#This Row],[STATUS_NEGOCIO]]="Enviar E-mail",1,"")</f>
        <v/>
      </c>
      <c r="U1990" t="str">
        <f>TEXT(Tabela1[[#This Row],[DATA]],"dd/mm/aaaa")</f>
        <v>22/04/2026</v>
      </c>
    </row>
    <row r="1991" spans="1:21" x14ac:dyDescent="0.25">
      <c r="A1991" s="9">
        <v>46134.704386574071</v>
      </c>
      <c r="B1991" t="s">
        <v>19</v>
      </c>
      <c r="C1991" t="s">
        <v>37</v>
      </c>
      <c r="D1991">
        <v>460</v>
      </c>
      <c r="E1991" s="1">
        <v>42497263000106</v>
      </c>
      <c r="F1991">
        <v>460</v>
      </c>
      <c r="G1991" s="10">
        <v>177688765987771</v>
      </c>
      <c r="H1991" t="s">
        <v>576</v>
      </c>
      <c r="I1991">
        <v>3003</v>
      </c>
      <c r="J1991" t="s">
        <v>22</v>
      </c>
      <c r="K1991" t="s">
        <v>23</v>
      </c>
      <c r="L1991" s="5" t="s">
        <v>31</v>
      </c>
      <c r="M1991" t="s">
        <v>284</v>
      </c>
      <c r="N1991" t="s">
        <v>53</v>
      </c>
      <c r="O1991">
        <v>147</v>
      </c>
      <c r="R1991" s="11">
        <v>8.1018518518518516E-5</v>
      </c>
      <c r="S1991" t="s">
        <v>37</v>
      </c>
      <c r="T1991" t="str">
        <f>IF(Tabela1[[#This Row],[STATUS_NEGOCIO]]="Enviar E-mail",1,"")</f>
        <v/>
      </c>
      <c r="U1991" t="str">
        <f>TEXT(Tabela1[[#This Row],[DATA]],"dd/mm/aaaa")</f>
        <v>22/04/2026</v>
      </c>
    </row>
    <row r="1992" spans="1:21" x14ac:dyDescent="0.25">
      <c r="A1992" s="9">
        <v>46134.704409722224</v>
      </c>
      <c r="B1992" t="s">
        <v>19</v>
      </c>
      <c r="C1992" t="s">
        <v>37</v>
      </c>
      <c r="D1992">
        <v>463</v>
      </c>
      <c r="E1992" s="1">
        <v>42764642000107</v>
      </c>
      <c r="F1992">
        <v>463</v>
      </c>
      <c r="G1992" s="10">
        <v>177688766187831</v>
      </c>
      <c r="H1992" t="s">
        <v>577</v>
      </c>
      <c r="I1992">
        <v>3003</v>
      </c>
      <c r="J1992" t="s">
        <v>22</v>
      </c>
      <c r="K1992" t="s">
        <v>23</v>
      </c>
      <c r="L1992" s="5" t="s">
        <v>31</v>
      </c>
      <c r="M1992" t="s">
        <v>284</v>
      </c>
      <c r="N1992" t="s">
        <v>53</v>
      </c>
      <c r="O1992">
        <v>147</v>
      </c>
      <c r="R1992" s="11">
        <v>8.1018518518518516E-5</v>
      </c>
      <c r="S1992" t="s">
        <v>37</v>
      </c>
      <c r="T1992" t="str">
        <f>IF(Tabela1[[#This Row],[STATUS_NEGOCIO]]="Enviar E-mail",1,"")</f>
        <v/>
      </c>
      <c r="U1992" t="str">
        <f>TEXT(Tabela1[[#This Row],[DATA]],"dd/mm/aaaa")</f>
        <v>22/04/2026</v>
      </c>
    </row>
    <row r="1993" spans="1:21" x14ac:dyDescent="0.25">
      <c r="A1993" s="9">
        <v>46134.704432870371</v>
      </c>
      <c r="B1993" t="s">
        <v>19</v>
      </c>
      <c r="C1993" t="s">
        <v>37</v>
      </c>
      <c r="D1993">
        <v>465</v>
      </c>
      <c r="E1993" s="1">
        <v>42895602000102</v>
      </c>
      <c r="F1993">
        <v>465</v>
      </c>
      <c r="G1993" s="10">
        <v>177688766387861</v>
      </c>
      <c r="H1993" t="s">
        <v>156</v>
      </c>
      <c r="I1993">
        <v>3003</v>
      </c>
      <c r="J1993" t="s">
        <v>22</v>
      </c>
      <c r="K1993" t="s">
        <v>23</v>
      </c>
      <c r="L1993" s="5" t="s">
        <v>31</v>
      </c>
      <c r="M1993" t="s">
        <v>284</v>
      </c>
      <c r="N1993" t="s">
        <v>53</v>
      </c>
      <c r="O1993">
        <v>128</v>
      </c>
      <c r="R1993" s="11">
        <v>8.1018518518518516E-5</v>
      </c>
      <c r="S1993" t="s">
        <v>37</v>
      </c>
      <c r="T1993" t="str">
        <f>IF(Tabela1[[#This Row],[STATUS_NEGOCIO]]="Enviar E-mail",1,"")</f>
        <v/>
      </c>
      <c r="U1993" t="str">
        <f>TEXT(Tabela1[[#This Row],[DATA]],"dd/mm/aaaa")</f>
        <v>22/04/2026</v>
      </c>
    </row>
    <row r="1994" spans="1:21" x14ac:dyDescent="0.25">
      <c r="A1994" s="9">
        <v>46134.704444444447</v>
      </c>
      <c r="B1994" t="s">
        <v>19</v>
      </c>
      <c r="C1994" t="s">
        <v>37</v>
      </c>
      <c r="D1994">
        <v>467</v>
      </c>
      <c r="E1994" s="1">
        <v>43189309000184</v>
      </c>
      <c r="F1994">
        <v>467</v>
      </c>
      <c r="G1994" s="10">
        <v>177688766487871</v>
      </c>
      <c r="H1994" t="s">
        <v>216</v>
      </c>
      <c r="I1994">
        <v>3003</v>
      </c>
      <c r="J1994" t="s">
        <v>22</v>
      </c>
      <c r="K1994" t="s">
        <v>23</v>
      </c>
      <c r="L1994" s="5" t="s">
        <v>31</v>
      </c>
      <c r="M1994" t="s">
        <v>284</v>
      </c>
      <c r="N1994" t="s">
        <v>53</v>
      </c>
      <c r="O1994">
        <v>147</v>
      </c>
      <c r="R1994" s="11">
        <v>8.1018518518518516E-5</v>
      </c>
      <c r="S1994" t="s">
        <v>37</v>
      </c>
      <c r="T1994" t="str">
        <f>IF(Tabela1[[#This Row],[STATUS_NEGOCIO]]="Enviar E-mail",1,"")</f>
        <v/>
      </c>
      <c r="U1994" t="str">
        <f>TEXT(Tabela1[[#This Row],[DATA]],"dd/mm/aaaa")</f>
        <v>22/04/2026</v>
      </c>
    </row>
    <row r="1995" spans="1:21" x14ac:dyDescent="0.25">
      <c r="A1995" s="9">
        <v>46134.704456018517</v>
      </c>
      <c r="B1995" t="s">
        <v>19</v>
      </c>
      <c r="C1995" t="s">
        <v>37</v>
      </c>
      <c r="D1995">
        <v>468</v>
      </c>
      <c r="E1995" s="1">
        <v>43291803000155</v>
      </c>
      <c r="F1995">
        <v>468</v>
      </c>
      <c r="G1995" s="10">
        <v>177688766587891</v>
      </c>
      <c r="H1995" t="s">
        <v>581</v>
      </c>
      <c r="I1995">
        <v>3003</v>
      </c>
      <c r="J1995" t="s">
        <v>22</v>
      </c>
      <c r="K1995" t="s">
        <v>23</v>
      </c>
      <c r="L1995" s="5" t="s">
        <v>31</v>
      </c>
      <c r="M1995" t="s">
        <v>284</v>
      </c>
      <c r="N1995" t="s">
        <v>53</v>
      </c>
      <c r="O1995">
        <v>147</v>
      </c>
      <c r="R1995" s="11">
        <v>8.1018518518518516E-5</v>
      </c>
      <c r="S1995" t="s">
        <v>37</v>
      </c>
      <c r="T1995" t="str">
        <f>IF(Tabela1[[#This Row],[STATUS_NEGOCIO]]="Enviar E-mail",1,"")</f>
        <v/>
      </c>
      <c r="U1995" t="str">
        <f>TEXT(Tabela1[[#This Row],[DATA]],"dd/mm/aaaa")</f>
        <v>22/04/2026</v>
      </c>
    </row>
    <row r="1996" spans="1:21" x14ac:dyDescent="0.25">
      <c r="A1996" s="9">
        <v>46134.704525462963</v>
      </c>
      <c r="B1996" t="s">
        <v>19</v>
      </c>
      <c r="C1996" t="s">
        <v>37</v>
      </c>
      <c r="D1996">
        <v>469</v>
      </c>
      <c r="E1996" s="1">
        <v>43600132000167</v>
      </c>
      <c r="F1996">
        <v>469</v>
      </c>
      <c r="G1996" s="10">
        <v>177688767187911</v>
      </c>
      <c r="H1996" t="s">
        <v>582</v>
      </c>
      <c r="I1996">
        <v>3003</v>
      </c>
      <c r="J1996" t="s">
        <v>22</v>
      </c>
      <c r="K1996" t="s">
        <v>23</v>
      </c>
      <c r="L1996" s="5" t="s">
        <v>31</v>
      </c>
      <c r="M1996" t="s">
        <v>284</v>
      </c>
      <c r="N1996" t="s">
        <v>53</v>
      </c>
      <c r="O1996">
        <v>128</v>
      </c>
      <c r="R1996" s="11">
        <v>8.1018518518518516E-5</v>
      </c>
      <c r="S1996" t="s">
        <v>37</v>
      </c>
      <c r="T1996" t="str">
        <f>IF(Tabela1[[#This Row],[STATUS_NEGOCIO]]="Enviar E-mail",1,"")</f>
        <v/>
      </c>
      <c r="U1996" t="str">
        <f>TEXT(Tabela1[[#This Row],[DATA]],"dd/mm/aaaa")</f>
        <v>22/04/2026</v>
      </c>
    </row>
    <row r="1997" spans="1:21" x14ac:dyDescent="0.25">
      <c r="A1997" s="9">
        <v>46134.704560185186</v>
      </c>
      <c r="B1997" t="s">
        <v>19</v>
      </c>
      <c r="C1997" t="s">
        <v>37</v>
      </c>
      <c r="D1997">
        <v>470</v>
      </c>
      <c r="E1997" s="1">
        <v>43608407000109</v>
      </c>
      <c r="F1997">
        <v>470</v>
      </c>
      <c r="G1997" s="10">
        <v>177688767487931</v>
      </c>
      <c r="H1997" t="s">
        <v>583</v>
      </c>
      <c r="I1997">
        <v>3003</v>
      </c>
      <c r="J1997" t="s">
        <v>22</v>
      </c>
      <c r="K1997" t="s">
        <v>23</v>
      </c>
      <c r="L1997" s="5" t="s">
        <v>31</v>
      </c>
      <c r="M1997" t="s">
        <v>284</v>
      </c>
      <c r="N1997" t="s">
        <v>53</v>
      </c>
      <c r="O1997">
        <v>128</v>
      </c>
      <c r="R1997" s="11">
        <v>8.1018518518518516E-5</v>
      </c>
      <c r="S1997" t="s">
        <v>37</v>
      </c>
      <c r="T1997" t="str">
        <f>IF(Tabela1[[#This Row],[STATUS_NEGOCIO]]="Enviar E-mail",1,"")</f>
        <v/>
      </c>
      <c r="U1997" t="str">
        <f>TEXT(Tabela1[[#This Row],[DATA]],"dd/mm/aaaa")</f>
        <v>22/04/2026</v>
      </c>
    </row>
    <row r="1998" spans="1:21" x14ac:dyDescent="0.25">
      <c r="A1998" s="9">
        <v>46134.704571759263</v>
      </c>
      <c r="B1998" t="s">
        <v>19</v>
      </c>
      <c r="C1998" t="s">
        <v>37</v>
      </c>
      <c r="D1998">
        <v>471</v>
      </c>
      <c r="E1998" s="1">
        <v>43647834000104</v>
      </c>
      <c r="F1998">
        <v>471</v>
      </c>
      <c r="G1998" s="10">
        <v>177688767587951</v>
      </c>
      <c r="H1998" t="s">
        <v>584</v>
      </c>
      <c r="I1998">
        <v>3003</v>
      </c>
      <c r="J1998" t="s">
        <v>22</v>
      </c>
      <c r="K1998" t="s">
        <v>23</v>
      </c>
      <c r="L1998" s="5" t="s">
        <v>31</v>
      </c>
      <c r="M1998" t="s">
        <v>284</v>
      </c>
      <c r="N1998" t="s">
        <v>53</v>
      </c>
      <c r="O1998">
        <v>128</v>
      </c>
      <c r="R1998" s="11">
        <v>8.1018518518518516E-5</v>
      </c>
      <c r="S1998" t="s">
        <v>37</v>
      </c>
      <c r="T1998" t="str">
        <f>IF(Tabela1[[#This Row],[STATUS_NEGOCIO]]="Enviar E-mail",1,"")</f>
        <v/>
      </c>
      <c r="U1998" t="str">
        <f>TEXT(Tabela1[[#This Row],[DATA]],"dd/mm/aaaa")</f>
        <v>22/04/2026</v>
      </c>
    </row>
    <row r="1999" spans="1:21" x14ac:dyDescent="0.25">
      <c r="A1999" s="9">
        <v>46134.704641203702</v>
      </c>
      <c r="B1999" t="s">
        <v>19</v>
      </c>
      <c r="C1999" t="s">
        <v>37</v>
      </c>
      <c r="D1999">
        <v>472</v>
      </c>
      <c r="E1999" s="1">
        <v>43753738000132</v>
      </c>
      <c r="F1999">
        <v>472</v>
      </c>
      <c r="G1999" s="10">
        <v>177688768187971</v>
      </c>
      <c r="H1999" t="s">
        <v>585</v>
      </c>
      <c r="I1999">
        <v>3003</v>
      </c>
      <c r="J1999" t="s">
        <v>22</v>
      </c>
      <c r="K1999" t="s">
        <v>23</v>
      </c>
      <c r="L1999" s="5" t="s">
        <v>31</v>
      </c>
      <c r="M1999" t="s">
        <v>284</v>
      </c>
      <c r="N1999" t="s">
        <v>53</v>
      </c>
      <c r="O1999">
        <v>147</v>
      </c>
      <c r="R1999" s="11">
        <v>8.1018518518518516E-5</v>
      </c>
      <c r="S1999" t="s">
        <v>37</v>
      </c>
      <c r="T1999" t="str">
        <f>IF(Tabela1[[#This Row],[STATUS_NEGOCIO]]="Enviar E-mail",1,"")</f>
        <v/>
      </c>
      <c r="U1999" t="str">
        <f>TEXT(Tabela1[[#This Row],[DATA]],"dd/mm/aaaa")</f>
        <v>22/04/2026</v>
      </c>
    </row>
    <row r="2000" spans="1:21" x14ac:dyDescent="0.25">
      <c r="A2000" s="9">
        <v>46134.704675925925</v>
      </c>
      <c r="B2000" t="s">
        <v>19</v>
      </c>
      <c r="C2000" t="s">
        <v>37</v>
      </c>
      <c r="D2000">
        <v>473</v>
      </c>
      <c r="E2000" s="1">
        <v>43907332000167</v>
      </c>
      <c r="F2000">
        <v>473</v>
      </c>
      <c r="G2000" s="10">
        <v>177688768487991</v>
      </c>
      <c r="H2000" t="s">
        <v>122</v>
      </c>
      <c r="I2000">
        <v>3003</v>
      </c>
      <c r="J2000" t="s">
        <v>22</v>
      </c>
      <c r="K2000" t="s">
        <v>23</v>
      </c>
      <c r="L2000" s="5" t="s">
        <v>31</v>
      </c>
      <c r="M2000" t="s">
        <v>284</v>
      </c>
      <c r="N2000" t="s">
        <v>53</v>
      </c>
      <c r="O2000">
        <v>128</v>
      </c>
      <c r="R2000" s="11">
        <v>8.1018518518518516E-5</v>
      </c>
      <c r="S2000" t="s">
        <v>37</v>
      </c>
      <c r="T2000" t="str">
        <f>IF(Tabela1[[#This Row],[STATUS_NEGOCIO]]="Enviar E-mail",1,"")</f>
        <v/>
      </c>
      <c r="U2000" t="str">
        <f>TEXT(Tabela1[[#This Row],[DATA]],"dd/mm/aaaa")</f>
        <v>22/04/2026</v>
      </c>
    </row>
    <row r="2001" spans="1:21" x14ac:dyDescent="0.25">
      <c r="A2001" s="9">
        <v>46134.704699074071</v>
      </c>
      <c r="B2001" t="s">
        <v>19</v>
      </c>
      <c r="C2001" t="s">
        <v>37</v>
      </c>
      <c r="D2001">
        <v>474</v>
      </c>
      <c r="E2001" s="1">
        <v>44141387000171</v>
      </c>
      <c r="F2001">
        <v>474</v>
      </c>
      <c r="G2001" s="10">
        <v>177688768688011</v>
      </c>
      <c r="H2001" t="s">
        <v>586</v>
      </c>
      <c r="I2001">
        <v>3003</v>
      </c>
      <c r="J2001" t="s">
        <v>22</v>
      </c>
      <c r="K2001" t="s">
        <v>23</v>
      </c>
      <c r="L2001" s="5" t="s">
        <v>31</v>
      </c>
      <c r="M2001" t="s">
        <v>284</v>
      </c>
      <c r="N2001" t="s">
        <v>53</v>
      </c>
      <c r="O2001">
        <v>128</v>
      </c>
      <c r="R2001" s="11">
        <v>8.1018518518518516E-5</v>
      </c>
      <c r="S2001" t="s">
        <v>37</v>
      </c>
      <c r="T2001" t="str">
        <f>IF(Tabela1[[#This Row],[STATUS_NEGOCIO]]="Enviar E-mail",1,"")</f>
        <v/>
      </c>
      <c r="U2001" t="str">
        <f>TEXT(Tabela1[[#This Row],[DATA]],"dd/mm/aaaa")</f>
        <v>22/04/2026</v>
      </c>
    </row>
    <row r="2002" spans="1:21" x14ac:dyDescent="0.25">
      <c r="A2002" s="9">
        <v>46134.704733796294</v>
      </c>
      <c r="B2002" t="s">
        <v>19</v>
      </c>
      <c r="C2002" t="s">
        <v>37</v>
      </c>
      <c r="D2002">
        <v>475</v>
      </c>
      <c r="E2002" s="1">
        <v>44172855000175</v>
      </c>
      <c r="F2002">
        <v>475</v>
      </c>
      <c r="G2002" s="10">
        <v>177688768988031</v>
      </c>
      <c r="H2002" t="s">
        <v>587</v>
      </c>
      <c r="I2002">
        <v>3003</v>
      </c>
      <c r="J2002" t="s">
        <v>22</v>
      </c>
      <c r="K2002" t="s">
        <v>23</v>
      </c>
      <c r="L2002" s="5" t="s">
        <v>31</v>
      </c>
      <c r="M2002" t="s">
        <v>284</v>
      </c>
      <c r="N2002" t="s">
        <v>53</v>
      </c>
      <c r="O2002">
        <v>128</v>
      </c>
      <c r="R2002" s="11">
        <v>8.1018518518518516E-5</v>
      </c>
      <c r="S2002" t="s">
        <v>37</v>
      </c>
      <c r="T2002" t="str">
        <f>IF(Tabela1[[#This Row],[STATUS_NEGOCIO]]="Enviar E-mail",1,"")</f>
        <v/>
      </c>
      <c r="U2002" t="str">
        <f>TEXT(Tabela1[[#This Row],[DATA]],"dd/mm/aaaa")</f>
        <v>22/04/2026</v>
      </c>
    </row>
    <row r="2003" spans="1:21" x14ac:dyDescent="0.25">
      <c r="A2003" s="9">
        <v>46134.704745370371</v>
      </c>
      <c r="B2003" t="s">
        <v>19</v>
      </c>
      <c r="C2003" t="s">
        <v>37</v>
      </c>
      <c r="D2003">
        <v>477</v>
      </c>
      <c r="E2003" s="1">
        <v>45271123000103</v>
      </c>
      <c r="F2003">
        <v>477</v>
      </c>
      <c r="G2003" s="10">
        <v>177688769088051</v>
      </c>
      <c r="H2003" t="s">
        <v>589</v>
      </c>
      <c r="I2003">
        <v>3003</v>
      </c>
      <c r="J2003" t="s">
        <v>22</v>
      </c>
      <c r="K2003" t="s">
        <v>23</v>
      </c>
      <c r="L2003" s="5" t="s">
        <v>31</v>
      </c>
      <c r="M2003" t="s">
        <v>284</v>
      </c>
      <c r="N2003" t="s">
        <v>53</v>
      </c>
      <c r="O2003">
        <v>128</v>
      </c>
      <c r="R2003" s="11">
        <v>8.1018518518518516E-5</v>
      </c>
      <c r="S2003" t="s">
        <v>37</v>
      </c>
      <c r="T2003" t="str">
        <f>IF(Tabela1[[#This Row],[STATUS_NEGOCIO]]="Enviar E-mail",1,"")</f>
        <v/>
      </c>
      <c r="U2003" t="str">
        <f>TEXT(Tabela1[[#This Row],[DATA]],"dd/mm/aaaa")</f>
        <v>22/04/2026</v>
      </c>
    </row>
    <row r="2004" spans="1:21" x14ac:dyDescent="0.25">
      <c r="A2004" s="9">
        <v>46134.704814814817</v>
      </c>
      <c r="B2004" t="s">
        <v>19</v>
      </c>
      <c r="C2004" t="s">
        <v>37</v>
      </c>
      <c r="D2004">
        <v>478</v>
      </c>
      <c r="E2004" s="1">
        <v>45504294000127</v>
      </c>
      <c r="F2004">
        <v>478</v>
      </c>
      <c r="G2004" s="10">
        <v>177688769688071</v>
      </c>
      <c r="H2004" t="s">
        <v>590</v>
      </c>
      <c r="I2004">
        <v>3003</v>
      </c>
      <c r="J2004" t="s">
        <v>22</v>
      </c>
      <c r="K2004" t="s">
        <v>23</v>
      </c>
      <c r="L2004" s="5" t="s">
        <v>31</v>
      </c>
      <c r="M2004" t="s">
        <v>284</v>
      </c>
      <c r="N2004" t="s">
        <v>53</v>
      </c>
      <c r="O2004">
        <v>128</v>
      </c>
      <c r="R2004" s="11">
        <v>6.9444444444444444E-5</v>
      </c>
      <c r="S2004" t="s">
        <v>37</v>
      </c>
      <c r="T2004" t="str">
        <f>IF(Tabela1[[#This Row],[STATUS_NEGOCIO]]="Enviar E-mail",1,"")</f>
        <v/>
      </c>
      <c r="U2004" t="str">
        <f>TEXT(Tabela1[[#This Row],[DATA]],"dd/mm/aaaa")</f>
        <v>22/04/2026</v>
      </c>
    </row>
    <row r="2005" spans="1:21" x14ac:dyDescent="0.25">
      <c r="A2005" s="9">
        <v>46134.70484953704</v>
      </c>
      <c r="B2005" t="s">
        <v>19</v>
      </c>
      <c r="C2005" t="s">
        <v>37</v>
      </c>
      <c r="D2005">
        <v>479</v>
      </c>
      <c r="E2005" s="1">
        <v>45618003000121</v>
      </c>
      <c r="F2005">
        <v>479</v>
      </c>
      <c r="G2005" s="10">
        <v>177688769988091</v>
      </c>
      <c r="H2005" t="s">
        <v>147</v>
      </c>
      <c r="I2005">
        <v>3003</v>
      </c>
      <c r="J2005" t="s">
        <v>22</v>
      </c>
      <c r="K2005" t="s">
        <v>23</v>
      </c>
      <c r="L2005" s="5" t="s">
        <v>31</v>
      </c>
      <c r="M2005" t="s">
        <v>284</v>
      </c>
      <c r="N2005" t="s">
        <v>53</v>
      </c>
      <c r="O2005">
        <v>128</v>
      </c>
      <c r="R2005" s="11">
        <v>8.1018518518518516E-5</v>
      </c>
      <c r="S2005" t="s">
        <v>37</v>
      </c>
      <c r="T2005" t="str">
        <f>IF(Tabela1[[#This Row],[STATUS_NEGOCIO]]="Enviar E-mail",1,"")</f>
        <v/>
      </c>
      <c r="U2005" t="str">
        <f>TEXT(Tabela1[[#This Row],[DATA]],"dd/mm/aaaa")</f>
        <v>22/04/2026</v>
      </c>
    </row>
    <row r="2006" spans="1:21" x14ac:dyDescent="0.25">
      <c r="A2006" s="9">
        <v>46134.704918981479</v>
      </c>
      <c r="B2006" t="s">
        <v>19</v>
      </c>
      <c r="C2006" t="s">
        <v>37</v>
      </c>
      <c r="D2006">
        <v>481</v>
      </c>
      <c r="E2006" s="1">
        <v>45654432000154</v>
      </c>
      <c r="F2006">
        <v>481</v>
      </c>
      <c r="G2006" s="10">
        <v>177688770588131</v>
      </c>
      <c r="H2006" t="s">
        <v>592</v>
      </c>
      <c r="I2006">
        <v>3003</v>
      </c>
      <c r="J2006" t="s">
        <v>22</v>
      </c>
      <c r="K2006" t="s">
        <v>23</v>
      </c>
      <c r="L2006" s="5" t="s">
        <v>31</v>
      </c>
      <c r="M2006" t="s">
        <v>284</v>
      </c>
      <c r="N2006" t="s">
        <v>53</v>
      </c>
      <c r="O2006">
        <v>128</v>
      </c>
      <c r="R2006" s="11">
        <v>8.1018518518518516E-5</v>
      </c>
      <c r="S2006" t="s">
        <v>37</v>
      </c>
      <c r="T2006" t="str">
        <f>IF(Tabela1[[#This Row],[STATUS_NEGOCIO]]="Enviar E-mail",1,"")</f>
        <v/>
      </c>
      <c r="U2006" t="str">
        <f>TEXT(Tabela1[[#This Row],[DATA]],"dd/mm/aaaa")</f>
        <v>22/04/2026</v>
      </c>
    </row>
    <row r="2007" spans="1:21" x14ac:dyDescent="0.25">
      <c r="A2007" s="9">
        <v>46134.704930555556</v>
      </c>
      <c r="B2007" t="s">
        <v>19</v>
      </c>
      <c r="C2007" t="s">
        <v>37</v>
      </c>
      <c r="D2007">
        <v>483</v>
      </c>
      <c r="E2007" s="1">
        <v>46660690000106</v>
      </c>
      <c r="F2007">
        <v>483</v>
      </c>
      <c r="G2007" s="10">
        <v>177688770688161</v>
      </c>
      <c r="H2007" t="s">
        <v>594</v>
      </c>
      <c r="I2007">
        <v>3003</v>
      </c>
      <c r="J2007" t="s">
        <v>22</v>
      </c>
      <c r="K2007" t="s">
        <v>23</v>
      </c>
      <c r="L2007" s="5" t="s">
        <v>31</v>
      </c>
      <c r="M2007" t="s">
        <v>284</v>
      </c>
      <c r="N2007" t="s">
        <v>53</v>
      </c>
      <c r="O2007">
        <v>128</v>
      </c>
      <c r="R2007" s="11">
        <v>8.1018518518518516E-5</v>
      </c>
      <c r="S2007" t="s">
        <v>37</v>
      </c>
      <c r="T2007" t="str">
        <f>IF(Tabela1[[#This Row],[STATUS_NEGOCIO]]="Enviar E-mail",1,"")</f>
        <v/>
      </c>
      <c r="U2007" t="str">
        <f>TEXT(Tabela1[[#This Row],[DATA]],"dd/mm/aaaa")</f>
        <v>22/04/2026</v>
      </c>
    </row>
    <row r="2008" spans="1:21" x14ac:dyDescent="0.25">
      <c r="A2008" s="9">
        <v>46134.704965277779</v>
      </c>
      <c r="B2008" t="s">
        <v>19</v>
      </c>
      <c r="C2008" t="s">
        <v>37</v>
      </c>
      <c r="D2008">
        <v>484</v>
      </c>
      <c r="E2008" s="1">
        <v>46884983000177</v>
      </c>
      <c r="F2008">
        <v>484</v>
      </c>
      <c r="G2008" s="10">
        <v>177688770988171</v>
      </c>
      <c r="H2008" t="s">
        <v>595</v>
      </c>
      <c r="I2008">
        <v>3003</v>
      </c>
      <c r="J2008" t="s">
        <v>22</v>
      </c>
      <c r="K2008" t="s">
        <v>23</v>
      </c>
      <c r="L2008" s="5" t="s">
        <v>31</v>
      </c>
      <c r="M2008" t="s">
        <v>284</v>
      </c>
      <c r="N2008" t="s">
        <v>53</v>
      </c>
      <c r="O2008">
        <v>128</v>
      </c>
      <c r="R2008" s="11">
        <v>8.1018518518518516E-5</v>
      </c>
      <c r="S2008" t="s">
        <v>37</v>
      </c>
      <c r="T2008" t="str">
        <f>IF(Tabela1[[#This Row],[STATUS_NEGOCIO]]="Enviar E-mail",1,"")</f>
        <v/>
      </c>
      <c r="U2008" t="str">
        <f>TEXT(Tabela1[[#This Row],[DATA]],"dd/mm/aaaa")</f>
        <v>22/04/2026</v>
      </c>
    </row>
    <row r="2009" spans="1:21" x14ac:dyDescent="0.25">
      <c r="A2009" s="9">
        <v>46134.704976851855</v>
      </c>
      <c r="B2009" t="s">
        <v>19</v>
      </c>
      <c r="C2009" t="s">
        <v>37</v>
      </c>
      <c r="D2009">
        <v>486</v>
      </c>
      <c r="E2009" s="1">
        <v>47197932000130</v>
      </c>
      <c r="F2009">
        <v>486</v>
      </c>
      <c r="G2009" s="10">
        <v>177688771088201</v>
      </c>
      <c r="H2009" t="s">
        <v>427</v>
      </c>
      <c r="I2009">
        <v>3003</v>
      </c>
      <c r="J2009" t="s">
        <v>22</v>
      </c>
      <c r="K2009" t="s">
        <v>23</v>
      </c>
      <c r="L2009" s="5" t="s">
        <v>31</v>
      </c>
      <c r="M2009" t="s">
        <v>284</v>
      </c>
      <c r="N2009" t="s">
        <v>53</v>
      </c>
      <c r="O2009">
        <v>128</v>
      </c>
      <c r="R2009" s="11">
        <v>8.1018518518518516E-5</v>
      </c>
      <c r="S2009" t="s">
        <v>37</v>
      </c>
      <c r="T2009" t="str">
        <f>IF(Tabela1[[#This Row],[STATUS_NEGOCIO]]="Enviar E-mail",1,"")</f>
        <v/>
      </c>
      <c r="U2009" t="str">
        <f>TEXT(Tabela1[[#This Row],[DATA]],"dd/mm/aaaa")</f>
        <v>22/04/2026</v>
      </c>
    </row>
    <row r="2010" spans="1:21" x14ac:dyDescent="0.25">
      <c r="A2010" s="9">
        <v>46134.705069444448</v>
      </c>
      <c r="B2010" t="s">
        <v>19</v>
      </c>
      <c r="C2010" t="s">
        <v>37</v>
      </c>
      <c r="D2010">
        <v>488</v>
      </c>
      <c r="E2010" s="1">
        <v>48319171000104</v>
      </c>
      <c r="F2010">
        <v>488</v>
      </c>
      <c r="G2010" s="10">
        <v>177688771888221</v>
      </c>
      <c r="H2010" t="s">
        <v>598</v>
      </c>
      <c r="I2010">
        <v>3003</v>
      </c>
      <c r="J2010" t="s">
        <v>22</v>
      </c>
      <c r="K2010" t="s">
        <v>23</v>
      </c>
      <c r="L2010" s="5" t="s">
        <v>31</v>
      </c>
      <c r="M2010" t="s">
        <v>284</v>
      </c>
      <c r="N2010" t="s">
        <v>53</v>
      </c>
      <c r="O2010">
        <v>128</v>
      </c>
      <c r="R2010" s="11">
        <v>8.1018518518518516E-5</v>
      </c>
      <c r="S2010" t="s">
        <v>37</v>
      </c>
      <c r="T2010" t="str">
        <f>IF(Tabela1[[#This Row],[STATUS_NEGOCIO]]="Enviar E-mail",1,"")</f>
        <v/>
      </c>
      <c r="U2010" t="str">
        <f>TEXT(Tabela1[[#This Row],[DATA]],"dd/mm/aaaa")</f>
        <v>22/04/2026</v>
      </c>
    </row>
    <row r="2011" spans="1:21" x14ac:dyDescent="0.25">
      <c r="A2011" s="9">
        <v>46134.705081018517</v>
      </c>
      <c r="B2011" t="s">
        <v>19</v>
      </c>
      <c r="C2011" t="s">
        <v>37</v>
      </c>
      <c r="D2011">
        <v>489</v>
      </c>
      <c r="E2011" s="1">
        <v>48361628000149</v>
      </c>
      <c r="F2011">
        <v>489</v>
      </c>
      <c r="G2011" s="10">
        <v>177688771988241</v>
      </c>
      <c r="H2011" t="s">
        <v>599</v>
      </c>
      <c r="I2011">
        <v>3003</v>
      </c>
      <c r="J2011" t="s">
        <v>22</v>
      </c>
      <c r="K2011" t="s">
        <v>23</v>
      </c>
      <c r="L2011" s="5" t="s">
        <v>31</v>
      </c>
      <c r="M2011" t="s">
        <v>284</v>
      </c>
      <c r="N2011" t="s">
        <v>53</v>
      </c>
      <c r="O2011">
        <v>128</v>
      </c>
      <c r="R2011" s="11">
        <v>8.1018518518518516E-5</v>
      </c>
      <c r="S2011" t="s">
        <v>37</v>
      </c>
      <c r="T2011" t="str">
        <f>IF(Tabela1[[#This Row],[STATUS_NEGOCIO]]="Enviar E-mail",1,"")</f>
        <v/>
      </c>
      <c r="U2011" t="str">
        <f>TEXT(Tabela1[[#This Row],[DATA]],"dd/mm/aaaa")</f>
        <v>22/04/2026</v>
      </c>
    </row>
    <row r="2012" spans="1:21" x14ac:dyDescent="0.25">
      <c r="A2012" s="9">
        <v>46134.705104166664</v>
      </c>
      <c r="B2012" t="s">
        <v>19</v>
      </c>
      <c r="C2012" t="s">
        <v>37</v>
      </c>
      <c r="D2012">
        <v>490</v>
      </c>
      <c r="E2012" s="1">
        <v>48762740000191</v>
      </c>
      <c r="F2012">
        <v>490</v>
      </c>
      <c r="G2012" s="10">
        <v>177688772188261</v>
      </c>
      <c r="H2012" t="s">
        <v>217</v>
      </c>
      <c r="I2012">
        <v>3003</v>
      </c>
      <c r="J2012" t="s">
        <v>22</v>
      </c>
      <c r="K2012" t="s">
        <v>23</v>
      </c>
      <c r="L2012" s="5" t="s">
        <v>31</v>
      </c>
      <c r="M2012" t="s">
        <v>284</v>
      </c>
      <c r="N2012" t="s">
        <v>53</v>
      </c>
      <c r="O2012">
        <v>128</v>
      </c>
      <c r="R2012" s="11">
        <v>8.1018518518518516E-5</v>
      </c>
      <c r="S2012" t="s">
        <v>37</v>
      </c>
      <c r="T2012" t="str">
        <f>IF(Tabela1[[#This Row],[STATUS_NEGOCIO]]="Enviar E-mail",1,"")</f>
        <v/>
      </c>
      <c r="U2012" t="str">
        <f>TEXT(Tabela1[[#This Row],[DATA]],"dd/mm/aaaa")</f>
        <v>22/04/2026</v>
      </c>
    </row>
    <row r="2013" spans="1:21" x14ac:dyDescent="0.25">
      <c r="A2013" s="9">
        <v>46134.70511574074</v>
      </c>
      <c r="B2013" t="s">
        <v>19</v>
      </c>
      <c r="C2013" t="s">
        <v>37</v>
      </c>
      <c r="D2013">
        <v>491</v>
      </c>
      <c r="E2013" s="1">
        <v>48793273000167</v>
      </c>
      <c r="F2013">
        <v>491</v>
      </c>
      <c r="G2013" s="10">
        <v>177688772288281</v>
      </c>
      <c r="H2013" t="s">
        <v>600</v>
      </c>
      <c r="I2013">
        <v>3003</v>
      </c>
      <c r="J2013" t="s">
        <v>22</v>
      </c>
      <c r="K2013" t="s">
        <v>23</v>
      </c>
      <c r="L2013" s="5" t="s">
        <v>31</v>
      </c>
      <c r="M2013" t="s">
        <v>284</v>
      </c>
      <c r="N2013" t="s">
        <v>53</v>
      </c>
      <c r="O2013">
        <v>128</v>
      </c>
      <c r="R2013" s="11">
        <v>5.7870370370370373E-5</v>
      </c>
      <c r="S2013" t="s">
        <v>37</v>
      </c>
      <c r="T2013" t="str">
        <f>IF(Tabela1[[#This Row],[STATUS_NEGOCIO]]="Enviar E-mail",1,"")</f>
        <v/>
      </c>
      <c r="U2013" t="str">
        <f>TEXT(Tabela1[[#This Row],[DATA]],"dd/mm/aaaa")</f>
        <v>22/04/2026</v>
      </c>
    </row>
    <row r="2014" spans="1:21" x14ac:dyDescent="0.25">
      <c r="A2014" s="9">
        <v>46134.70511574074</v>
      </c>
      <c r="B2014" t="s">
        <v>19</v>
      </c>
      <c r="C2014" t="s">
        <v>37</v>
      </c>
      <c r="D2014">
        <v>492</v>
      </c>
      <c r="E2014" s="1">
        <v>48968786000161</v>
      </c>
      <c r="F2014">
        <v>492</v>
      </c>
      <c r="G2014" s="10">
        <v>177688772288301</v>
      </c>
      <c r="H2014" t="s">
        <v>601</v>
      </c>
      <c r="I2014">
        <v>3003</v>
      </c>
      <c r="J2014" t="s">
        <v>22</v>
      </c>
      <c r="K2014" t="s">
        <v>23</v>
      </c>
      <c r="L2014" s="5" t="s">
        <v>31</v>
      </c>
      <c r="M2014" t="s">
        <v>284</v>
      </c>
      <c r="N2014" t="s">
        <v>53</v>
      </c>
      <c r="O2014">
        <v>128</v>
      </c>
      <c r="R2014" s="11">
        <v>8.1018518518518516E-5</v>
      </c>
      <c r="S2014" t="s">
        <v>37</v>
      </c>
      <c r="T2014" t="str">
        <f>IF(Tabela1[[#This Row],[STATUS_NEGOCIO]]="Enviar E-mail",1,"")</f>
        <v/>
      </c>
      <c r="U2014" t="str">
        <f>TEXT(Tabela1[[#This Row],[DATA]],"dd/mm/aaaa")</f>
        <v>22/04/2026</v>
      </c>
    </row>
    <row r="2015" spans="1:21" x14ac:dyDescent="0.25">
      <c r="A2015" s="9">
        <v>46134.705127314817</v>
      </c>
      <c r="B2015" t="s">
        <v>19</v>
      </c>
      <c r="C2015" t="s">
        <v>37</v>
      </c>
      <c r="D2015">
        <v>493</v>
      </c>
      <c r="E2015" s="1">
        <v>49039587000131</v>
      </c>
      <c r="F2015">
        <v>493</v>
      </c>
      <c r="G2015" s="10">
        <v>177688772388311</v>
      </c>
      <c r="H2015" t="s">
        <v>602</v>
      </c>
      <c r="I2015">
        <v>3003</v>
      </c>
      <c r="J2015" t="s">
        <v>22</v>
      </c>
      <c r="K2015" t="s">
        <v>23</v>
      </c>
      <c r="L2015" s="5" t="s">
        <v>31</v>
      </c>
      <c r="M2015" t="s">
        <v>284</v>
      </c>
      <c r="N2015" t="s">
        <v>53</v>
      </c>
      <c r="O2015">
        <v>131</v>
      </c>
      <c r="R2015" s="11">
        <v>1.1574074074074073E-5</v>
      </c>
      <c r="S2015" t="s">
        <v>37</v>
      </c>
      <c r="T2015" t="str">
        <f>IF(Tabela1[[#This Row],[STATUS_NEGOCIO]]="Enviar E-mail",1,"")</f>
        <v/>
      </c>
      <c r="U2015" t="str">
        <f>TEXT(Tabela1[[#This Row],[DATA]],"dd/mm/aaaa")</f>
        <v>22/04/2026</v>
      </c>
    </row>
    <row r="2016" spans="1:21" x14ac:dyDescent="0.25">
      <c r="A2016" s="9">
        <v>46134.705208333333</v>
      </c>
      <c r="B2016" t="s">
        <v>19</v>
      </c>
      <c r="C2016" t="s">
        <v>37</v>
      </c>
      <c r="D2016">
        <v>494</v>
      </c>
      <c r="E2016" s="1">
        <v>49310128000140</v>
      </c>
      <c r="F2016">
        <v>494</v>
      </c>
      <c r="G2016" s="10">
        <v>177688773088331</v>
      </c>
      <c r="H2016" t="s">
        <v>269</v>
      </c>
      <c r="I2016">
        <v>3003</v>
      </c>
      <c r="J2016" t="s">
        <v>22</v>
      </c>
      <c r="K2016" t="s">
        <v>23</v>
      </c>
      <c r="L2016" s="5" t="s">
        <v>31</v>
      </c>
      <c r="M2016" t="s">
        <v>284</v>
      </c>
      <c r="N2016" t="s">
        <v>53</v>
      </c>
      <c r="O2016">
        <v>128</v>
      </c>
      <c r="R2016" s="11">
        <v>8.1018518518518516E-5</v>
      </c>
      <c r="S2016" t="s">
        <v>37</v>
      </c>
      <c r="T2016" t="str">
        <f>IF(Tabela1[[#This Row],[STATUS_NEGOCIO]]="Enviar E-mail",1,"")</f>
        <v/>
      </c>
      <c r="U2016" t="str">
        <f>TEXT(Tabela1[[#This Row],[DATA]],"dd/mm/aaaa")</f>
        <v>22/04/2026</v>
      </c>
    </row>
    <row r="2017" spans="1:21" x14ac:dyDescent="0.25">
      <c r="A2017" s="9">
        <v>46134.705254629633</v>
      </c>
      <c r="B2017" t="s">
        <v>19</v>
      </c>
      <c r="C2017" t="s">
        <v>37</v>
      </c>
      <c r="D2017">
        <v>495</v>
      </c>
      <c r="E2017" s="1">
        <v>49419902000156</v>
      </c>
      <c r="F2017">
        <v>495</v>
      </c>
      <c r="G2017" s="10">
        <v>177688773488351</v>
      </c>
      <c r="H2017" t="s">
        <v>603</v>
      </c>
      <c r="I2017">
        <v>3003</v>
      </c>
      <c r="J2017" t="s">
        <v>22</v>
      </c>
      <c r="K2017" t="s">
        <v>23</v>
      </c>
      <c r="L2017" s="5" t="s">
        <v>31</v>
      </c>
      <c r="M2017" t="s">
        <v>284</v>
      </c>
      <c r="N2017" t="s">
        <v>53</v>
      </c>
      <c r="O2017">
        <v>128</v>
      </c>
      <c r="R2017" s="11">
        <v>8.1018518518518516E-5</v>
      </c>
      <c r="S2017" t="s">
        <v>37</v>
      </c>
      <c r="T2017" t="str">
        <f>IF(Tabela1[[#This Row],[STATUS_NEGOCIO]]="Enviar E-mail",1,"")</f>
        <v/>
      </c>
      <c r="U2017" t="str">
        <f>TEXT(Tabela1[[#This Row],[DATA]],"dd/mm/aaaa")</f>
        <v>22/04/2026</v>
      </c>
    </row>
    <row r="2018" spans="1:21" x14ac:dyDescent="0.25">
      <c r="A2018" s="9">
        <v>46134.705266203702</v>
      </c>
      <c r="B2018" t="s">
        <v>19</v>
      </c>
      <c r="C2018" t="s">
        <v>37</v>
      </c>
      <c r="D2018">
        <v>497</v>
      </c>
      <c r="E2018" s="1">
        <v>49606616000108</v>
      </c>
      <c r="F2018">
        <v>497</v>
      </c>
      <c r="G2018" s="10">
        <v>177688773588371</v>
      </c>
      <c r="H2018" t="s">
        <v>604</v>
      </c>
      <c r="I2018">
        <v>3003</v>
      </c>
      <c r="J2018" t="s">
        <v>22</v>
      </c>
      <c r="K2018" t="s">
        <v>23</v>
      </c>
      <c r="L2018" s="5" t="s">
        <v>31</v>
      </c>
      <c r="M2018" t="s">
        <v>284</v>
      </c>
      <c r="N2018" t="s">
        <v>53</v>
      </c>
      <c r="O2018">
        <v>128</v>
      </c>
      <c r="R2018" s="11">
        <v>6.9444444444444444E-5</v>
      </c>
      <c r="S2018" t="s">
        <v>37</v>
      </c>
      <c r="T2018" t="str">
        <f>IF(Tabela1[[#This Row],[STATUS_NEGOCIO]]="Enviar E-mail",1,"")</f>
        <v/>
      </c>
      <c r="U2018" t="str">
        <f>TEXT(Tabela1[[#This Row],[DATA]],"dd/mm/aaaa")</f>
        <v>22/04/2026</v>
      </c>
    </row>
    <row r="2019" spans="1:21" x14ac:dyDescent="0.25">
      <c r="A2019" s="9">
        <v>46134.705324074072</v>
      </c>
      <c r="B2019" t="s">
        <v>19</v>
      </c>
      <c r="C2019" t="s">
        <v>20</v>
      </c>
      <c r="D2019">
        <v>498</v>
      </c>
      <c r="E2019" s="1">
        <v>49876067000183</v>
      </c>
      <c r="F2019">
        <v>498</v>
      </c>
      <c r="G2019" s="10">
        <v>177688774088391</v>
      </c>
      <c r="H2019" t="s">
        <v>185</v>
      </c>
      <c r="I2019">
        <v>3003</v>
      </c>
      <c r="J2019" t="s">
        <v>22</v>
      </c>
      <c r="K2019" t="s">
        <v>23</v>
      </c>
      <c r="L2019" t="s">
        <v>44</v>
      </c>
      <c r="M2019" t="s">
        <v>284</v>
      </c>
      <c r="N2019" t="s">
        <v>26</v>
      </c>
      <c r="O2019">
        <v>16</v>
      </c>
      <c r="R2019" s="11">
        <v>4.6296296296296294E-5</v>
      </c>
      <c r="S2019" t="s">
        <v>37</v>
      </c>
      <c r="T2019" t="str">
        <f>IF(Tabela1[[#This Row],[STATUS_NEGOCIO]]="Enviar E-mail",1,"")</f>
        <v/>
      </c>
      <c r="U2019" t="str">
        <f>TEXT(Tabela1[[#This Row],[DATA]],"dd/mm/aaaa")</f>
        <v>22/04/2026</v>
      </c>
    </row>
    <row r="2020" spans="1:21" x14ac:dyDescent="0.25">
      <c r="A2020" s="9">
        <v>46134.705324074072</v>
      </c>
      <c r="B2020" t="s">
        <v>19</v>
      </c>
      <c r="C2020" t="s">
        <v>37</v>
      </c>
      <c r="D2020">
        <v>499</v>
      </c>
      <c r="E2020" s="1">
        <v>49895195000174</v>
      </c>
      <c r="F2020">
        <v>499</v>
      </c>
      <c r="G2020" s="10">
        <v>177688774088411</v>
      </c>
      <c r="H2020" t="s">
        <v>74</v>
      </c>
      <c r="I2020">
        <v>3003</v>
      </c>
      <c r="J2020" t="s">
        <v>22</v>
      </c>
      <c r="K2020" t="s">
        <v>23</v>
      </c>
      <c r="L2020" s="5" t="s">
        <v>31</v>
      </c>
      <c r="M2020" t="s">
        <v>284</v>
      </c>
      <c r="N2020" t="s">
        <v>53</v>
      </c>
      <c r="O2020">
        <v>128</v>
      </c>
      <c r="R2020" s="11">
        <v>8.1018518518518516E-5</v>
      </c>
      <c r="S2020" t="s">
        <v>37</v>
      </c>
      <c r="T2020" t="str">
        <f>IF(Tabela1[[#This Row],[STATUS_NEGOCIO]]="Enviar E-mail",1,"")</f>
        <v/>
      </c>
      <c r="U2020" t="str">
        <f>TEXT(Tabela1[[#This Row],[DATA]],"dd/mm/aaaa")</f>
        <v>22/04/2026</v>
      </c>
    </row>
    <row r="2021" spans="1:21" x14ac:dyDescent="0.25">
      <c r="A2021" s="9">
        <v>46134.705381944441</v>
      </c>
      <c r="B2021" t="s">
        <v>19</v>
      </c>
      <c r="C2021" t="s">
        <v>37</v>
      </c>
      <c r="D2021">
        <v>500</v>
      </c>
      <c r="E2021" s="1">
        <v>50253555000113</v>
      </c>
      <c r="F2021">
        <v>500</v>
      </c>
      <c r="G2021" s="10">
        <v>177688774588431</v>
      </c>
      <c r="H2021" t="s">
        <v>605</v>
      </c>
      <c r="I2021">
        <v>3003</v>
      </c>
      <c r="J2021" t="s">
        <v>22</v>
      </c>
      <c r="K2021" t="s">
        <v>23</v>
      </c>
      <c r="L2021" s="5" t="s">
        <v>31</v>
      </c>
      <c r="M2021" t="s">
        <v>284</v>
      </c>
      <c r="N2021" t="s">
        <v>53</v>
      </c>
      <c r="O2021">
        <v>128</v>
      </c>
      <c r="R2021" s="11">
        <v>8.1018518518518516E-5</v>
      </c>
      <c r="S2021" t="s">
        <v>37</v>
      </c>
      <c r="T2021" t="str">
        <f>IF(Tabela1[[#This Row],[STATUS_NEGOCIO]]="Enviar E-mail",1,"")</f>
        <v/>
      </c>
      <c r="U2021" t="str">
        <f>TEXT(Tabela1[[#This Row],[DATA]],"dd/mm/aaaa")</f>
        <v>22/04/2026</v>
      </c>
    </row>
    <row r="2022" spans="1:21" x14ac:dyDescent="0.25">
      <c r="A2022" s="9">
        <v>46134.705381944441</v>
      </c>
      <c r="B2022" t="s">
        <v>19</v>
      </c>
      <c r="C2022" t="s">
        <v>37</v>
      </c>
      <c r="D2022">
        <v>501</v>
      </c>
      <c r="E2022" s="1">
        <v>50300325000168</v>
      </c>
      <c r="F2022">
        <v>501</v>
      </c>
      <c r="G2022" s="10">
        <v>177688774588451</v>
      </c>
      <c r="H2022" t="s">
        <v>606</v>
      </c>
      <c r="I2022">
        <v>3003</v>
      </c>
      <c r="J2022" t="s">
        <v>22</v>
      </c>
      <c r="K2022" t="s">
        <v>23</v>
      </c>
      <c r="L2022" s="5" t="s">
        <v>31</v>
      </c>
      <c r="M2022" t="s">
        <v>284</v>
      </c>
      <c r="N2022" t="s">
        <v>53</v>
      </c>
      <c r="O2022">
        <v>128</v>
      </c>
      <c r="R2022" s="11">
        <v>8.1018518518518516E-5</v>
      </c>
      <c r="S2022" t="s">
        <v>37</v>
      </c>
      <c r="T2022" t="str">
        <f>IF(Tabela1[[#This Row],[STATUS_NEGOCIO]]="Enviar E-mail",1,"")</f>
        <v/>
      </c>
      <c r="U2022" t="str">
        <f>TEXT(Tabela1[[#This Row],[DATA]],"dd/mm/aaaa")</f>
        <v>22/04/2026</v>
      </c>
    </row>
    <row r="2023" spans="1:21" x14ac:dyDescent="0.25">
      <c r="A2023" s="9">
        <v>46134.705405092594</v>
      </c>
      <c r="B2023" t="s">
        <v>19</v>
      </c>
      <c r="C2023" t="s">
        <v>37</v>
      </c>
      <c r="D2023">
        <v>502</v>
      </c>
      <c r="E2023" s="1">
        <v>50884703000106</v>
      </c>
      <c r="F2023">
        <v>502</v>
      </c>
      <c r="G2023" s="10">
        <v>177688774788471</v>
      </c>
      <c r="H2023" t="s">
        <v>607</v>
      </c>
      <c r="I2023">
        <v>3003</v>
      </c>
      <c r="J2023" t="s">
        <v>22</v>
      </c>
      <c r="K2023" t="s">
        <v>23</v>
      </c>
      <c r="L2023" s="5" t="s">
        <v>31</v>
      </c>
      <c r="M2023" t="s">
        <v>284</v>
      </c>
      <c r="N2023" t="s">
        <v>53</v>
      </c>
      <c r="O2023">
        <v>128</v>
      </c>
      <c r="R2023" s="11">
        <v>8.1018518518518516E-5</v>
      </c>
      <c r="S2023" t="s">
        <v>37</v>
      </c>
      <c r="T2023" t="str">
        <f>IF(Tabela1[[#This Row],[STATUS_NEGOCIO]]="Enviar E-mail",1,"")</f>
        <v/>
      </c>
      <c r="U2023" t="str">
        <f>TEXT(Tabela1[[#This Row],[DATA]],"dd/mm/aaaa")</f>
        <v>22/04/2026</v>
      </c>
    </row>
    <row r="2024" spans="1:21" x14ac:dyDescent="0.25">
      <c r="A2024" s="9">
        <v>46134.705428240741</v>
      </c>
      <c r="B2024" t="s">
        <v>19</v>
      </c>
      <c r="C2024" t="s">
        <v>37</v>
      </c>
      <c r="D2024">
        <v>504</v>
      </c>
      <c r="E2024" s="1">
        <v>51318932000118</v>
      </c>
      <c r="F2024">
        <v>504</v>
      </c>
      <c r="G2024" s="10">
        <v>177688774988491</v>
      </c>
      <c r="H2024" t="s">
        <v>72</v>
      </c>
      <c r="I2024">
        <v>3003</v>
      </c>
      <c r="J2024" t="s">
        <v>22</v>
      </c>
      <c r="K2024" t="s">
        <v>23</v>
      </c>
      <c r="L2024" s="5" t="s">
        <v>31</v>
      </c>
      <c r="M2024" t="s">
        <v>284</v>
      </c>
      <c r="N2024" t="s">
        <v>53</v>
      </c>
      <c r="O2024">
        <v>128</v>
      </c>
      <c r="R2024" s="11">
        <v>8.1018518518518516E-5</v>
      </c>
      <c r="S2024" t="s">
        <v>37</v>
      </c>
      <c r="T2024" t="str">
        <f>IF(Tabela1[[#This Row],[STATUS_NEGOCIO]]="Enviar E-mail",1,"")</f>
        <v/>
      </c>
      <c r="U2024" t="str">
        <f>TEXT(Tabela1[[#This Row],[DATA]],"dd/mm/aaaa")</f>
        <v>22/04/2026</v>
      </c>
    </row>
    <row r="2025" spans="1:21" x14ac:dyDescent="0.25">
      <c r="A2025" s="9">
        <v>46134.705439814818</v>
      </c>
      <c r="B2025" t="s">
        <v>19</v>
      </c>
      <c r="C2025" t="s">
        <v>37</v>
      </c>
      <c r="D2025">
        <v>505</v>
      </c>
      <c r="E2025" s="1">
        <v>51780829000195</v>
      </c>
      <c r="F2025">
        <v>505</v>
      </c>
      <c r="G2025" s="10">
        <v>177688775088511</v>
      </c>
      <c r="H2025" t="s">
        <v>132</v>
      </c>
      <c r="I2025">
        <v>3003</v>
      </c>
      <c r="J2025" t="s">
        <v>22</v>
      </c>
      <c r="K2025" t="s">
        <v>23</v>
      </c>
      <c r="L2025" s="5" t="s">
        <v>31</v>
      </c>
      <c r="M2025" t="s">
        <v>284</v>
      </c>
      <c r="N2025" t="s">
        <v>53</v>
      </c>
      <c r="O2025">
        <v>128</v>
      </c>
      <c r="R2025" s="11">
        <v>8.1018518518518516E-5</v>
      </c>
      <c r="S2025" t="s">
        <v>37</v>
      </c>
      <c r="T2025" t="str">
        <f>IF(Tabela1[[#This Row],[STATUS_NEGOCIO]]="Enviar E-mail",1,"")</f>
        <v/>
      </c>
      <c r="U2025" t="str">
        <f>TEXT(Tabela1[[#This Row],[DATA]],"dd/mm/aaaa")</f>
        <v>22/04/2026</v>
      </c>
    </row>
    <row r="2026" spans="1:21" x14ac:dyDescent="0.25">
      <c r="A2026" s="9">
        <v>46134.705462962964</v>
      </c>
      <c r="B2026" t="s">
        <v>19</v>
      </c>
      <c r="C2026" t="s">
        <v>27</v>
      </c>
      <c r="D2026">
        <v>506</v>
      </c>
      <c r="E2026" s="1">
        <v>52007964000165</v>
      </c>
      <c r="F2026">
        <v>506</v>
      </c>
      <c r="G2026" s="10">
        <v>177688775288541</v>
      </c>
      <c r="H2026" t="s">
        <v>187</v>
      </c>
      <c r="I2026">
        <v>3003</v>
      </c>
      <c r="J2026" t="s">
        <v>22</v>
      </c>
      <c r="K2026" t="s">
        <v>23</v>
      </c>
      <c r="L2026" t="s">
        <v>265</v>
      </c>
      <c r="M2026" t="s">
        <v>284</v>
      </c>
      <c r="N2026" t="s">
        <v>26</v>
      </c>
      <c r="O2026">
        <v>16</v>
      </c>
      <c r="R2026" s="11">
        <v>4.6296296296296294E-5</v>
      </c>
      <c r="S2026" s="11">
        <v>1.1574074074074073E-5</v>
      </c>
      <c r="T2026" t="str">
        <f>IF(Tabela1[[#This Row],[STATUS_NEGOCIO]]="Enviar E-mail",1,"")</f>
        <v/>
      </c>
      <c r="U2026" t="str">
        <f>TEXT(Tabela1[[#This Row],[DATA]],"dd/mm/aaaa")</f>
        <v>22/04/2026</v>
      </c>
    </row>
    <row r="2027" spans="1:21" x14ac:dyDescent="0.25">
      <c r="A2027" s="9">
        <v>46134.70548611111</v>
      </c>
      <c r="B2027" t="s">
        <v>19</v>
      </c>
      <c r="C2027" t="s">
        <v>37</v>
      </c>
      <c r="D2027">
        <v>507</v>
      </c>
      <c r="E2027" s="1">
        <v>53060069000177</v>
      </c>
      <c r="F2027">
        <v>507</v>
      </c>
      <c r="G2027" s="10">
        <v>177688775488561</v>
      </c>
      <c r="H2027" t="s">
        <v>608</v>
      </c>
      <c r="I2027">
        <v>3003</v>
      </c>
      <c r="J2027" t="s">
        <v>22</v>
      </c>
      <c r="K2027" t="s">
        <v>23</v>
      </c>
      <c r="L2027" s="5" t="s">
        <v>31</v>
      </c>
      <c r="M2027" t="s">
        <v>284</v>
      </c>
      <c r="N2027" t="s">
        <v>53</v>
      </c>
      <c r="O2027">
        <v>128</v>
      </c>
      <c r="R2027" s="11">
        <v>8.1018518518518516E-5</v>
      </c>
      <c r="S2027" t="s">
        <v>37</v>
      </c>
      <c r="T2027" t="str">
        <f>IF(Tabela1[[#This Row],[STATUS_NEGOCIO]]="Enviar E-mail",1,"")</f>
        <v/>
      </c>
      <c r="U2027" t="str">
        <f>TEXT(Tabela1[[#This Row],[DATA]],"dd/mm/aaaa")</f>
        <v>22/04/2026</v>
      </c>
    </row>
    <row r="2028" spans="1:21" x14ac:dyDescent="0.25">
      <c r="A2028" s="9">
        <v>46134.705520833333</v>
      </c>
      <c r="B2028" t="s">
        <v>19</v>
      </c>
      <c r="C2028" t="s">
        <v>37</v>
      </c>
      <c r="D2028">
        <v>509</v>
      </c>
      <c r="E2028" s="1">
        <v>53116705000135</v>
      </c>
      <c r="F2028">
        <v>509</v>
      </c>
      <c r="G2028" s="10">
        <v>177688775788581</v>
      </c>
      <c r="H2028" t="s">
        <v>610</v>
      </c>
      <c r="I2028">
        <v>3003</v>
      </c>
      <c r="J2028" t="s">
        <v>22</v>
      </c>
      <c r="K2028" t="s">
        <v>23</v>
      </c>
      <c r="L2028" s="5" t="s">
        <v>31</v>
      </c>
      <c r="M2028" t="s">
        <v>284</v>
      </c>
      <c r="N2028" t="s">
        <v>53</v>
      </c>
      <c r="O2028">
        <v>128</v>
      </c>
      <c r="R2028" s="11">
        <v>8.1018518518518516E-5</v>
      </c>
      <c r="S2028" t="s">
        <v>37</v>
      </c>
      <c r="T2028" t="str">
        <f>IF(Tabela1[[#This Row],[STATUS_NEGOCIO]]="Enviar E-mail",1,"")</f>
        <v/>
      </c>
      <c r="U2028" t="str">
        <f>TEXT(Tabela1[[#This Row],[DATA]],"dd/mm/aaaa")</f>
        <v>22/04/2026</v>
      </c>
    </row>
    <row r="2029" spans="1:21" x14ac:dyDescent="0.25">
      <c r="A2029" s="9">
        <v>46134.705543981479</v>
      </c>
      <c r="B2029" t="s">
        <v>19</v>
      </c>
      <c r="C2029" t="s">
        <v>37</v>
      </c>
      <c r="D2029">
        <v>510</v>
      </c>
      <c r="E2029" s="1">
        <v>53135563000153</v>
      </c>
      <c r="F2029">
        <v>510</v>
      </c>
      <c r="G2029" s="10">
        <v>177688775988601</v>
      </c>
      <c r="H2029" t="s">
        <v>611</v>
      </c>
      <c r="I2029">
        <v>3003</v>
      </c>
      <c r="J2029" t="s">
        <v>22</v>
      </c>
      <c r="K2029" t="s">
        <v>23</v>
      </c>
      <c r="L2029" s="5" t="s">
        <v>31</v>
      </c>
      <c r="M2029" t="s">
        <v>284</v>
      </c>
      <c r="N2029" t="s">
        <v>53</v>
      </c>
      <c r="O2029">
        <v>131</v>
      </c>
      <c r="R2029" s="11">
        <v>2.3148148148148147E-5</v>
      </c>
      <c r="S2029" t="s">
        <v>37</v>
      </c>
      <c r="T2029" t="str">
        <f>IF(Tabela1[[#This Row],[STATUS_NEGOCIO]]="Enviar E-mail",1,"")</f>
        <v/>
      </c>
      <c r="U2029" t="str">
        <f>TEXT(Tabela1[[#This Row],[DATA]],"dd/mm/aaaa")</f>
        <v>22/04/2026</v>
      </c>
    </row>
    <row r="2030" spans="1:21" x14ac:dyDescent="0.25">
      <c r="A2030" s="9">
        <v>46134.705555555556</v>
      </c>
      <c r="B2030" t="s">
        <v>19</v>
      </c>
      <c r="C2030" t="s">
        <v>37</v>
      </c>
      <c r="D2030">
        <v>511</v>
      </c>
      <c r="E2030" s="1">
        <v>53159230000164</v>
      </c>
      <c r="F2030">
        <v>511</v>
      </c>
      <c r="G2030" s="10">
        <v>177688776088621</v>
      </c>
      <c r="H2030" t="s">
        <v>612</v>
      </c>
      <c r="I2030">
        <v>3003</v>
      </c>
      <c r="J2030" t="s">
        <v>22</v>
      </c>
      <c r="K2030" t="s">
        <v>23</v>
      </c>
      <c r="L2030" s="5" t="s">
        <v>31</v>
      </c>
      <c r="M2030" t="s">
        <v>284</v>
      </c>
      <c r="N2030" t="s">
        <v>53</v>
      </c>
      <c r="O2030">
        <v>147</v>
      </c>
      <c r="R2030" s="11">
        <v>8.1018518518518516E-5</v>
      </c>
      <c r="S2030" t="s">
        <v>37</v>
      </c>
      <c r="T2030" t="str">
        <f>IF(Tabela1[[#This Row],[STATUS_NEGOCIO]]="Enviar E-mail",1,"")</f>
        <v/>
      </c>
      <c r="U2030" t="str">
        <f>TEXT(Tabela1[[#This Row],[DATA]],"dd/mm/aaaa")</f>
        <v>22/04/2026</v>
      </c>
    </row>
    <row r="2031" spans="1:21" x14ac:dyDescent="0.25">
      <c r="A2031" s="9">
        <v>46134.705648148149</v>
      </c>
      <c r="B2031" t="s">
        <v>19</v>
      </c>
      <c r="C2031" t="s">
        <v>37</v>
      </c>
      <c r="D2031">
        <v>512</v>
      </c>
      <c r="E2031" s="1">
        <v>53380505000195</v>
      </c>
      <c r="F2031">
        <v>512</v>
      </c>
      <c r="G2031" s="10">
        <v>177688776888691</v>
      </c>
      <c r="H2031" t="s">
        <v>239</v>
      </c>
      <c r="I2031">
        <v>3003</v>
      </c>
      <c r="J2031" t="s">
        <v>22</v>
      </c>
      <c r="K2031" t="s">
        <v>23</v>
      </c>
      <c r="L2031" s="5" t="s">
        <v>31</v>
      </c>
      <c r="M2031" t="s">
        <v>284</v>
      </c>
      <c r="N2031" t="s">
        <v>53</v>
      </c>
      <c r="O2031">
        <v>128</v>
      </c>
      <c r="R2031" s="11">
        <v>8.1018518518518516E-5</v>
      </c>
      <c r="S2031" t="s">
        <v>37</v>
      </c>
      <c r="T2031" t="str">
        <f>IF(Tabela1[[#This Row],[STATUS_NEGOCIO]]="Enviar E-mail",1,"")</f>
        <v/>
      </c>
      <c r="U2031" t="str">
        <f>TEXT(Tabela1[[#This Row],[DATA]],"dd/mm/aaaa")</f>
        <v>22/04/2026</v>
      </c>
    </row>
    <row r="2032" spans="1:21" x14ac:dyDescent="0.25">
      <c r="A2032" s="9">
        <v>46134.705659722225</v>
      </c>
      <c r="B2032" t="s">
        <v>19</v>
      </c>
      <c r="C2032" t="s">
        <v>37</v>
      </c>
      <c r="D2032">
        <v>513</v>
      </c>
      <c r="E2032" s="1">
        <v>53472383000167</v>
      </c>
      <c r="F2032">
        <v>513</v>
      </c>
      <c r="G2032" s="10">
        <v>177688776988721</v>
      </c>
      <c r="H2032" t="s">
        <v>613</v>
      </c>
      <c r="I2032">
        <v>3003</v>
      </c>
      <c r="J2032" t="s">
        <v>22</v>
      </c>
      <c r="K2032" t="s">
        <v>23</v>
      </c>
      <c r="L2032" s="5" t="s">
        <v>31</v>
      </c>
      <c r="M2032" t="s">
        <v>284</v>
      </c>
      <c r="N2032" t="s">
        <v>53</v>
      </c>
      <c r="O2032">
        <v>128</v>
      </c>
      <c r="R2032" s="11">
        <v>8.1018518518518516E-5</v>
      </c>
      <c r="S2032" t="s">
        <v>37</v>
      </c>
      <c r="T2032" t="str">
        <f>IF(Tabela1[[#This Row],[STATUS_NEGOCIO]]="Enviar E-mail",1,"")</f>
        <v/>
      </c>
      <c r="U2032" t="str">
        <f>TEXT(Tabela1[[#This Row],[DATA]],"dd/mm/aaaa")</f>
        <v>22/04/2026</v>
      </c>
    </row>
    <row r="2033" spans="1:21" x14ac:dyDescent="0.25">
      <c r="A2033" s="9">
        <v>46134.705682870372</v>
      </c>
      <c r="B2033" t="s">
        <v>19</v>
      </c>
      <c r="C2033" t="s">
        <v>37</v>
      </c>
      <c r="D2033">
        <v>515</v>
      </c>
      <c r="E2033" s="1">
        <v>54478765000160</v>
      </c>
      <c r="F2033">
        <v>515</v>
      </c>
      <c r="G2033" s="10">
        <v>177688777188771</v>
      </c>
      <c r="H2033" t="s">
        <v>34</v>
      </c>
      <c r="I2033">
        <v>3003</v>
      </c>
      <c r="J2033" t="s">
        <v>22</v>
      </c>
      <c r="K2033" t="s">
        <v>23</v>
      </c>
      <c r="L2033" s="5" t="s">
        <v>31</v>
      </c>
      <c r="M2033" t="s">
        <v>284</v>
      </c>
      <c r="N2033" t="s">
        <v>53</v>
      </c>
      <c r="O2033">
        <v>128</v>
      </c>
      <c r="R2033" s="11">
        <v>8.1018518518518516E-5</v>
      </c>
      <c r="S2033" t="s">
        <v>37</v>
      </c>
      <c r="T2033" t="str">
        <f>IF(Tabela1[[#This Row],[STATUS_NEGOCIO]]="Enviar E-mail",1,"")</f>
        <v/>
      </c>
      <c r="U2033" t="str">
        <f>TEXT(Tabela1[[#This Row],[DATA]],"dd/mm/aaaa")</f>
        <v>22/04/2026</v>
      </c>
    </row>
    <row r="2034" spans="1:21" x14ac:dyDescent="0.25">
      <c r="A2034" s="9">
        <v>46134.705694444441</v>
      </c>
      <c r="B2034" t="s">
        <v>19</v>
      </c>
      <c r="C2034" t="s">
        <v>37</v>
      </c>
      <c r="D2034">
        <v>516</v>
      </c>
      <c r="E2034" s="1">
        <v>55143066000122</v>
      </c>
      <c r="F2034">
        <v>516</v>
      </c>
      <c r="G2034" s="10">
        <v>177688777288791</v>
      </c>
      <c r="H2034" t="s">
        <v>92</v>
      </c>
      <c r="I2034">
        <v>3003</v>
      </c>
      <c r="J2034" t="s">
        <v>22</v>
      </c>
      <c r="K2034" t="s">
        <v>23</v>
      </c>
      <c r="L2034" s="5" t="s">
        <v>31</v>
      </c>
      <c r="M2034" t="s">
        <v>284</v>
      </c>
      <c r="N2034" t="s">
        <v>53</v>
      </c>
      <c r="O2034">
        <v>128</v>
      </c>
      <c r="R2034" s="11">
        <v>8.1018518518518516E-5</v>
      </c>
      <c r="S2034" t="s">
        <v>37</v>
      </c>
      <c r="T2034" t="str">
        <f>IF(Tabela1[[#This Row],[STATUS_NEGOCIO]]="Enviar E-mail",1,"")</f>
        <v/>
      </c>
      <c r="U2034" t="str">
        <f>TEXT(Tabela1[[#This Row],[DATA]],"dd/mm/aaaa")</f>
        <v>22/04/2026</v>
      </c>
    </row>
    <row r="2035" spans="1:21" x14ac:dyDescent="0.25">
      <c r="A2035" s="9">
        <v>46134.705763888887</v>
      </c>
      <c r="B2035" t="s">
        <v>19</v>
      </c>
      <c r="C2035" t="s">
        <v>37</v>
      </c>
      <c r="D2035">
        <v>517</v>
      </c>
      <c r="E2035" s="1">
        <v>55385904000174</v>
      </c>
      <c r="F2035">
        <v>517</v>
      </c>
      <c r="G2035" s="10">
        <v>177688777888821</v>
      </c>
      <c r="H2035" t="s">
        <v>589</v>
      </c>
      <c r="I2035">
        <v>3003</v>
      </c>
      <c r="J2035" t="s">
        <v>22</v>
      </c>
      <c r="K2035" t="s">
        <v>23</v>
      </c>
      <c r="L2035" s="5" t="s">
        <v>31</v>
      </c>
      <c r="M2035" t="s">
        <v>284</v>
      </c>
      <c r="N2035" t="s">
        <v>53</v>
      </c>
      <c r="O2035">
        <v>147</v>
      </c>
      <c r="R2035" s="11">
        <v>8.1018518518518516E-5</v>
      </c>
      <c r="S2035" t="s">
        <v>37</v>
      </c>
      <c r="T2035" t="str">
        <f>IF(Tabela1[[#This Row],[STATUS_NEGOCIO]]="Enviar E-mail",1,"")</f>
        <v/>
      </c>
      <c r="U2035" t="str">
        <f>TEXT(Tabela1[[#This Row],[DATA]],"dd/mm/aaaa")</f>
        <v>22/04/2026</v>
      </c>
    </row>
    <row r="2036" spans="1:21" x14ac:dyDescent="0.25">
      <c r="A2036" s="9">
        <v>46134.705763888887</v>
      </c>
      <c r="B2036" t="s">
        <v>19</v>
      </c>
      <c r="C2036" t="s">
        <v>37</v>
      </c>
      <c r="D2036">
        <v>518</v>
      </c>
      <c r="E2036" s="1">
        <v>55573642000171</v>
      </c>
      <c r="F2036">
        <v>518</v>
      </c>
      <c r="G2036" s="10">
        <v>177688777888831</v>
      </c>
      <c r="H2036" t="s">
        <v>66</v>
      </c>
      <c r="I2036">
        <v>3003</v>
      </c>
      <c r="J2036" t="s">
        <v>22</v>
      </c>
      <c r="K2036" t="s">
        <v>23</v>
      </c>
      <c r="L2036" s="5" t="s">
        <v>31</v>
      </c>
      <c r="M2036" t="s">
        <v>284</v>
      </c>
      <c r="N2036" t="s">
        <v>53</v>
      </c>
      <c r="O2036">
        <v>147</v>
      </c>
      <c r="R2036" s="11">
        <v>8.1018518518518516E-5</v>
      </c>
      <c r="S2036" t="s">
        <v>37</v>
      </c>
      <c r="T2036" t="str">
        <f>IF(Tabela1[[#This Row],[STATUS_NEGOCIO]]="Enviar E-mail",1,"")</f>
        <v/>
      </c>
      <c r="U2036" t="str">
        <f>TEXT(Tabela1[[#This Row],[DATA]],"dd/mm/aaaa")</f>
        <v>22/04/2026</v>
      </c>
    </row>
    <row r="2037" spans="1:21" x14ac:dyDescent="0.25">
      <c r="A2037" s="9">
        <v>46134.705810185187</v>
      </c>
      <c r="B2037" t="s">
        <v>19</v>
      </c>
      <c r="C2037" t="s">
        <v>37</v>
      </c>
      <c r="D2037">
        <v>519</v>
      </c>
      <c r="E2037" s="1">
        <v>55789121000156</v>
      </c>
      <c r="F2037">
        <v>519</v>
      </c>
      <c r="G2037" s="10">
        <v>177688778288851</v>
      </c>
      <c r="H2037" t="s">
        <v>615</v>
      </c>
      <c r="I2037">
        <v>3003</v>
      </c>
      <c r="J2037" t="s">
        <v>22</v>
      </c>
      <c r="K2037" t="s">
        <v>23</v>
      </c>
      <c r="L2037" s="5" t="s">
        <v>31</v>
      </c>
      <c r="M2037" t="s">
        <v>284</v>
      </c>
      <c r="N2037" t="s">
        <v>53</v>
      </c>
      <c r="O2037">
        <v>128</v>
      </c>
      <c r="R2037" s="11">
        <v>8.1018518518518516E-5</v>
      </c>
      <c r="S2037" t="s">
        <v>37</v>
      </c>
      <c r="T2037" t="str">
        <f>IF(Tabela1[[#This Row],[STATUS_NEGOCIO]]="Enviar E-mail",1,"")</f>
        <v/>
      </c>
      <c r="U2037" t="str">
        <f>TEXT(Tabela1[[#This Row],[DATA]],"dd/mm/aaaa")</f>
        <v>22/04/2026</v>
      </c>
    </row>
    <row r="2038" spans="1:21" x14ac:dyDescent="0.25">
      <c r="A2038" s="9">
        <v>46134.705868055556</v>
      </c>
      <c r="B2038" t="s">
        <v>19</v>
      </c>
      <c r="C2038" t="s">
        <v>37</v>
      </c>
      <c r="D2038">
        <v>520</v>
      </c>
      <c r="E2038" s="1">
        <v>56062863000148</v>
      </c>
      <c r="F2038">
        <v>520</v>
      </c>
      <c r="G2038" s="10">
        <v>177688778788871</v>
      </c>
      <c r="H2038" t="s">
        <v>242</v>
      </c>
      <c r="I2038">
        <v>3003</v>
      </c>
      <c r="J2038" t="s">
        <v>22</v>
      </c>
      <c r="K2038" t="s">
        <v>23</v>
      </c>
      <c r="L2038" s="5" t="s">
        <v>31</v>
      </c>
      <c r="M2038" t="s">
        <v>284</v>
      </c>
      <c r="N2038" t="s">
        <v>53</v>
      </c>
      <c r="O2038">
        <v>128</v>
      </c>
      <c r="R2038" s="11">
        <v>6.9444444444444444E-5</v>
      </c>
      <c r="S2038" t="s">
        <v>37</v>
      </c>
      <c r="T2038" t="str">
        <f>IF(Tabela1[[#This Row],[STATUS_NEGOCIO]]="Enviar E-mail",1,"")</f>
        <v/>
      </c>
      <c r="U2038" t="str">
        <f>TEXT(Tabela1[[#This Row],[DATA]],"dd/mm/aaaa")</f>
        <v>22/04/2026</v>
      </c>
    </row>
    <row r="2039" spans="1:21" x14ac:dyDescent="0.25">
      <c r="A2039" s="9">
        <v>46134.705868055556</v>
      </c>
      <c r="B2039" t="s">
        <v>19</v>
      </c>
      <c r="C2039" t="s">
        <v>20</v>
      </c>
      <c r="D2039">
        <v>521</v>
      </c>
      <c r="E2039" s="1">
        <v>56199093000180</v>
      </c>
      <c r="F2039">
        <v>521</v>
      </c>
      <c r="G2039" s="10">
        <v>177688778788891</v>
      </c>
      <c r="H2039" t="s">
        <v>182</v>
      </c>
      <c r="I2039">
        <v>3003</v>
      </c>
      <c r="J2039" t="s">
        <v>22</v>
      </c>
      <c r="K2039" t="s">
        <v>23</v>
      </c>
      <c r="L2039" t="s">
        <v>44</v>
      </c>
      <c r="M2039" t="s">
        <v>284</v>
      </c>
      <c r="N2039" t="s">
        <v>26</v>
      </c>
      <c r="O2039">
        <v>16</v>
      </c>
      <c r="R2039" s="11">
        <v>1.0416666666666667E-4</v>
      </c>
      <c r="S2039" s="11">
        <v>5.7870370370370373E-5</v>
      </c>
      <c r="T2039" t="str">
        <f>IF(Tabela1[[#This Row],[STATUS_NEGOCIO]]="Enviar E-mail",1,"")</f>
        <v/>
      </c>
      <c r="U2039" t="str">
        <f>TEXT(Tabela1[[#This Row],[DATA]],"dd/mm/aaaa")</f>
        <v>22/04/2026</v>
      </c>
    </row>
    <row r="2040" spans="1:21" x14ac:dyDescent="0.25">
      <c r="A2040" s="9">
        <v>46134.705925925926</v>
      </c>
      <c r="B2040" t="s">
        <v>19</v>
      </c>
      <c r="C2040" t="s">
        <v>37</v>
      </c>
      <c r="D2040">
        <v>522</v>
      </c>
      <c r="E2040" s="1">
        <v>56227513000194</v>
      </c>
      <c r="F2040">
        <v>522</v>
      </c>
      <c r="G2040" s="10">
        <v>177688779288911</v>
      </c>
      <c r="H2040" t="s">
        <v>616</v>
      </c>
      <c r="I2040">
        <v>3003</v>
      </c>
      <c r="J2040" t="s">
        <v>22</v>
      </c>
      <c r="K2040" t="s">
        <v>23</v>
      </c>
      <c r="L2040" s="5" t="s">
        <v>31</v>
      </c>
      <c r="M2040" t="s">
        <v>284</v>
      </c>
      <c r="N2040" t="s">
        <v>53</v>
      </c>
      <c r="O2040">
        <v>128</v>
      </c>
      <c r="R2040" s="11">
        <v>6.9444444444444444E-5</v>
      </c>
      <c r="S2040" t="s">
        <v>37</v>
      </c>
      <c r="T2040" t="str">
        <f>IF(Tabela1[[#This Row],[STATUS_NEGOCIO]]="Enviar E-mail",1,"")</f>
        <v/>
      </c>
      <c r="U2040" t="str">
        <f>TEXT(Tabela1[[#This Row],[DATA]],"dd/mm/aaaa")</f>
        <v>22/04/2026</v>
      </c>
    </row>
    <row r="2041" spans="1:21" x14ac:dyDescent="0.25">
      <c r="A2041" s="9">
        <v>46134.705937500003</v>
      </c>
      <c r="B2041" t="s">
        <v>19</v>
      </c>
      <c r="C2041" t="s">
        <v>37</v>
      </c>
      <c r="D2041">
        <v>523</v>
      </c>
      <c r="E2041" s="1">
        <v>56932666000132</v>
      </c>
      <c r="F2041">
        <v>523</v>
      </c>
      <c r="G2041" s="10">
        <v>177688779388931</v>
      </c>
      <c r="H2041" t="s">
        <v>617</v>
      </c>
      <c r="I2041">
        <v>3003</v>
      </c>
      <c r="J2041" t="s">
        <v>22</v>
      </c>
      <c r="K2041" t="s">
        <v>23</v>
      </c>
      <c r="L2041" s="5" t="s">
        <v>31</v>
      </c>
      <c r="M2041" t="s">
        <v>284</v>
      </c>
      <c r="N2041" t="s">
        <v>53</v>
      </c>
      <c r="O2041">
        <v>147</v>
      </c>
      <c r="R2041" s="11">
        <v>8.1018518518518516E-5</v>
      </c>
      <c r="S2041" t="s">
        <v>37</v>
      </c>
      <c r="T2041" t="str">
        <f>IF(Tabela1[[#This Row],[STATUS_NEGOCIO]]="Enviar E-mail",1,"")</f>
        <v/>
      </c>
      <c r="U2041" t="str">
        <f>TEXT(Tabela1[[#This Row],[DATA]],"dd/mm/aaaa")</f>
        <v>22/04/2026</v>
      </c>
    </row>
    <row r="2042" spans="1:21" x14ac:dyDescent="0.25">
      <c r="A2042" s="9">
        <v>46134.705995370372</v>
      </c>
      <c r="B2042" t="s">
        <v>19</v>
      </c>
      <c r="C2042" t="s">
        <v>37</v>
      </c>
      <c r="D2042">
        <v>524</v>
      </c>
      <c r="E2042" s="1">
        <v>57170375000460</v>
      </c>
      <c r="F2042">
        <v>524</v>
      </c>
      <c r="G2042" s="10">
        <v>177688779888951</v>
      </c>
      <c r="H2042" t="s">
        <v>618</v>
      </c>
      <c r="I2042">
        <v>3003</v>
      </c>
      <c r="J2042" t="s">
        <v>22</v>
      </c>
      <c r="K2042" t="s">
        <v>23</v>
      </c>
      <c r="L2042" s="5" t="s">
        <v>31</v>
      </c>
      <c r="M2042" t="s">
        <v>284</v>
      </c>
      <c r="N2042" t="s">
        <v>53</v>
      </c>
      <c r="O2042">
        <v>128</v>
      </c>
      <c r="R2042" s="11">
        <v>8.1018518518518516E-5</v>
      </c>
      <c r="S2042" t="s">
        <v>37</v>
      </c>
      <c r="T2042" t="str">
        <f>IF(Tabela1[[#This Row],[STATUS_NEGOCIO]]="Enviar E-mail",1,"")</f>
        <v/>
      </c>
      <c r="U2042" t="str">
        <f>TEXT(Tabela1[[#This Row],[DATA]],"dd/mm/aaaa")</f>
        <v>22/04/2026</v>
      </c>
    </row>
    <row r="2043" spans="1:21" x14ac:dyDescent="0.25">
      <c r="A2043" s="9">
        <v>46134.706006944441</v>
      </c>
      <c r="B2043" t="s">
        <v>19</v>
      </c>
      <c r="C2043" t="s">
        <v>37</v>
      </c>
      <c r="D2043">
        <v>525</v>
      </c>
      <c r="E2043" s="1">
        <v>57188457000199</v>
      </c>
      <c r="F2043">
        <v>525</v>
      </c>
      <c r="G2043" s="10">
        <v>177688779988971</v>
      </c>
      <c r="H2043" t="s">
        <v>198</v>
      </c>
      <c r="I2043">
        <v>3003</v>
      </c>
      <c r="J2043" t="s">
        <v>22</v>
      </c>
      <c r="K2043" t="s">
        <v>23</v>
      </c>
      <c r="L2043" s="5" t="s">
        <v>31</v>
      </c>
      <c r="M2043" t="s">
        <v>284</v>
      </c>
      <c r="N2043" t="s">
        <v>53</v>
      </c>
      <c r="O2043">
        <v>128</v>
      </c>
      <c r="R2043" s="11">
        <v>8.1018518518518516E-5</v>
      </c>
      <c r="S2043" t="s">
        <v>37</v>
      </c>
      <c r="T2043" t="str">
        <f>IF(Tabela1[[#This Row],[STATUS_NEGOCIO]]="Enviar E-mail",1,"")</f>
        <v/>
      </c>
      <c r="U2043" t="str">
        <f>TEXT(Tabela1[[#This Row],[DATA]],"dd/mm/aaaa")</f>
        <v>22/04/2026</v>
      </c>
    </row>
    <row r="2044" spans="1:21" x14ac:dyDescent="0.25">
      <c r="A2044" s="9">
        <v>46134.706099537034</v>
      </c>
      <c r="B2044" t="s">
        <v>19</v>
      </c>
      <c r="C2044" t="s">
        <v>37</v>
      </c>
      <c r="D2044">
        <v>526</v>
      </c>
      <c r="E2044" s="1">
        <v>57213863000164</v>
      </c>
      <c r="F2044">
        <v>526</v>
      </c>
      <c r="G2044" s="10">
        <v>177688780788991</v>
      </c>
      <c r="H2044" t="s">
        <v>91</v>
      </c>
      <c r="I2044">
        <v>3003</v>
      </c>
      <c r="J2044" t="s">
        <v>22</v>
      </c>
      <c r="K2044" t="s">
        <v>23</v>
      </c>
      <c r="L2044" s="5" t="s">
        <v>31</v>
      </c>
      <c r="M2044" t="s">
        <v>284</v>
      </c>
      <c r="N2044" t="s">
        <v>53</v>
      </c>
      <c r="O2044">
        <v>128</v>
      </c>
      <c r="R2044" s="11">
        <v>6.9444444444444444E-5</v>
      </c>
      <c r="S2044" t="s">
        <v>37</v>
      </c>
      <c r="T2044" t="str">
        <f>IF(Tabela1[[#This Row],[STATUS_NEGOCIO]]="Enviar E-mail",1,"")</f>
        <v/>
      </c>
      <c r="U2044" t="str">
        <f>TEXT(Tabela1[[#This Row],[DATA]],"dd/mm/aaaa")</f>
        <v>22/04/2026</v>
      </c>
    </row>
    <row r="2045" spans="1:21" x14ac:dyDescent="0.25">
      <c r="A2045" s="9">
        <v>46134.70616898148</v>
      </c>
      <c r="B2045" t="s">
        <v>19</v>
      </c>
      <c r="C2045" t="s">
        <v>37</v>
      </c>
      <c r="D2045">
        <v>527</v>
      </c>
      <c r="E2045" s="1">
        <v>57348787000102</v>
      </c>
      <c r="F2045">
        <v>527</v>
      </c>
      <c r="G2045" s="10">
        <v>177688781389011</v>
      </c>
      <c r="H2045" t="s">
        <v>619</v>
      </c>
      <c r="I2045">
        <v>3003</v>
      </c>
      <c r="J2045" t="s">
        <v>22</v>
      </c>
      <c r="K2045" t="s">
        <v>23</v>
      </c>
      <c r="L2045" s="5" t="s">
        <v>31</v>
      </c>
      <c r="M2045" t="s">
        <v>284</v>
      </c>
      <c r="N2045" t="s">
        <v>53</v>
      </c>
      <c r="O2045">
        <v>128</v>
      </c>
      <c r="R2045" s="11">
        <v>8.1018518518518516E-5</v>
      </c>
      <c r="S2045" t="s">
        <v>37</v>
      </c>
      <c r="T2045" t="str">
        <f>IF(Tabela1[[#This Row],[STATUS_NEGOCIO]]="Enviar E-mail",1,"")</f>
        <v/>
      </c>
      <c r="U2045" t="str">
        <f>TEXT(Tabela1[[#This Row],[DATA]],"dd/mm/aaaa")</f>
        <v>22/04/2026</v>
      </c>
    </row>
    <row r="2046" spans="1:21" x14ac:dyDescent="0.25">
      <c r="A2046" s="9">
        <v>46134.706192129626</v>
      </c>
      <c r="B2046" t="s">
        <v>19</v>
      </c>
      <c r="C2046" t="s">
        <v>37</v>
      </c>
      <c r="D2046">
        <v>528</v>
      </c>
      <c r="E2046" s="1">
        <v>57769577000180</v>
      </c>
      <c r="F2046">
        <v>528</v>
      </c>
      <c r="G2046" s="10">
        <v>177688781589041</v>
      </c>
      <c r="H2046" t="s">
        <v>60</v>
      </c>
      <c r="I2046">
        <v>3003</v>
      </c>
      <c r="J2046" t="s">
        <v>22</v>
      </c>
      <c r="K2046" t="s">
        <v>23</v>
      </c>
      <c r="L2046" s="5" t="s">
        <v>31</v>
      </c>
      <c r="M2046" t="s">
        <v>284</v>
      </c>
      <c r="N2046" t="s">
        <v>53</v>
      </c>
      <c r="O2046">
        <v>128</v>
      </c>
      <c r="R2046" s="11">
        <v>8.1018518518518516E-5</v>
      </c>
      <c r="S2046" t="s">
        <v>37</v>
      </c>
      <c r="T2046" t="str">
        <f>IF(Tabela1[[#This Row],[STATUS_NEGOCIO]]="Enviar E-mail",1,"")</f>
        <v/>
      </c>
      <c r="U2046" t="str">
        <f>TEXT(Tabela1[[#This Row],[DATA]],"dd/mm/aaaa")</f>
        <v>22/04/2026</v>
      </c>
    </row>
    <row r="2047" spans="1:21" x14ac:dyDescent="0.25">
      <c r="A2047" s="9">
        <v>46134.706192129626</v>
      </c>
      <c r="B2047" t="s">
        <v>19</v>
      </c>
      <c r="C2047" t="s">
        <v>37</v>
      </c>
      <c r="D2047">
        <v>529</v>
      </c>
      <c r="E2047" s="1">
        <v>58196686000118</v>
      </c>
      <c r="F2047">
        <v>529</v>
      </c>
      <c r="G2047" s="10">
        <v>177688781589051</v>
      </c>
      <c r="H2047" t="s">
        <v>242</v>
      </c>
      <c r="I2047">
        <v>3003</v>
      </c>
      <c r="J2047" t="s">
        <v>22</v>
      </c>
      <c r="K2047" t="s">
        <v>23</v>
      </c>
      <c r="L2047" s="5" t="s">
        <v>31</v>
      </c>
      <c r="M2047" t="s">
        <v>284</v>
      </c>
      <c r="N2047" t="s">
        <v>53</v>
      </c>
      <c r="O2047">
        <v>128</v>
      </c>
      <c r="R2047" s="11">
        <v>6.9444444444444444E-5</v>
      </c>
      <c r="S2047" t="s">
        <v>37</v>
      </c>
      <c r="T2047" t="str">
        <f>IF(Tabela1[[#This Row],[STATUS_NEGOCIO]]="Enviar E-mail",1,"")</f>
        <v/>
      </c>
      <c r="U2047" t="str">
        <f>TEXT(Tabela1[[#This Row],[DATA]],"dd/mm/aaaa")</f>
        <v>22/04/2026</v>
      </c>
    </row>
    <row r="2048" spans="1:21" x14ac:dyDescent="0.25">
      <c r="A2048" s="9">
        <v>46134.706226851849</v>
      </c>
      <c r="B2048" t="s">
        <v>19</v>
      </c>
      <c r="C2048" t="s">
        <v>37</v>
      </c>
      <c r="D2048">
        <v>530</v>
      </c>
      <c r="E2048" s="1">
        <v>58476582000167</v>
      </c>
      <c r="F2048">
        <v>530</v>
      </c>
      <c r="G2048" s="10">
        <v>177688781889071</v>
      </c>
      <c r="H2048" t="s">
        <v>189</v>
      </c>
      <c r="I2048">
        <v>3003</v>
      </c>
      <c r="J2048" t="s">
        <v>22</v>
      </c>
      <c r="K2048" t="s">
        <v>23</v>
      </c>
      <c r="L2048" s="5" t="s">
        <v>31</v>
      </c>
      <c r="M2048" t="s">
        <v>284</v>
      </c>
      <c r="N2048" t="s">
        <v>53</v>
      </c>
      <c r="O2048">
        <v>147</v>
      </c>
      <c r="R2048" s="11">
        <v>8.1018518518518516E-5</v>
      </c>
      <c r="S2048" t="s">
        <v>37</v>
      </c>
      <c r="T2048" t="str">
        <f>IF(Tabela1[[#This Row],[STATUS_NEGOCIO]]="Enviar E-mail",1,"")</f>
        <v/>
      </c>
      <c r="U2048" t="str">
        <f>TEXT(Tabela1[[#This Row],[DATA]],"dd/mm/aaaa")</f>
        <v>22/04/2026</v>
      </c>
    </row>
    <row r="2049" spans="1:21" x14ac:dyDescent="0.25">
      <c r="A2049" s="9">
        <v>46134.706250000003</v>
      </c>
      <c r="B2049" t="s">
        <v>19</v>
      </c>
      <c r="C2049" t="s">
        <v>37</v>
      </c>
      <c r="D2049">
        <v>531</v>
      </c>
      <c r="E2049" s="1">
        <v>59138749000142</v>
      </c>
      <c r="F2049">
        <v>531</v>
      </c>
      <c r="G2049" s="10">
        <v>177688782089091</v>
      </c>
      <c r="H2049" t="s">
        <v>620</v>
      </c>
      <c r="I2049">
        <v>3003</v>
      </c>
      <c r="J2049" t="s">
        <v>22</v>
      </c>
      <c r="K2049" t="s">
        <v>23</v>
      </c>
      <c r="L2049" s="5" t="s">
        <v>31</v>
      </c>
      <c r="M2049" t="s">
        <v>284</v>
      </c>
      <c r="N2049" t="s">
        <v>53</v>
      </c>
      <c r="O2049">
        <v>128</v>
      </c>
      <c r="R2049" s="11">
        <v>8.1018518518518516E-5</v>
      </c>
      <c r="S2049" t="s">
        <v>37</v>
      </c>
      <c r="T2049" t="str">
        <f>IF(Tabela1[[#This Row],[STATUS_NEGOCIO]]="Enviar E-mail",1,"")</f>
        <v/>
      </c>
      <c r="U2049" t="str">
        <f>TEXT(Tabela1[[#This Row],[DATA]],"dd/mm/aaaa")</f>
        <v>22/04/2026</v>
      </c>
    </row>
    <row r="2050" spans="1:21" x14ac:dyDescent="0.25">
      <c r="A2050" s="9">
        <v>46134.706296296295</v>
      </c>
      <c r="B2050" t="s">
        <v>19</v>
      </c>
      <c r="C2050" t="s">
        <v>37</v>
      </c>
      <c r="D2050">
        <v>533</v>
      </c>
      <c r="E2050" s="1">
        <v>59597687000137</v>
      </c>
      <c r="F2050">
        <v>533</v>
      </c>
      <c r="G2050" s="10">
        <v>177688782489111</v>
      </c>
      <c r="H2050" t="s">
        <v>87</v>
      </c>
      <c r="I2050">
        <v>3003</v>
      </c>
      <c r="J2050" t="s">
        <v>22</v>
      </c>
      <c r="K2050" t="s">
        <v>23</v>
      </c>
      <c r="L2050" s="5" t="s">
        <v>31</v>
      </c>
      <c r="M2050" t="s">
        <v>284</v>
      </c>
      <c r="N2050" t="s">
        <v>53</v>
      </c>
      <c r="O2050">
        <v>128</v>
      </c>
      <c r="R2050" s="11">
        <v>8.1018518518518516E-5</v>
      </c>
      <c r="S2050" t="s">
        <v>37</v>
      </c>
      <c r="T2050" t="str">
        <f>IF(Tabela1[[#This Row],[STATUS_NEGOCIO]]="Enviar E-mail",1,"")</f>
        <v/>
      </c>
      <c r="U2050" t="str">
        <f>TEXT(Tabela1[[#This Row],[DATA]],"dd/mm/aaaa")</f>
        <v>22/04/2026</v>
      </c>
    </row>
    <row r="2051" spans="1:21" x14ac:dyDescent="0.25">
      <c r="A2051" s="9">
        <v>46134.706342592595</v>
      </c>
      <c r="B2051" t="s">
        <v>19</v>
      </c>
      <c r="C2051" t="s">
        <v>37</v>
      </c>
      <c r="D2051">
        <v>534</v>
      </c>
      <c r="E2051" s="1">
        <v>59958760000159</v>
      </c>
      <c r="F2051">
        <v>534</v>
      </c>
      <c r="G2051" s="10">
        <v>177688782889131</v>
      </c>
      <c r="H2051" t="s">
        <v>621</v>
      </c>
      <c r="I2051">
        <v>3003</v>
      </c>
      <c r="J2051" t="s">
        <v>22</v>
      </c>
      <c r="K2051" t="s">
        <v>23</v>
      </c>
      <c r="L2051" s="5" t="s">
        <v>31</v>
      </c>
      <c r="M2051" t="s">
        <v>284</v>
      </c>
      <c r="N2051" t="s">
        <v>53</v>
      </c>
      <c r="O2051">
        <v>128</v>
      </c>
      <c r="R2051" s="11">
        <v>8.1018518518518516E-5</v>
      </c>
      <c r="S2051" t="s">
        <v>37</v>
      </c>
      <c r="T2051" t="str">
        <f>IF(Tabela1[[#This Row],[STATUS_NEGOCIO]]="Enviar E-mail",1,"")</f>
        <v/>
      </c>
      <c r="U2051" t="str">
        <f>TEXT(Tabela1[[#This Row],[DATA]],"dd/mm/aaaa")</f>
        <v>22/04/2026</v>
      </c>
    </row>
    <row r="2052" spans="1:21" x14ac:dyDescent="0.25">
      <c r="A2052" s="9">
        <v>46134.706365740742</v>
      </c>
      <c r="B2052" t="s">
        <v>19</v>
      </c>
      <c r="C2052" t="s">
        <v>37</v>
      </c>
      <c r="D2052">
        <v>535</v>
      </c>
      <c r="E2052" s="1">
        <v>60710938000127</v>
      </c>
      <c r="F2052">
        <v>535</v>
      </c>
      <c r="G2052" s="10">
        <v>177688783089151</v>
      </c>
      <c r="H2052" t="s">
        <v>57</v>
      </c>
      <c r="I2052">
        <v>3003</v>
      </c>
      <c r="J2052" t="s">
        <v>22</v>
      </c>
      <c r="K2052" t="s">
        <v>23</v>
      </c>
      <c r="L2052" s="5" t="s">
        <v>31</v>
      </c>
      <c r="M2052" t="s">
        <v>284</v>
      </c>
      <c r="N2052" t="s">
        <v>53</v>
      </c>
      <c r="O2052">
        <v>128</v>
      </c>
      <c r="R2052" s="11">
        <v>8.1018518518518516E-5</v>
      </c>
      <c r="S2052" t="s">
        <v>37</v>
      </c>
      <c r="T2052" t="str">
        <f>IF(Tabela1[[#This Row],[STATUS_NEGOCIO]]="Enviar E-mail",1,"")</f>
        <v/>
      </c>
      <c r="U2052" t="str">
        <f>TEXT(Tabela1[[#This Row],[DATA]],"dd/mm/aaaa")</f>
        <v>22/04/2026</v>
      </c>
    </row>
    <row r="2053" spans="1:21" x14ac:dyDescent="0.25">
      <c r="A2053" s="9">
        <v>46134.706388888888</v>
      </c>
      <c r="B2053" t="s">
        <v>19</v>
      </c>
      <c r="C2053" t="s">
        <v>37</v>
      </c>
      <c r="D2053">
        <v>536</v>
      </c>
      <c r="E2053" s="1">
        <v>61917457000150</v>
      </c>
      <c r="F2053">
        <v>536</v>
      </c>
      <c r="G2053" s="10">
        <v>177688783289171</v>
      </c>
      <c r="H2053" t="s">
        <v>622</v>
      </c>
      <c r="I2053">
        <v>3003</v>
      </c>
      <c r="J2053" t="s">
        <v>22</v>
      </c>
      <c r="K2053" t="s">
        <v>23</v>
      </c>
      <c r="L2053" s="5" t="s">
        <v>31</v>
      </c>
      <c r="M2053" t="s">
        <v>284</v>
      </c>
      <c r="N2053" t="s">
        <v>53</v>
      </c>
      <c r="O2053">
        <v>128</v>
      </c>
      <c r="R2053" s="11">
        <v>8.1018518518518516E-5</v>
      </c>
      <c r="S2053" t="s">
        <v>37</v>
      </c>
      <c r="T2053" t="str">
        <f>IF(Tabela1[[#This Row],[STATUS_NEGOCIO]]="Enviar E-mail",1,"")</f>
        <v/>
      </c>
      <c r="U2053" t="str">
        <f>TEXT(Tabela1[[#This Row],[DATA]],"dd/mm/aaaa")</f>
        <v>22/04/2026</v>
      </c>
    </row>
    <row r="2054" spans="1:21" x14ac:dyDescent="0.25">
      <c r="A2054" s="9">
        <v>46134.706469907411</v>
      </c>
      <c r="B2054" t="s">
        <v>19</v>
      </c>
      <c r="C2054" t="s">
        <v>37</v>
      </c>
      <c r="D2054">
        <v>537</v>
      </c>
      <c r="E2054" s="1">
        <v>63110255000127</v>
      </c>
      <c r="F2054">
        <v>537</v>
      </c>
      <c r="G2054" s="10">
        <v>177688783989191</v>
      </c>
      <c r="H2054" t="s">
        <v>623</v>
      </c>
      <c r="I2054">
        <v>3003</v>
      </c>
      <c r="J2054" t="s">
        <v>22</v>
      </c>
      <c r="K2054" t="s">
        <v>23</v>
      </c>
      <c r="L2054" s="5" t="s">
        <v>31</v>
      </c>
      <c r="M2054" t="s">
        <v>284</v>
      </c>
      <c r="N2054" t="s">
        <v>53</v>
      </c>
      <c r="O2054">
        <v>128</v>
      </c>
      <c r="R2054" s="11">
        <v>8.1018518518518516E-5</v>
      </c>
      <c r="S2054" t="s">
        <v>37</v>
      </c>
      <c r="T2054" t="str">
        <f>IF(Tabela1[[#This Row],[STATUS_NEGOCIO]]="Enviar E-mail",1,"")</f>
        <v/>
      </c>
      <c r="U2054" t="str">
        <f>TEXT(Tabela1[[#This Row],[DATA]],"dd/mm/aaaa")</f>
        <v>22/04/2026</v>
      </c>
    </row>
    <row r="2055" spans="1:21" x14ac:dyDescent="0.25">
      <c r="A2055" s="9">
        <v>46134.706504629627</v>
      </c>
      <c r="B2055" t="s">
        <v>19</v>
      </c>
      <c r="C2055" t="s">
        <v>27</v>
      </c>
      <c r="D2055">
        <v>538</v>
      </c>
      <c r="E2055" s="1">
        <v>68615988000137</v>
      </c>
      <c r="F2055">
        <v>538</v>
      </c>
      <c r="G2055" s="10">
        <v>177688784289221</v>
      </c>
      <c r="H2055" t="s">
        <v>232</v>
      </c>
      <c r="I2055">
        <v>3003</v>
      </c>
      <c r="J2055" t="s">
        <v>22</v>
      </c>
      <c r="K2055" t="s">
        <v>23</v>
      </c>
      <c r="L2055" t="s">
        <v>265</v>
      </c>
      <c r="M2055" t="s">
        <v>284</v>
      </c>
      <c r="N2055" t="s">
        <v>26</v>
      </c>
      <c r="O2055">
        <v>16</v>
      </c>
      <c r="R2055" s="11">
        <v>2.7777777777777778E-4</v>
      </c>
      <c r="S2055" s="11">
        <v>2.199074074074074E-4</v>
      </c>
      <c r="T2055" t="str">
        <f>IF(Tabela1[[#This Row],[STATUS_NEGOCIO]]="Enviar E-mail",1,"")</f>
        <v/>
      </c>
      <c r="U2055" t="str">
        <f>TEXT(Tabela1[[#This Row],[DATA]],"dd/mm/aaaa")</f>
        <v>22/04/2026</v>
      </c>
    </row>
    <row r="2056" spans="1:21" x14ac:dyDescent="0.25">
      <c r="A2056" s="9">
        <v>46134.70653935185</v>
      </c>
      <c r="B2056" t="s">
        <v>19</v>
      </c>
      <c r="C2056" t="s">
        <v>37</v>
      </c>
      <c r="D2056">
        <v>539</v>
      </c>
      <c r="E2056" s="1">
        <v>68654938000169</v>
      </c>
      <c r="F2056">
        <v>539</v>
      </c>
      <c r="G2056" s="10">
        <v>177688784589291</v>
      </c>
      <c r="H2056" t="s">
        <v>197</v>
      </c>
      <c r="I2056">
        <v>3003</v>
      </c>
      <c r="J2056" t="s">
        <v>22</v>
      </c>
      <c r="K2056" t="s">
        <v>23</v>
      </c>
      <c r="L2056" s="5" t="s">
        <v>31</v>
      </c>
      <c r="M2056" t="s">
        <v>284</v>
      </c>
      <c r="N2056" t="s">
        <v>53</v>
      </c>
      <c r="O2056">
        <v>128</v>
      </c>
      <c r="R2056" s="11">
        <v>8.1018518518518516E-5</v>
      </c>
      <c r="S2056" t="s">
        <v>37</v>
      </c>
      <c r="T2056" t="str">
        <f>IF(Tabela1[[#This Row],[STATUS_NEGOCIO]]="Enviar E-mail",1,"")</f>
        <v/>
      </c>
      <c r="U2056" t="str">
        <f>TEXT(Tabela1[[#This Row],[DATA]],"dd/mm/aaaa")</f>
        <v>22/04/2026</v>
      </c>
    </row>
    <row r="2057" spans="1:21" x14ac:dyDescent="0.25">
      <c r="A2057" s="9">
        <v>46134.706562500003</v>
      </c>
      <c r="B2057" t="s">
        <v>19</v>
      </c>
      <c r="C2057" t="s">
        <v>37</v>
      </c>
      <c r="D2057">
        <v>540</v>
      </c>
      <c r="E2057" s="1">
        <v>68842905000142</v>
      </c>
      <c r="F2057">
        <v>540</v>
      </c>
      <c r="G2057" s="10">
        <v>177688784789311</v>
      </c>
      <c r="H2057" t="s">
        <v>624</v>
      </c>
      <c r="I2057">
        <v>3003</v>
      </c>
      <c r="J2057" t="s">
        <v>22</v>
      </c>
      <c r="K2057" t="s">
        <v>23</v>
      </c>
      <c r="L2057" s="5" t="s">
        <v>31</v>
      </c>
      <c r="M2057" t="s">
        <v>284</v>
      </c>
      <c r="N2057" t="s">
        <v>53</v>
      </c>
      <c r="O2057">
        <v>147</v>
      </c>
      <c r="R2057" s="11">
        <v>8.1018518518518516E-5</v>
      </c>
      <c r="S2057" t="s">
        <v>37</v>
      </c>
      <c r="T2057" t="str">
        <f>IF(Tabela1[[#This Row],[STATUS_NEGOCIO]]="Enviar E-mail",1,"")</f>
        <v/>
      </c>
      <c r="U2057" t="str">
        <f>TEXT(Tabela1[[#This Row],[DATA]],"dd/mm/aaaa")</f>
        <v>22/04/2026</v>
      </c>
    </row>
    <row r="2058" spans="1:21" x14ac:dyDescent="0.25">
      <c r="A2058" s="9">
        <v>46134.706585648149</v>
      </c>
      <c r="B2058" t="s">
        <v>19</v>
      </c>
      <c r="C2058" t="s">
        <v>37</v>
      </c>
      <c r="D2058">
        <v>541</v>
      </c>
      <c r="E2058" s="1">
        <v>72357726000197</v>
      </c>
      <c r="F2058">
        <v>541</v>
      </c>
      <c r="G2058" s="10">
        <v>177688784989331</v>
      </c>
      <c r="H2058" t="s">
        <v>625</v>
      </c>
      <c r="I2058">
        <v>3003</v>
      </c>
      <c r="J2058" t="s">
        <v>22</v>
      </c>
      <c r="K2058" t="s">
        <v>23</v>
      </c>
      <c r="L2058" s="5" t="s">
        <v>31</v>
      </c>
      <c r="M2058" t="s">
        <v>284</v>
      </c>
      <c r="N2058" t="s">
        <v>53</v>
      </c>
      <c r="O2058">
        <v>128</v>
      </c>
      <c r="R2058" s="11">
        <v>8.1018518518518516E-5</v>
      </c>
      <c r="S2058" t="s">
        <v>37</v>
      </c>
      <c r="T2058" t="str">
        <f>IF(Tabela1[[#This Row],[STATUS_NEGOCIO]]="Enviar E-mail",1,"")</f>
        <v/>
      </c>
      <c r="U2058" t="str">
        <f>TEXT(Tabela1[[#This Row],[DATA]],"dd/mm/aaaa")</f>
        <v>22/04/2026</v>
      </c>
    </row>
    <row r="2059" spans="1:21" x14ac:dyDescent="0.25">
      <c r="A2059" s="9">
        <v>46134.706597222219</v>
      </c>
      <c r="B2059" t="s">
        <v>19</v>
      </c>
      <c r="C2059" t="s">
        <v>37</v>
      </c>
      <c r="D2059">
        <v>542</v>
      </c>
      <c r="E2059" s="1">
        <v>72493794000183</v>
      </c>
      <c r="F2059">
        <v>542</v>
      </c>
      <c r="G2059" s="10">
        <v>177688785089351</v>
      </c>
      <c r="H2059" t="s">
        <v>626</v>
      </c>
      <c r="I2059">
        <v>3003</v>
      </c>
      <c r="J2059" t="s">
        <v>22</v>
      </c>
      <c r="K2059" t="s">
        <v>23</v>
      </c>
      <c r="L2059" s="5" t="s">
        <v>31</v>
      </c>
      <c r="M2059" t="s">
        <v>284</v>
      </c>
      <c r="N2059" t="s">
        <v>53</v>
      </c>
      <c r="O2059">
        <v>128</v>
      </c>
      <c r="R2059" s="11">
        <v>8.1018518518518516E-5</v>
      </c>
      <c r="S2059" t="s">
        <v>37</v>
      </c>
      <c r="T2059" t="str">
        <f>IF(Tabela1[[#This Row],[STATUS_NEGOCIO]]="Enviar E-mail",1,"")</f>
        <v/>
      </c>
      <c r="U2059" t="str">
        <f>TEXT(Tabela1[[#This Row],[DATA]],"dd/mm/aaaa")</f>
        <v>22/04/2026</v>
      </c>
    </row>
    <row r="2060" spans="1:21" x14ac:dyDescent="0.25">
      <c r="A2060" s="9">
        <v>46134.706678240742</v>
      </c>
      <c r="B2060" t="s">
        <v>19</v>
      </c>
      <c r="C2060" t="s">
        <v>37</v>
      </c>
      <c r="D2060">
        <v>543</v>
      </c>
      <c r="E2060" s="1">
        <v>73275570000168</v>
      </c>
      <c r="F2060">
        <v>543</v>
      </c>
      <c r="G2060" s="10">
        <v>177688785789381</v>
      </c>
      <c r="H2060" t="s">
        <v>69</v>
      </c>
      <c r="I2060">
        <v>3003</v>
      </c>
      <c r="J2060" t="s">
        <v>22</v>
      </c>
      <c r="K2060" t="s">
        <v>23</v>
      </c>
      <c r="L2060" s="5" t="s">
        <v>31</v>
      </c>
      <c r="M2060" t="s">
        <v>284</v>
      </c>
      <c r="N2060" t="s">
        <v>53</v>
      </c>
      <c r="O2060">
        <v>128</v>
      </c>
      <c r="R2060" s="11">
        <v>8.1018518518518516E-5</v>
      </c>
      <c r="S2060" t="s">
        <v>37</v>
      </c>
      <c r="T2060" t="str">
        <f>IF(Tabela1[[#This Row],[STATUS_NEGOCIO]]="Enviar E-mail",1,"")</f>
        <v/>
      </c>
      <c r="U2060" t="str">
        <f>TEXT(Tabela1[[#This Row],[DATA]],"dd/mm/aaaa")</f>
        <v>22/04/2026</v>
      </c>
    </row>
    <row r="2061" spans="1:21" x14ac:dyDescent="0.25">
      <c r="A2061" s="9">
        <v>46134.706759259258</v>
      </c>
      <c r="B2061" t="s">
        <v>19</v>
      </c>
      <c r="C2061" t="s">
        <v>37</v>
      </c>
      <c r="D2061">
        <v>545</v>
      </c>
      <c r="E2061" s="1">
        <v>73630725000137</v>
      </c>
      <c r="F2061">
        <v>545</v>
      </c>
      <c r="G2061" s="10">
        <v>177688786489471</v>
      </c>
      <c r="H2061" t="s">
        <v>119</v>
      </c>
      <c r="I2061">
        <v>3003</v>
      </c>
      <c r="J2061" t="s">
        <v>22</v>
      </c>
      <c r="K2061" t="s">
        <v>23</v>
      </c>
      <c r="L2061" s="5" t="s">
        <v>31</v>
      </c>
      <c r="M2061" t="s">
        <v>284</v>
      </c>
      <c r="N2061" t="s">
        <v>53</v>
      </c>
      <c r="O2061">
        <v>128</v>
      </c>
      <c r="R2061" s="11">
        <v>8.1018518518518516E-5</v>
      </c>
      <c r="S2061" t="s">
        <v>37</v>
      </c>
      <c r="T2061" t="str">
        <f>IF(Tabela1[[#This Row],[STATUS_NEGOCIO]]="Enviar E-mail",1,"")</f>
        <v/>
      </c>
      <c r="U2061" t="str">
        <f>TEXT(Tabela1[[#This Row],[DATA]],"dd/mm/aaaa")</f>
        <v>22/04/2026</v>
      </c>
    </row>
    <row r="2062" spans="1:21" x14ac:dyDescent="0.25">
      <c r="A2062" s="9">
        <v>46134.706828703704</v>
      </c>
      <c r="B2062" t="s">
        <v>19</v>
      </c>
      <c r="C2062" t="s">
        <v>37</v>
      </c>
      <c r="D2062">
        <v>546</v>
      </c>
      <c r="E2062" s="1">
        <v>73852469000122</v>
      </c>
      <c r="F2062">
        <v>546</v>
      </c>
      <c r="G2062" s="10">
        <v>177688787089491</v>
      </c>
      <c r="H2062" t="s">
        <v>628</v>
      </c>
      <c r="I2062">
        <v>3003</v>
      </c>
      <c r="J2062" t="s">
        <v>22</v>
      </c>
      <c r="K2062" t="s">
        <v>23</v>
      </c>
      <c r="L2062" s="5" t="s">
        <v>31</v>
      </c>
      <c r="M2062" t="s">
        <v>284</v>
      </c>
      <c r="N2062" t="s">
        <v>53</v>
      </c>
      <c r="O2062">
        <v>128</v>
      </c>
      <c r="R2062" s="11">
        <v>8.1018518518518516E-5</v>
      </c>
      <c r="S2062" t="s">
        <v>37</v>
      </c>
      <c r="T2062" t="str">
        <f>IF(Tabela1[[#This Row],[STATUS_NEGOCIO]]="Enviar E-mail",1,"")</f>
        <v/>
      </c>
      <c r="U2062" t="str">
        <f>TEXT(Tabela1[[#This Row],[DATA]],"dd/mm/aaaa")</f>
        <v>22/04/2026</v>
      </c>
    </row>
    <row r="2063" spans="1:21" x14ac:dyDescent="0.25">
      <c r="A2063" s="9">
        <v>46134.706863425927</v>
      </c>
      <c r="B2063" t="s">
        <v>19</v>
      </c>
      <c r="C2063" t="s">
        <v>37</v>
      </c>
      <c r="D2063">
        <v>547</v>
      </c>
      <c r="E2063" s="1">
        <v>82449760000145</v>
      </c>
      <c r="F2063">
        <v>547</v>
      </c>
      <c r="G2063" s="10">
        <v>177688787389511</v>
      </c>
      <c r="H2063" t="s">
        <v>629</v>
      </c>
      <c r="I2063">
        <v>3003</v>
      </c>
      <c r="J2063" t="s">
        <v>22</v>
      </c>
      <c r="K2063" t="s">
        <v>23</v>
      </c>
      <c r="L2063" s="5" t="s">
        <v>31</v>
      </c>
      <c r="M2063" t="s">
        <v>284</v>
      </c>
      <c r="N2063" t="s">
        <v>53</v>
      </c>
      <c r="O2063">
        <v>128</v>
      </c>
      <c r="R2063" s="11">
        <v>8.1018518518518516E-5</v>
      </c>
      <c r="S2063" t="s">
        <v>37</v>
      </c>
      <c r="T2063" t="str">
        <f>IF(Tabela1[[#This Row],[STATUS_NEGOCIO]]="Enviar E-mail",1,"")</f>
        <v/>
      </c>
      <c r="U2063" t="str">
        <f>TEXT(Tabela1[[#This Row],[DATA]],"dd/mm/aaaa")</f>
        <v>22/04/2026</v>
      </c>
    </row>
    <row r="2064" spans="1:21" x14ac:dyDescent="0.25">
      <c r="A2064" s="9">
        <v>46134.706909722219</v>
      </c>
      <c r="B2064" t="s">
        <v>19</v>
      </c>
      <c r="C2064" t="s">
        <v>37</v>
      </c>
      <c r="D2064">
        <v>548</v>
      </c>
      <c r="E2064" s="1">
        <v>86932266000198</v>
      </c>
      <c r="F2064">
        <v>548</v>
      </c>
      <c r="G2064" s="10">
        <v>177688787789531</v>
      </c>
      <c r="H2064" t="s">
        <v>631</v>
      </c>
      <c r="I2064">
        <v>3003</v>
      </c>
      <c r="J2064" t="s">
        <v>22</v>
      </c>
      <c r="K2064" t="s">
        <v>23</v>
      </c>
      <c r="L2064" s="5" t="s">
        <v>31</v>
      </c>
      <c r="M2064" t="s">
        <v>284</v>
      </c>
      <c r="N2064" t="s">
        <v>53</v>
      </c>
      <c r="O2064">
        <v>128</v>
      </c>
      <c r="R2064" s="11">
        <v>8.1018518518518516E-5</v>
      </c>
      <c r="S2064" t="s">
        <v>37</v>
      </c>
      <c r="T2064" t="str">
        <f>IF(Tabela1[[#This Row],[STATUS_NEGOCIO]]="Enviar E-mail",1,"")</f>
        <v/>
      </c>
      <c r="U2064" t="str">
        <f>TEXT(Tabela1[[#This Row],[DATA]],"dd/mm/aaaa")</f>
        <v>22/04/2026</v>
      </c>
    </row>
    <row r="2065" spans="1:21" x14ac:dyDescent="0.25">
      <c r="A2065" s="9">
        <v>46134.706909722219</v>
      </c>
      <c r="B2065" t="s">
        <v>19</v>
      </c>
      <c r="C2065" t="s">
        <v>37</v>
      </c>
      <c r="D2065">
        <v>549</v>
      </c>
      <c r="E2065" s="1">
        <v>86936481000167</v>
      </c>
      <c r="F2065">
        <v>549</v>
      </c>
      <c r="G2065" s="10">
        <v>177688787789551</v>
      </c>
      <c r="H2065" t="s">
        <v>97</v>
      </c>
      <c r="I2065">
        <v>3003</v>
      </c>
      <c r="J2065" t="s">
        <v>22</v>
      </c>
      <c r="K2065" t="s">
        <v>23</v>
      </c>
      <c r="L2065" s="5" t="s">
        <v>31</v>
      </c>
      <c r="M2065" t="s">
        <v>284</v>
      </c>
      <c r="N2065" t="s">
        <v>53</v>
      </c>
      <c r="O2065">
        <v>128</v>
      </c>
      <c r="R2065" s="11">
        <v>8.1018518518518516E-5</v>
      </c>
      <c r="S2065" t="s">
        <v>37</v>
      </c>
      <c r="T2065" t="str">
        <f>IF(Tabela1[[#This Row],[STATUS_NEGOCIO]]="Enviar E-mail",1,"")</f>
        <v/>
      </c>
      <c r="U2065" t="str">
        <f>TEXT(Tabela1[[#This Row],[DATA]],"dd/mm/aaaa")</f>
        <v>22/04/2026</v>
      </c>
    </row>
    <row r="2066" spans="1:21" x14ac:dyDescent="0.25">
      <c r="A2066" s="9">
        <v>46134.706967592596</v>
      </c>
      <c r="B2066" t="s">
        <v>19</v>
      </c>
      <c r="C2066" t="s">
        <v>37</v>
      </c>
      <c r="D2066">
        <v>550</v>
      </c>
      <c r="E2066" s="1">
        <v>97537119000130</v>
      </c>
      <c r="F2066">
        <v>550</v>
      </c>
      <c r="G2066" s="10">
        <v>177688788289571</v>
      </c>
      <c r="H2066" t="s">
        <v>630</v>
      </c>
      <c r="I2066">
        <v>3003</v>
      </c>
      <c r="J2066" t="s">
        <v>22</v>
      </c>
      <c r="K2066" t="s">
        <v>23</v>
      </c>
      <c r="L2066" s="5" t="s">
        <v>31</v>
      </c>
      <c r="M2066" t="s">
        <v>284</v>
      </c>
      <c r="N2066" t="s">
        <v>53</v>
      </c>
      <c r="O2066">
        <v>128</v>
      </c>
      <c r="R2066" s="11">
        <v>8.1018518518518516E-5</v>
      </c>
      <c r="S2066" t="s">
        <v>37</v>
      </c>
      <c r="T2066" t="str">
        <f>IF(Tabela1[[#This Row],[STATUS_NEGOCIO]]="Enviar E-mail",1,"")</f>
        <v/>
      </c>
      <c r="U2066" t="str">
        <f>TEXT(Tabela1[[#This Row],[DATA]],"dd/mm/aaaa")</f>
        <v>22/04/2026</v>
      </c>
    </row>
    <row r="2067" spans="1:21" x14ac:dyDescent="0.25">
      <c r="A2067" s="9">
        <v>46134.666990740741</v>
      </c>
      <c r="B2067" t="s">
        <v>19</v>
      </c>
      <c r="C2067" t="s">
        <v>37</v>
      </c>
      <c r="D2067">
        <v>416</v>
      </c>
      <c r="E2067" s="1">
        <v>36541506000155</v>
      </c>
      <c r="F2067">
        <v>416</v>
      </c>
      <c r="G2067" s="10">
        <v>177688442873371</v>
      </c>
      <c r="H2067" t="s">
        <v>227</v>
      </c>
      <c r="I2067" t="s">
        <v>52</v>
      </c>
      <c r="J2067" t="s">
        <v>22</v>
      </c>
      <c r="K2067" t="s">
        <v>36</v>
      </c>
      <c r="L2067" t="s">
        <v>36</v>
      </c>
      <c r="M2067" t="s">
        <v>284</v>
      </c>
      <c r="N2067" t="s">
        <v>53</v>
      </c>
      <c r="O2067">
        <v>1</v>
      </c>
      <c r="R2067" s="11">
        <v>0</v>
      </c>
      <c r="S2067" t="s">
        <v>37</v>
      </c>
      <c r="T2067" t="str">
        <f>IF(Tabela1[[#This Row],[STATUS_NEGOCIO]]="Enviar E-mail",1,"")</f>
        <v/>
      </c>
      <c r="U2067" t="str">
        <f>TEXT(Tabela1[[#This Row],[DATA]],"dd/mm/aaaa")</f>
        <v>22/04/2026</v>
      </c>
    </row>
    <row r="2068" spans="1:21" x14ac:dyDescent="0.25">
      <c r="A2068" s="9">
        <v>46134.667488425926</v>
      </c>
      <c r="B2068" t="s">
        <v>19</v>
      </c>
      <c r="C2068" t="s">
        <v>37</v>
      </c>
      <c r="D2068">
        <v>422</v>
      </c>
      <c r="E2068" s="1">
        <v>37407191000110</v>
      </c>
      <c r="F2068">
        <v>422</v>
      </c>
      <c r="G2068" s="10">
        <v>177688447173571</v>
      </c>
      <c r="H2068" t="s">
        <v>549</v>
      </c>
      <c r="I2068" t="s">
        <v>52</v>
      </c>
      <c r="J2068" t="s">
        <v>22</v>
      </c>
      <c r="K2068" t="s">
        <v>36</v>
      </c>
      <c r="L2068" t="s">
        <v>36</v>
      </c>
      <c r="M2068" t="s">
        <v>284</v>
      </c>
      <c r="N2068" t="s">
        <v>53</v>
      </c>
      <c r="O2068">
        <v>19</v>
      </c>
      <c r="R2068" s="11">
        <v>0</v>
      </c>
      <c r="S2068" t="s">
        <v>37</v>
      </c>
      <c r="T2068" t="str">
        <f>IF(Tabela1[[#This Row],[STATUS_NEGOCIO]]="Enviar E-mail",1,"")</f>
        <v/>
      </c>
      <c r="U2068" t="str">
        <f>TEXT(Tabela1[[#This Row],[DATA]],"dd/mm/aaaa")</f>
        <v>22/04/2026</v>
      </c>
    </row>
    <row r="2069" spans="1:21" x14ac:dyDescent="0.25">
      <c r="A2069" s="9">
        <v>46134.667893518519</v>
      </c>
      <c r="B2069" t="s">
        <v>19</v>
      </c>
      <c r="C2069" t="s">
        <v>37</v>
      </c>
      <c r="D2069">
        <v>430</v>
      </c>
      <c r="E2069" s="1">
        <v>39210513000162</v>
      </c>
      <c r="F2069">
        <v>430</v>
      </c>
      <c r="G2069" s="10">
        <v>177688450673791</v>
      </c>
      <c r="H2069" t="s">
        <v>556</v>
      </c>
      <c r="I2069" t="s">
        <v>52</v>
      </c>
      <c r="J2069" t="s">
        <v>22</v>
      </c>
      <c r="K2069" t="s">
        <v>36</v>
      </c>
      <c r="L2069" t="s">
        <v>36</v>
      </c>
      <c r="M2069" t="s">
        <v>284</v>
      </c>
      <c r="N2069" t="s">
        <v>53</v>
      </c>
      <c r="O2069">
        <v>19</v>
      </c>
      <c r="R2069" s="11">
        <v>0</v>
      </c>
      <c r="S2069" t="s">
        <v>37</v>
      </c>
      <c r="T2069" t="str">
        <f>IF(Tabela1[[#This Row],[STATUS_NEGOCIO]]="Enviar E-mail",1,"")</f>
        <v/>
      </c>
      <c r="U2069" t="str">
        <f>TEXT(Tabela1[[#This Row],[DATA]],"dd/mm/aaaa")</f>
        <v>22/04/2026</v>
      </c>
    </row>
    <row r="2070" spans="1:21" x14ac:dyDescent="0.25">
      <c r="A2070" s="9">
        <v>46134.668055555558</v>
      </c>
      <c r="B2070" t="s">
        <v>19</v>
      </c>
      <c r="C2070" t="s">
        <v>37</v>
      </c>
      <c r="D2070">
        <v>431</v>
      </c>
      <c r="E2070" s="1">
        <v>39214150000133</v>
      </c>
      <c r="F2070">
        <v>431</v>
      </c>
      <c r="G2070" s="10">
        <v>177688452073811</v>
      </c>
      <c r="H2070" t="s">
        <v>557</v>
      </c>
      <c r="I2070" t="s">
        <v>52</v>
      </c>
      <c r="J2070" t="s">
        <v>22</v>
      </c>
      <c r="K2070" t="s">
        <v>36</v>
      </c>
      <c r="L2070" t="s">
        <v>36</v>
      </c>
      <c r="M2070" t="s">
        <v>284</v>
      </c>
      <c r="N2070" t="s">
        <v>53</v>
      </c>
      <c r="O2070">
        <v>19</v>
      </c>
      <c r="R2070" s="11">
        <v>0</v>
      </c>
      <c r="S2070" t="s">
        <v>37</v>
      </c>
      <c r="T2070" t="str">
        <f>IF(Tabela1[[#This Row],[STATUS_NEGOCIO]]="Enviar E-mail",1,"")</f>
        <v/>
      </c>
      <c r="U2070" t="str">
        <f>TEXT(Tabela1[[#This Row],[DATA]],"dd/mm/aaaa")</f>
        <v>22/04/2026</v>
      </c>
    </row>
    <row r="2071" spans="1:21" x14ac:dyDescent="0.25">
      <c r="A2071" s="9">
        <v>46134.669351851851</v>
      </c>
      <c r="B2071" t="s">
        <v>19</v>
      </c>
      <c r="C2071" t="s">
        <v>37</v>
      </c>
      <c r="D2071">
        <v>447</v>
      </c>
      <c r="E2071" s="1">
        <v>40290991000109</v>
      </c>
      <c r="F2071">
        <v>447</v>
      </c>
      <c r="G2071" s="10">
        <v>177688463274411</v>
      </c>
      <c r="H2071" t="s">
        <v>565</v>
      </c>
      <c r="I2071" t="s">
        <v>52</v>
      </c>
      <c r="J2071" t="s">
        <v>22</v>
      </c>
      <c r="K2071" t="s">
        <v>36</v>
      </c>
      <c r="L2071" t="s">
        <v>36</v>
      </c>
      <c r="M2071" t="s">
        <v>284</v>
      </c>
      <c r="N2071" t="s">
        <v>53</v>
      </c>
      <c r="O2071">
        <v>1</v>
      </c>
      <c r="R2071" s="11">
        <v>0</v>
      </c>
      <c r="S2071" t="s">
        <v>37</v>
      </c>
      <c r="T2071" t="str">
        <f>IF(Tabela1[[#This Row],[STATUS_NEGOCIO]]="Enviar E-mail",1,"")</f>
        <v/>
      </c>
      <c r="U2071" t="str">
        <f>TEXT(Tabela1[[#This Row],[DATA]],"dd/mm/aaaa")</f>
        <v>22/04/2026</v>
      </c>
    </row>
    <row r="2072" spans="1:21" x14ac:dyDescent="0.25">
      <c r="A2072" s="9">
        <v>46134.670717592591</v>
      </c>
      <c r="B2072" t="s">
        <v>19</v>
      </c>
      <c r="C2072" t="s">
        <v>37</v>
      </c>
      <c r="D2072">
        <v>459</v>
      </c>
      <c r="E2072" s="1">
        <v>42430090000109</v>
      </c>
      <c r="F2072">
        <v>459</v>
      </c>
      <c r="G2072" s="10">
        <v>177688475074771</v>
      </c>
      <c r="H2072" t="s">
        <v>575</v>
      </c>
      <c r="I2072" t="s">
        <v>52</v>
      </c>
      <c r="J2072" t="s">
        <v>22</v>
      </c>
      <c r="K2072" t="s">
        <v>36</v>
      </c>
      <c r="L2072" t="s">
        <v>36</v>
      </c>
      <c r="M2072" t="s">
        <v>284</v>
      </c>
      <c r="N2072" t="s">
        <v>53</v>
      </c>
      <c r="O2072">
        <v>1</v>
      </c>
      <c r="R2072" s="11">
        <v>0</v>
      </c>
      <c r="S2072" t="s">
        <v>37</v>
      </c>
      <c r="T2072" t="str">
        <f>IF(Tabela1[[#This Row],[STATUS_NEGOCIO]]="Enviar E-mail",1,"")</f>
        <v/>
      </c>
      <c r="U2072" t="str">
        <f>TEXT(Tabela1[[#This Row],[DATA]],"dd/mm/aaaa")</f>
        <v>22/04/2026</v>
      </c>
    </row>
    <row r="2073" spans="1:21" x14ac:dyDescent="0.25">
      <c r="A2073" s="9">
        <v>46134.670752314814</v>
      </c>
      <c r="B2073" t="s">
        <v>19</v>
      </c>
      <c r="C2073" t="s">
        <v>37</v>
      </c>
      <c r="D2073">
        <v>461</v>
      </c>
      <c r="E2073" s="1">
        <v>42558791000110</v>
      </c>
      <c r="F2073">
        <v>461</v>
      </c>
      <c r="G2073" s="10">
        <v>177688475374801</v>
      </c>
      <c r="H2073" t="s">
        <v>149</v>
      </c>
      <c r="I2073" t="s">
        <v>52</v>
      </c>
      <c r="J2073" t="s">
        <v>22</v>
      </c>
      <c r="K2073" t="s">
        <v>36</v>
      </c>
      <c r="L2073" t="s">
        <v>36</v>
      </c>
      <c r="M2073" t="s">
        <v>284</v>
      </c>
      <c r="N2073" t="s">
        <v>53</v>
      </c>
      <c r="O2073">
        <v>34</v>
      </c>
      <c r="R2073" s="11">
        <v>0</v>
      </c>
      <c r="S2073" t="s">
        <v>37</v>
      </c>
      <c r="T2073" t="str">
        <f>IF(Tabela1[[#This Row],[STATUS_NEGOCIO]]="Enviar E-mail",1,"")</f>
        <v/>
      </c>
      <c r="U2073" t="str">
        <f>TEXT(Tabela1[[#This Row],[DATA]],"dd/mm/aaaa")</f>
        <v>22/04/2026</v>
      </c>
    </row>
    <row r="2074" spans="1:21" x14ac:dyDescent="0.25">
      <c r="A2074" s="9">
        <v>46134.67082175926</v>
      </c>
      <c r="B2074" t="s">
        <v>19</v>
      </c>
      <c r="C2074" t="s">
        <v>37</v>
      </c>
      <c r="D2074">
        <v>462</v>
      </c>
      <c r="E2074" s="1">
        <v>42564351000175</v>
      </c>
      <c r="F2074">
        <v>462</v>
      </c>
      <c r="G2074" s="10">
        <v>177688475974821</v>
      </c>
      <c r="H2074" t="s">
        <v>195</v>
      </c>
      <c r="I2074" t="s">
        <v>52</v>
      </c>
      <c r="J2074" t="s">
        <v>22</v>
      </c>
      <c r="K2074" t="s">
        <v>36</v>
      </c>
      <c r="L2074" t="s">
        <v>36</v>
      </c>
      <c r="M2074" t="s">
        <v>284</v>
      </c>
      <c r="N2074" t="s">
        <v>53</v>
      </c>
      <c r="O2074">
        <v>19</v>
      </c>
      <c r="R2074" s="11">
        <v>0</v>
      </c>
      <c r="S2074" t="s">
        <v>37</v>
      </c>
      <c r="T2074" t="str">
        <f>IF(Tabela1[[#This Row],[STATUS_NEGOCIO]]="Enviar E-mail",1,"")</f>
        <v/>
      </c>
      <c r="U2074" t="str">
        <f>TEXT(Tabela1[[#This Row],[DATA]],"dd/mm/aaaa")</f>
        <v>22/04/2026</v>
      </c>
    </row>
    <row r="2075" spans="1:21" x14ac:dyDescent="0.25">
      <c r="A2075" s="9">
        <v>46134.670995370368</v>
      </c>
      <c r="B2075" t="s">
        <v>19</v>
      </c>
      <c r="C2075" t="s">
        <v>37</v>
      </c>
      <c r="D2075">
        <v>464</v>
      </c>
      <c r="E2075" s="1">
        <v>42834744000151</v>
      </c>
      <c r="F2075">
        <v>464</v>
      </c>
      <c r="G2075" s="10">
        <v>177688477474851</v>
      </c>
      <c r="H2075" t="s">
        <v>578</v>
      </c>
      <c r="I2075" t="s">
        <v>52</v>
      </c>
      <c r="J2075" t="s">
        <v>22</v>
      </c>
      <c r="K2075" t="s">
        <v>36</v>
      </c>
      <c r="L2075" t="s">
        <v>36</v>
      </c>
      <c r="M2075" t="s">
        <v>284</v>
      </c>
      <c r="N2075" t="s">
        <v>53</v>
      </c>
      <c r="O2075">
        <v>34</v>
      </c>
      <c r="R2075" s="11">
        <v>0</v>
      </c>
      <c r="S2075" t="s">
        <v>37</v>
      </c>
      <c r="T2075" t="str">
        <f>IF(Tabela1[[#This Row],[STATUS_NEGOCIO]]="Enviar E-mail",1,"")</f>
        <v/>
      </c>
      <c r="U2075" t="str">
        <f>TEXT(Tabela1[[#This Row],[DATA]],"dd/mm/aaaa")</f>
        <v>22/04/2026</v>
      </c>
    </row>
    <row r="2076" spans="1:21" x14ac:dyDescent="0.25">
      <c r="A2076" s="9">
        <v>46134.670995370368</v>
      </c>
      <c r="B2076" t="s">
        <v>19</v>
      </c>
      <c r="C2076" t="s">
        <v>37</v>
      </c>
      <c r="D2076">
        <v>465</v>
      </c>
      <c r="E2076" s="1">
        <v>42895602000102</v>
      </c>
      <c r="F2076">
        <v>465</v>
      </c>
      <c r="G2076" s="10">
        <v>177688477474861</v>
      </c>
      <c r="H2076" t="s">
        <v>156</v>
      </c>
      <c r="I2076" t="s">
        <v>52</v>
      </c>
      <c r="J2076" t="s">
        <v>22</v>
      </c>
      <c r="K2076" t="s">
        <v>36</v>
      </c>
      <c r="L2076" t="s">
        <v>36</v>
      </c>
      <c r="M2076" t="s">
        <v>284</v>
      </c>
      <c r="N2076" t="s">
        <v>53</v>
      </c>
      <c r="O2076">
        <v>38</v>
      </c>
      <c r="R2076" s="11">
        <v>0</v>
      </c>
      <c r="S2076" t="s">
        <v>37</v>
      </c>
      <c r="T2076" t="str">
        <f>IF(Tabela1[[#This Row],[STATUS_NEGOCIO]]="Enviar E-mail",1,"")</f>
        <v/>
      </c>
      <c r="U2076" t="str">
        <f>TEXT(Tabela1[[#This Row],[DATA]],"dd/mm/aaaa")</f>
        <v>22/04/2026</v>
      </c>
    </row>
    <row r="2077" spans="1:21" x14ac:dyDescent="0.25">
      <c r="A2077" s="9">
        <v>46134.670995370368</v>
      </c>
      <c r="B2077" t="s">
        <v>19</v>
      </c>
      <c r="C2077" t="s">
        <v>37</v>
      </c>
      <c r="D2077">
        <v>467</v>
      </c>
      <c r="E2077" s="1">
        <v>43189309000184</v>
      </c>
      <c r="F2077">
        <v>467</v>
      </c>
      <c r="G2077" s="10">
        <v>177688477474871</v>
      </c>
      <c r="H2077" t="s">
        <v>216</v>
      </c>
      <c r="I2077" t="s">
        <v>52</v>
      </c>
      <c r="J2077" t="s">
        <v>22</v>
      </c>
      <c r="K2077" t="s">
        <v>36</v>
      </c>
      <c r="L2077" t="s">
        <v>36</v>
      </c>
      <c r="M2077" t="s">
        <v>284</v>
      </c>
      <c r="N2077" t="s">
        <v>53</v>
      </c>
      <c r="O2077">
        <v>34</v>
      </c>
      <c r="R2077" s="11">
        <v>0</v>
      </c>
      <c r="S2077" t="s">
        <v>37</v>
      </c>
      <c r="T2077" t="str">
        <f>IF(Tabela1[[#This Row],[STATUS_NEGOCIO]]="Enviar E-mail",1,"")</f>
        <v/>
      </c>
      <c r="U2077" t="str">
        <f>TEXT(Tabela1[[#This Row],[DATA]],"dd/mm/aaaa")</f>
        <v>22/04/2026</v>
      </c>
    </row>
    <row r="2078" spans="1:21" x14ac:dyDescent="0.25">
      <c r="A2078" s="9">
        <v>46134.671157407407</v>
      </c>
      <c r="B2078" t="s">
        <v>19</v>
      </c>
      <c r="C2078" t="s">
        <v>37</v>
      </c>
      <c r="D2078">
        <v>474</v>
      </c>
      <c r="E2078" s="1">
        <v>44141387000171</v>
      </c>
      <c r="F2078">
        <v>474</v>
      </c>
      <c r="G2078" s="10">
        <v>177688478874971</v>
      </c>
      <c r="H2078" t="s">
        <v>586</v>
      </c>
      <c r="I2078" t="s">
        <v>52</v>
      </c>
      <c r="J2078" t="s">
        <v>22</v>
      </c>
      <c r="K2078" t="s">
        <v>36</v>
      </c>
      <c r="L2078" t="s">
        <v>36</v>
      </c>
      <c r="M2078" t="s">
        <v>284</v>
      </c>
      <c r="N2078" t="s">
        <v>53</v>
      </c>
      <c r="O2078">
        <v>19</v>
      </c>
      <c r="R2078" s="11">
        <v>0</v>
      </c>
      <c r="S2078" t="s">
        <v>37</v>
      </c>
      <c r="T2078" t="str">
        <f>IF(Tabela1[[#This Row],[STATUS_NEGOCIO]]="Enviar E-mail",1,"")</f>
        <v/>
      </c>
      <c r="U2078" t="str">
        <f>TEXT(Tabela1[[#This Row],[DATA]],"dd/mm/aaaa")</f>
        <v>22/04/2026</v>
      </c>
    </row>
    <row r="2079" spans="1:21" x14ac:dyDescent="0.25">
      <c r="A2079" s="9">
        <v>46134.67150462963</v>
      </c>
      <c r="B2079" t="s">
        <v>19</v>
      </c>
      <c r="C2079" t="s">
        <v>37</v>
      </c>
      <c r="D2079">
        <v>482</v>
      </c>
      <c r="E2079" s="1">
        <v>46265059000102</v>
      </c>
      <c r="F2079">
        <v>482</v>
      </c>
      <c r="G2079" s="10">
        <v>177688481875161</v>
      </c>
      <c r="H2079" t="s">
        <v>593</v>
      </c>
      <c r="I2079" t="s">
        <v>52</v>
      </c>
      <c r="J2079" t="s">
        <v>22</v>
      </c>
      <c r="K2079" t="s">
        <v>36</v>
      </c>
      <c r="L2079" t="s">
        <v>36</v>
      </c>
      <c r="M2079" t="s">
        <v>284</v>
      </c>
      <c r="N2079" t="s">
        <v>53</v>
      </c>
      <c r="O2079">
        <v>1</v>
      </c>
      <c r="R2079" s="11">
        <v>0</v>
      </c>
      <c r="S2079" t="s">
        <v>37</v>
      </c>
      <c r="T2079" t="str">
        <f>IF(Tabela1[[#This Row],[STATUS_NEGOCIO]]="Enviar E-mail",1,"")</f>
        <v/>
      </c>
      <c r="U2079" t="str">
        <f>TEXT(Tabela1[[#This Row],[DATA]],"dd/mm/aaaa")</f>
        <v>22/04/2026</v>
      </c>
    </row>
    <row r="2080" spans="1:21" x14ac:dyDescent="0.25">
      <c r="A2080" s="9">
        <v>46134.6716087963</v>
      </c>
      <c r="B2080" t="s">
        <v>19</v>
      </c>
      <c r="C2080" t="s">
        <v>37</v>
      </c>
      <c r="D2080">
        <v>485</v>
      </c>
      <c r="E2080" s="1">
        <v>46905043000117</v>
      </c>
      <c r="F2080">
        <v>485</v>
      </c>
      <c r="G2080" s="10">
        <v>177688482775211</v>
      </c>
      <c r="H2080" t="s">
        <v>596</v>
      </c>
      <c r="I2080" t="s">
        <v>52</v>
      </c>
      <c r="J2080" t="s">
        <v>22</v>
      </c>
      <c r="K2080" t="s">
        <v>36</v>
      </c>
      <c r="L2080" t="s">
        <v>36</v>
      </c>
      <c r="M2080" t="s">
        <v>284</v>
      </c>
      <c r="N2080" t="s">
        <v>53</v>
      </c>
      <c r="O2080">
        <v>19</v>
      </c>
      <c r="R2080" s="11">
        <v>0</v>
      </c>
      <c r="S2080" t="s">
        <v>37</v>
      </c>
      <c r="T2080" t="str">
        <f>IF(Tabela1[[#This Row],[STATUS_NEGOCIO]]="Enviar E-mail",1,"")</f>
        <v/>
      </c>
      <c r="U2080" t="str">
        <f>TEXT(Tabela1[[#This Row],[DATA]],"dd/mm/aaaa")</f>
        <v>22/04/2026</v>
      </c>
    </row>
    <row r="2081" spans="1:21" x14ac:dyDescent="0.25">
      <c r="A2081" s="9">
        <v>46134.671689814815</v>
      </c>
      <c r="B2081" t="s">
        <v>19</v>
      </c>
      <c r="C2081" t="s">
        <v>37</v>
      </c>
      <c r="D2081">
        <v>487</v>
      </c>
      <c r="E2081" s="1">
        <v>48145681000102</v>
      </c>
      <c r="F2081">
        <v>487</v>
      </c>
      <c r="G2081" s="10">
        <v>177688483475251</v>
      </c>
      <c r="H2081" t="s">
        <v>597</v>
      </c>
      <c r="I2081" t="s">
        <v>52</v>
      </c>
      <c r="J2081" t="s">
        <v>22</v>
      </c>
      <c r="K2081" t="s">
        <v>36</v>
      </c>
      <c r="L2081" t="s">
        <v>36</v>
      </c>
      <c r="M2081" t="s">
        <v>284</v>
      </c>
      <c r="N2081" t="s">
        <v>53</v>
      </c>
      <c r="O2081">
        <v>34</v>
      </c>
      <c r="R2081" s="11">
        <v>0</v>
      </c>
      <c r="S2081" t="s">
        <v>37</v>
      </c>
      <c r="T2081" t="str">
        <f>IF(Tabela1[[#This Row],[STATUS_NEGOCIO]]="Enviar E-mail",1,"")</f>
        <v/>
      </c>
      <c r="U2081" t="str">
        <f>TEXT(Tabela1[[#This Row],[DATA]],"dd/mm/aaaa")</f>
        <v>22/04/2026</v>
      </c>
    </row>
    <row r="2082" spans="1:21" x14ac:dyDescent="0.25">
      <c r="A2082" s="9">
        <v>46134.672488425924</v>
      </c>
      <c r="B2082" t="s">
        <v>19</v>
      </c>
      <c r="C2082" t="s">
        <v>37</v>
      </c>
      <c r="D2082">
        <v>514</v>
      </c>
      <c r="E2082" s="1">
        <v>53691935000128</v>
      </c>
      <c r="F2082">
        <v>514</v>
      </c>
      <c r="G2082" s="10">
        <v>177688490375771</v>
      </c>
      <c r="H2082" t="s">
        <v>614</v>
      </c>
      <c r="I2082" t="s">
        <v>52</v>
      </c>
      <c r="J2082" t="s">
        <v>22</v>
      </c>
      <c r="K2082" t="s">
        <v>36</v>
      </c>
      <c r="L2082" t="s">
        <v>36</v>
      </c>
      <c r="M2082" t="s">
        <v>284</v>
      </c>
      <c r="N2082" t="s">
        <v>53</v>
      </c>
      <c r="O2082">
        <v>21</v>
      </c>
      <c r="R2082" s="11">
        <v>0</v>
      </c>
      <c r="S2082" t="s">
        <v>37</v>
      </c>
      <c r="T2082" t="str">
        <f>IF(Tabela1[[#This Row],[STATUS_NEGOCIO]]="Enviar E-mail",1,"")</f>
        <v/>
      </c>
      <c r="U2082" t="str">
        <f>TEXT(Tabela1[[#This Row],[DATA]],"dd/mm/aaaa")</f>
        <v>22/04/2026</v>
      </c>
    </row>
    <row r="2083" spans="1:21" x14ac:dyDescent="0.25">
      <c r="A2083" s="9">
        <v>46134.672824074078</v>
      </c>
      <c r="B2083" t="s">
        <v>19</v>
      </c>
      <c r="C2083" t="s">
        <v>37</v>
      </c>
      <c r="D2083">
        <v>523</v>
      </c>
      <c r="E2083" s="1">
        <v>56932666000132</v>
      </c>
      <c r="F2083">
        <v>523</v>
      </c>
      <c r="G2083" s="10">
        <v>177688493275961</v>
      </c>
      <c r="H2083" t="s">
        <v>617</v>
      </c>
      <c r="I2083" t="s">
        <v>52</v>
      </c>
      <c r="J2083" t="s">
        <v>22</v>
      </c>
      <c r="K2083" t="s">
        <v>62</v>
      </c>
      <c r="L2083" t="s">
        <v>62</v>
      </c>
      <c r="M2083" t="s">
        <v>284</v>
      </c>
      <c r="N2083" t="s">
        <v>53</v>
      </c>
      <c r="O2083">
        <v>17</v>
      </c>
      <c r="R2083" s="11">
        <v>0</v>
      </c>
      <c r="S2083" t="s">
        <v>37</v>
      </c>
      <c r="T2083" t="str">
        <f>IF(Tabela1[[#This Row],[STATUS_NEGOCIO]]="Enviar E-mail",1,"")</f>
        <v/>
      </c>
      <c r="U2083" t="str">
        <f>TEXT(Tabela1[[#This Row],[DATA]],"dd/mm/aaaa")</f>
        <v>22/04/2026</v>
      </c>
    </row>
    <row r="2084" spans="1:21" x14ac:dyDescent="0.25">
      <c r="A2084" s="9">
        <v>46134.673645833333</v>
      </c>
      <c r="B2084" t="s">
        <v>19</v>
      </c>
      <c r="C2084" t="s">
        <v>37</v>
      </c>
      <c r="D2084">
        <v>544</v>
      </c>
      <c r="E2084" s="1">
        <v>73353534000175</v>
      </c>
      <c r="F2084">
        <v>544</v>
      </c>
      <c r="G2084" s="10">
        <v>177688500376351</v>
      </c>
      <c r="H2084" t="s">
        <v>627</v>
      </c>
      <c r="I2084" t="s">
        <v>52</v>
      </c>
      <c r="J2084" t="s">
        <v>22</v>
      </c>
      <c r="K2084" t="s">
        <v>36</v>
      </c>
      <c r="L2084" t="s">
        <v>36</v>
      </c>
      <c r="M2084" t="s">
        <v>284</v>
      </c>
      <c r="N2084" t="s">
        <v>53</v>
      </c>
      <c r="O2084">
        <v>19</v>
      </c>
      <c r="R2084" s="11">
        <v>0</v>
      </c>
      <c r="S2084" t="s">
        <v>37</v>
      </c>
      <c r="T2084" t="str">
        <f>IF(Tabela1[[#This Row],[STATUS_NEGOCIO]]="Enviar E-mail",1,"")</f>
        <v/>
      </c>
      <c r="U2084" t="str">
        <f>TEXT(Tabela1[[#This Row],[DATA]],"dd/mm/aaaa")</f>
        <v>22/04/2026</v>
      </c>
    </row>
    <row r="2085" spans="1:21" x14ac:dyDescent="0.25">
      <c r="A2085" s="9">
        <v>46134.687962962962</v>
      </c>
      <c r="B2085" t="s">
        <v>19</v>
      </c>
      <c r="C2085" t="s">
        <v>37</v>
      </c>
      <c r="D2085">
        <v>17</v>
      </c>
      <c r="E2085" s="1">
        <v>1340549000198</v>
      </c>
      <c r="F2085">
        <v>17</v>
      </c>
      <c r="G2085" s="10">
        <v>177688624078241</v>
      </c>
      <c r="H2085" t="s">
        <v>281</v>
      </c>
      <c r="I2085" t="s">
        <v>52</v>
      </c>
      <c r="J2085" t="s">
        <v>22</v>
      </c>
      <c r="K2085" t="s">
        <v>36</v>
      </c>
      <c r="L2085" t="s">
        <v>36</v>
      </c>
      <c r="M2085" t="s">
        <v>284</v>
      </c>
      <c r="N2085" t="s">
        <v>53</v>
      </c>
      <c r="O2085">
        <v>19</v>
      </c>
      <c r="R2085" s="11">
        <v>0</v>
      </c>
      <c r="S2085" t="s">
        <v>37</v>
      </c>
      <c r="T2085" t="str">
        <f>IF(Tabela1[[#This Row],[STATUS_NEGOCIO]]="Enviar E-mail",1,"")</f>
        <v/>
      </c>
      <c r="U2085" t="str">
        <f>TEXT(Tabela1[[#This Row],[DATA]],"dd/mm/aaaa")</f>
        <v>22/04/2026</v>
      </c>
    </row>
    <row r="2086" spans="1:21" x14ac:dyDescent="0.25">
      <c r="A2086" s="9">
        <v>46134.687962962962</v>
      </c>
      <c r="B2086" t="s">
        <v>19</v>
      </c>
      <c r="C2086" t="s">
        <v>37</v>
      </c>
      <c r="D2086">
        <v>19</v>
      </c>
      <c r="E2086" s="1">
        <v>1399122000165</v>
      </c>
      <c r="F2086">
        <v>19</v>
      </c>
      <c r="G2086" s="10">
        <v>177688624078261</v>
      </c>
      <c r="H2086" t="s">
        <v>285</v>
      </c>
      <c r="I2086" t="s">
        <v>52</v>
      </c>
      <c r="J2086" t="s">
        <v>22</v>
      </c>
      <c r="K2086" t="s">
        <v>62</v>
      </c>
      <c r="L2086" t="s">
        <v>62</v>
      </c>
      <c r="M2086" t="s">
        <v>284</v>
      </c>
      <c r="N2086" t="s">
        <v>53</v>
      </c>
      <c r="O2086">
        <v>17</v>
      </c>
      <c r="R2086" s="11">
        <v>0</v>
      </c>
      <c r="S2086" t="s">
        <v>37</v>
      </c>
      <c r="T2086" t="str">
        <f>IF(Tabela1[[#This Row],[STATUS_NEGOCIO]]="Enviar E-mail",1,"")</f>
        <v/>
      </c>
      <c r="U2086" t="str">
        <f>TEXT(Tabela1[[#This Row],[DATA]],"dd/mm/aaaa")</f>
        <v>22/04/2026</v>
      </c>
    </row>
    <row r="2087" spans="1:21" x14ac:dyDescent="0.25">
      <c r="A2087" s="9">
        <v>46134.687962962962</v>
      </c>
      <c r="B2087" t="s">
        <v>19</v>
      </c>
      <c r="C2087" t="s">
        <v>37</v>
      </c>
      <c r="D2087">
        <v>22</v>
      </c>
      <c r="E2087" s="1">
        <v>1632895000140</v>
      </c>
      <c r="F2087">
        <v>22</v>
      </c>
      <c r="G2087" s="10">
        <v>177688624078271</v>
      </c>
      <c r="H2087" t="s">
        <v>287</v>
      </c>
      <c r="I2087" t="s">
        <v>52</v>
      </c>
      <c r="J2087" t="s">
        <v>22</v>
      </c>
      <c r="K2087" t="s">
        <v>36</v>
      </c>
      <c r="L2087" t="s">
        <v>36</v>
      </c>
      <c r="M2087" t="s">
        <v>284</v>
      </c>
      <c r="N2087" t="s">
        <v>53</v>
      </c>
      <c r="O2087">
        <v>34</v>
      </c>
      <c r="R2087" s="11">
        <v>0</v>
      </c>
      <c r="S2087" t="s">
        <v>37</v>
      </c>
      <c r="T2087" t="str">
        <f>IF(Tabela1[[#This Row],[STATUS_NEGOCIO]]="Enviar E-mail",1,"")</f>
        <v/>
      </c>
      <c r="U2087" t="str">
        <f>TEXT(Tabela1[[#This Row],[DATA]],"dd/mm/aaaa")</f>
        <v>22/04/2026</v>
      </c>
    </row>
    <row r="2088" spans="1:21" x14ac:dyDescent="0.25">
      <c r="A2088" s="9">
        <v>46134.687962962962</v>
      </c>
      <c r="B2088" t="s">
        <v>19</v>
      </c>
      <c r="C2088" t="s">
        <v>37</v>
      </c>
      <c r="D2088">
        <v>23</v>
      </c>
      <c r="E2088" s="1">
        <v>1721269000120</v>
      </c>
      <c r="F2088">
        <v>23</v>
      </c>
      <c r="G2088" s="10">
        <v>177688624078281</v>
      </c>
      <c r="H2088" t="s">
        <v>288</v>
      </c>
      <c r="I2088" t="s">
        <v>52</v>
      </c>
      <c r="J2088" t="s">
        <v>22</v>
      </c>
      <c r="K2088" t="s">
        <v>36</v>
      </c>
      <c r="L2088" t="s">
        <v>36</v>
      </c>
      <c r="M2088" t="s">
        <v>284</v>
      </c>
      <c r="N2088" t="s">
        <v>53</v>
      </c>
      <c r="O2088">
        <v>34</v>
      </c>
      <c r="R2088" s="11">
        <v>0</v>
      </c>
      <c r="S2088" t="s">
        <v>37</v>
      </c>
      <c r="T2088" t="str">
        <f>IF(Tabela1[[#This Row],[STATUS_NEGOCIO]]="Enviar E-mail",1,"")</f>
        <v/>
      </c>
      <c r="U2088" t="str">
        <f>TEXT(Tabela1[[#This Row],[DATA]],"dd/mm/aaaa")</f>
        <v>22/04/2026</v>
      </c>
    </row>
    <row r="2089" spans="1:21" x14ac:dyDescent="0.25">
      <c r="A2089" s="9">
        <v>46134.687962962962</v>
      </c>
      <c r="B2089" t="s">
        <v>19</v>
      </c>
      <c r="C2089" t="s">
        <v>37</v>
      </c>
      <c r="D2089">
        <v>28</v>
      </c>
      <c r="E2089" s="1">
        <v>1978794000125</v>
      </c>
      <c r="F2089">
        <v>28</v>
      </c>
      <c r="G2089" s="10">
        <v>177688624078291</v>
      </c>
      <c r="H2089" t="s">
        <v>292</v>
      </c>
      <c r="I2089" t="s">
        <v>52</v>
      </c>
      <c r="J2089" t="s">
        <v>22</v>
      </c>
      <c r="K2089" t="s">
        <v>36</v>
      </c>
      <c r="L2089" t="s">
        <v>36</v>
      </c>
      <c r="M2089" t="s">
        <v>284</v>
      </c>
      <c r="N2089" t="s">
        <v>53</v>
      </c>
      <c r="O2089">
        <v>34</v>
      </c>
      <c r="R2089" s="11">
        <v>0</v>
      </c>
      <c r="S2089" t="s">
        <v>37</v>
      </c>
      <c r="T2089" t="str">
        <f>IF(Tabela1[[#This Row],[STATUS_NEGOCIO]]="Enviar E-mail",1,"")</f>
        <v/>
      </c>
      <c r="U2089" t="str">
        <f>TEXT(Tabela1[[#This Row],[DATA]],"dd/mm/aaaa")</f>
        <v>22/04/2026</v>
      </c>
    </row>
    <row r="2090" spans="1:21" x14ac:dyDescent="0.25">
      <c r="A2090" s="9">
        <v>46134.687962962962</v>
      </c>
      <c r="B2090" t="s">
        <v>19</v>
      </c>
      <c r="C2090" t="s">
        <v>37</v>
      </c>
      <c r="D2090">
        <v>35</v>
      </c>
      <c r="E2090" s="1">
        <v>2326459000105</v>
      </c>
      <c r="F2090">
        <v>35</v>
      </c>
      <c r="G2090" s="10">
        <v>177688624078321</v>
      </c>
      <c r="H2090" t="s">
        <v>295</v>
      </c>
      <c r="I2090" t="s">
        <v>52</v>
      </c>
      <c r="J2090" t="s">
        <v>22</v>
      </c>
      <c r="K2090" t="s">
        <v>36</v>
      </c>
      <c r="L2090" t="s">
        <v>36</v>
      </c>
      <c r="M2090" t="s">
        <v>284</v>
      </c>
      <c r="N2090" t="s">
        <v>53</v>
      </c>
      <c r="O2090">
        <v>19</v>
      </c>
      <c r="R2090" s="11">
        <v>0</v>
      </c>
      <c r="S2090" t="s">
        <v>37</v>
      </c>
      <c r="T2090" t="str">
        <f>IF(Tabela1[[#This Row],[STATUS_NEGOCIO]]="Enviar E-mail",1,"")</f>
        <v/>
      </c>
      <c r="U2090" t="str">
        <f>TEXT(Tabela1[[#This Row],[DATA]],"dd/mm/aaaa")</f>
        <v>22/04/2026</v>
      </c>
    </row>
    <row r="2091" spans="1:21" x14ac:dyDescent="0.25">
      <c r="A2091" s="9">
        <v>46134.688148148147</v>
      </c>
      <c r="B2091" t="s">
        <v>19</v>
      </c>
      <c r="C2091" t="s">
        <v>37</v>
      </c>
      <c r="D2091">
        <v>39</v>
      </c>
      <c r="E2091" s="1">
        <v>2510074000101</v>
      </c>
      <c r="F2091">
        <v>39</v>
      </c>
      <c r="G2091" s="10">
        <v>177688625678341</v>
      </c>
      <c r="H2091" t="s">
        <v>299</v>
      </c>
      <c r="I2091" t="s">
        <v>52</v>
      </c>
      <c r="J2091" t="s">
        <v>22</v>
      </c>
      <c r="K2091" t="s">
        <v>36</v>
      </c>
      <c r="L2091" t="s">
        <v>36</v>
      </c>
      <c r="M2091" t="s">
        <v>284</v>
      </c>
      <c r="N2091" t="s">
        <v>53</v>
      </c>
      <c r="O2091">
        <v>19</v>
      </c>
      <c r="R2091" s="11">
        <v>0</v>
      </c>
      <c r="S2091" t="s">
        <v>37</v>
      </c>
      <c r="T2091" t="str">
        <f>IF(Tabela1[[#This Row],[STATUS_NEGOCIO]]="Enviar E-mail",1,"")</f>
        <v/>
      </c>
      <c r="U2091" t="str">
        <f>TEXT(Tabela1[[#This Row],[DATA]],"dd/mm/aaaa")</f>
        <v>22/04/2026</v>
      </c>
    </row>
    <row r="2092" spans="1:21" x14ac:dyDescent="0.25">
      <c r="A2092" s="9">
        <v>46134.68818287037</v>
      </c>
      <c r="B2092" t="s">
        <v>19</v>
      </c>
      <c r="C2092" t="s">
        <v>37</v>
      </c>
      <c r="D2092">
        <v>40</v>
      </c>
      <c r="E2092" s="1">
        <v>2604580000151</v>
      </c>
      <c r="F2092">
        <v>40</v>
      </c>
      <c r="G2092" s="10">
        <v>177688625978361</v>
      </c>
      <c r="H2092" t="s">
        <v>300</v>
      </c>
      <c r="I2092" t="s">
        <v>52</v>
      </c>
      <c r="J2092" t="s">
        <v>22</v>
      </c>
      <c r="K2092" t="s">
        <v>36</v>
      </c>
      <c r="L2092" t="s">
        <v>36</v>
      </c>
      <c r="M2092" t="s">
        <v>284</v>
      </c>
      <c r="N2092" t="s">
        <v>53</v>
      </c>
      <c r="O2092">
        <v>19</v>
      </c>
      <c r="R2092" s="11">
        <v>0</v>
      </c>
      <c r="S2092" t="s">
        <v>37</v>
      </c>
      <c r="T2092" t="str">
        <f>IF(Tabela1[[#This Row],[STATUS_NEGOCIO]]="Enviar E-mail",1,"")</f>
        <v/>
      </c>
      <c r="U2092" t="str">
        <f>TEXT(Tabela1[[#This Row],[DATA]],"dd/mm/aaaa")</f>
        <v>22/04/2026</v>
      </c>
    </row>
    <row r="2093" spans="1:21" x14ac:dyDescent="0.25">
      <c r="A2093" s="9">
        <v>46134.688460648147</v>
      </c>
      <c r="B2093" t="s">
        <v>19</v>
      </c>
      <c r="C2093" t="s">
        <v>37</v>
      </c>
      <c r="D2093">
        <v>46</v>
      </c>
      <c r="E2093" s="1">
        <v>2961614000165</v>
      </c>
      <c r="F2093">
        <v>46</v>
      </c>
      <c r="G2093" s="10">
        <v>177688628378421</v>
      </c>
      <c r="H2093" t="s">
        <v>192</v>
      </c>
      <c r="I2093" t="s">
        <v>52</v>
      </c>
      <c r="J2093" t="s">
        <v>22</v>
      </c>
      <c r="K2093" t="s">
        <v>36</v>
      </c>
      <c r="L2093" t="s">
        <v>36</v>
      </c>
      <c r="M2093" t="s">
        <v>284</v>
      </c>
      <c r="N2093" t="s">
        <v>53</v>
      </c>
      <c r="O2093">
        <v>34</v>
      </c>
      <c r="R2093" s="11">
        <v>0</v>
      </c>
      <c r="S2093" t="s">
        <v>37</v>
      </c>
      <c r="T2093" t="str">
        <f>IF(Tabela1[[#This Row],[STATUS_NEGOCIO]]="Enviar E-mail",1,"")</f>
        <v/>
      </c>
      <c r="U2093" t="str">
        <f>TEXT(Tabela1[[#This Row],[DATA]],"dd/mm/aaaa")</f>
        <v>22/04/2026</v>
      </c>
    </row>
    <row r="2094" spans="1:21" x14ac:dyDescent="0.25">
      <c r="A2094" s="9">
        <v>46134.689664351848</v>
      </c>
      <c r="B2094" t="s">
        <v>19</v>
      </c>
      <c r="C2094" t="s">
        <v>37</v>
      </c>
      <c r="D2094">
        <v>83</v>
      </c>
      <c r="E2094" s="1">
        <v>5485452000124</v>
      </c>
      <c r="F2094">
        <v>83</v>
      </c>
      <c r="G2094" s="10">
        <v>177688638779021</v>
      </c>
      <c r="H2094" t="s">
        <v>325</v>
      </c>
      <c r="I2094" t="s">
        <v>52</v>
      </c>
      <c r="J2094" t="s">
        <v>22</v>
      </c>
      <c r="K2094" t="s">
        <v>36</v>
      </c>
      <c r="L2094" t="s">
        <v>36</v>
      </c>
      <c r="M2094" t="s">
        <v>284</v>
      </c>
      <c r="N2094" t="s">
        <v>53</v>
      </c>
      <c r="O2094">
        <v>19</v>
      </c>
      <c r="R2094" s="11">
        <v>0</v>
      </c>
      <c r="S2094" t="s">
        <v>37</v>
      </c>
      <c r="T2094" t="str">
        <f>IF(Tabela1[[#This Row],[STATUS_NEGOCIO]]="Enviar E-mail",1,"")</f>
        <v/>
      </c>
      <c r="U2094" t="str">
        <f>TEXT(Tabela1[[#This Row],[DATA]],"dd/mm/aaaa")</f>
        <v>22/04/2026</v>
      </c>
    </row>
    <row r="2095" spans="1:21" x14ac:dyDescent="0.25">
      <c r="A2095" s="9">
        <v>46134.689965277779</v>
      </c>
      <c r="B2095" t="s">
        <v>19</v>
      </c>
      <c r="C2095" t="s">
        <v>37</v>
      </c>
      <c r="D2095">
        <v>91</v>
      </c>
      <c r="E2095" s="1">
        <v>6058857000149</v>
      </c>
      <c r="F2095">
        <v>91</v>
      </c>
      <c r="G2095" s="10">
        <v>177688641379161</v>
      </c>
      <c r="H2095" t="s">
        <v>254</v>
      </c>
      <c r="I2095" t="s">
        <v>52</v>
      </c>
      <c r="J2095" t="s">
        <v>22</v>
      </c>
      <c r="K2095" t="s">
        <v>36</v>
      </c>
      <c r="L2095" t="s">
        <v>36</v>
      </c>
      <c r="M2095" t="s">
        <v>284</v>
      </c>
      <c r="N2095" t="s">
        <v>53</v>
      </c>
      <c r="O2095">
        <v>19</v>
      </c>
      <c r="R2095" s="11">
        <v>0</v>
      </c>
      <c r="S2095" t="s">
        <v>37</v>
      </c>
      <c r="T2095" t="str">
        <f>IF(Tabela1[[#This Row],[STATUS_NEGOCIO]]="Enviar E-mail",1,"")</f>
        <v/>
      </c>
      <c r="U2095" t="str">
        <f>TEXT(Tabela1[[#This Row],[DATA]],"dd/mm/aaaa")</f>
        <v>22/04/2026</v>
      </c>
    </row>
    <row r="2096" spans="1:21" x14ac:dyDescent="0.25">
      <c r="A2096" s="9">
        <v>46134.690011574072</v>
      </c>
      <c r="B2096" t="s">
        <v>19</v>
      </c>
      <c r="C2096" t="s">
        <v>37</v>
      </c>
      <c r="D2096">
        <v>93</v>
      </c>
      <c r="E2096" s="1">
        <v>6100968000176</v>
      </c>
      <c r="F2096">
        <v>93</v>
      </c>
      <c r="G2096" s="10">
        <v>177688641779201</v>
      </c>
      <c r="H2096" t="s">
        <v>330</v>
      </c>
      <c r="I2096" t="s">
        <v>52</v>
      </c>
      <c r="J2096" t="s">
        <v>22</v>
      </c>
      <c r="K2096" t="s">
        <v>36</v>
      </c>
      <c r="L2096" t="s">
        <v>36</v>
      </c>
      <c r="M2096" t="s">
        <v>284</v>
      </c>
      <c r="N2096" t="s">
        <v>53</v>
      </c>
      <c r="O2096">
        <v>1</v>
      </c>
      <c r="R2096" s="11">
        <v>0</v>
      </c>
      <c r="S2096" t="s">
        <v>37</v>
      </c>
      <c r="T2096" t="str">
        <f>IF(Tabela1[[#This Row],[STATUS_NEGOCIO]]="Enviar E-mail",1,"")</f>
        <v/>
      </c>
      <c r="U2096" t="str">
        <f>TEXT(Tabela1[[#This Row],[DATA]],"dd/mm/aaaa")</f>
        <v>22/04/2026</v>
      </c>
    </row>
    <row r="2097" spans="1:21" x14ac:dyDescent="0.25">
      <c r="A2097" s="9">
        <v>46134.690370370372</v>
      </c>
      <c r="B2097" t="s">
        <v>19</v>
      </c>
      <c r="C2097" t="s">
        <v>37</v>
      </c>
      <c r="D2097">
        <v>98</v>
      </c>
      <c r="E2097" s="1">
        <v>6652280000107</v>
      </c>
      <c r="F2097">
        <v>98</v>
      </c>
      <c r="G2097" s="10">
        <v>177688644879281</v>
      </c>
      <c r="H2097" t="s">
        <v>333</v>
      </c>
      <c r="I2097" t="s">
        <v>52</v>
      </c>
      <c r="J2097" t="s">
        <v>22</v>
      </c>
      <c r="K2097" t="s">
        <v>36</v>
      </c>
      <c r="L2097" t="s">
        <v>36</v>
      </c>
      <c r="M2097" t="s">
        <v>284</v>
      </c>
      <c r="N2097" t="s">
        <v>53</v>
      </c>
      <c r="O2097">
        <v>1</v>
      </c>
      <c r="R2097" s="11">
        <v>0</v>
      </c>
      <c r="S2097" t="s">
        <v>37</v>
      </c>
      <c r="T2097" t="str">
        <f>IF(Tabela1[[#This Row],[STATUS_NEGOCIO]]="Enviar E-mail",1,"")</f>
        <v/>
      </c>
      <c r="U2097" t="str">
        <f>TEXT(Tabela1[[#This Row],[DATA]],"dd/mm/aaaa")</f>
        <v>22/04/2026</v>
      </c>
    </row>
    <row r="2098" spans="1:21" x14ac:dyDescent="0.25">
      <c r="A2098" s="9">
        <v>46134.690428240741</v>
      </c>
      <c r="B2098" t="s">
        <v>19</v>
      </c>
      <c r="C2098" t="s">
        <v>37</v>
      </c>
      <c r="D2098">
        <v>100</v>
      </c>
      <c r="E2098" s="1">
        <v>7042642000364</v>
      </c>
      <c r="F2098">
        <v>100</v>
      </c>
      <c r="G2098" s="10">
        <v>177688645379311</v>
      </c>
      <c r="H2098" t="s">
        <v>335</v>
      </c>
      <c r="I2098" t="s">
        <v>52</v>
      </c>
      <c r="J2098" t="s">
        <v>22</v>
      </c>
      <c r="K2098" t="s">
        <v>36</v>
      </c>
      <c r="L2098" t="s">
        <v>36</v>
      </c>
      <c r="M2098" t="s">
        <v>284</v>
      </c>
      <c r="N2098" t="s">
        <v>53</v>
      </c>
      <c r="O2098">
        <v>19</v>
      </c>
      <c r="R2098" s="11">
        <v>0</v>
      </c>
      <c r="S2098" t="s">
        <v>37</v>
      </c>
      <c r="T2098" t="str">
        <f>IF(Tabela1[[#This Row],[STATUS_NEGOCIO]]="Enviar E-mail",1,"")</f>
        <v/>
      </c>
      <c r="U2098" t="str">
        <f>TEXT(Tabela1[[#This Row],[DATA]],"dd/mm/aaaa")</f>
        <v>22/04/2026</v>
      </c>
    </row>
    <row r="2099" spans="1:21" x14ac:dyDescent="0.25">
      <c r="A2099" s="9">
        <v>46134.691516203704</v>
      </c>
      <c r="B2099" t="s">
        <v>19</v>
      </c>
      <c r="C2099" t="s">
        <v>37</v>
      </c>
      <c r="D2099">
        <v>127</v>
      </c>
      <c r="E2099" s="1">
        <v>8879331000155</v>
      </c>
      <c r="F2099">
        <v>127</v>
      </c>
      <c r="G2099" s="10">
        <v>177688654780021</v>
      </c>
      <c r="H2099" t="s">
        <v>355</v>
      </c>
      <c r="I2099" t="s">
        <v>52</v>
      </c>
      <c r="J2099" t="s">
        <v>22</v>
      </c>
      <c r="K2099" t="s">
        <v>36</v>
      </c>
      <c r="L2099" t="s">
        <v>36</v>
      </c>
      <c r="M2099" t="s">
        <v>284</v>
      </c>
      <c r="N2099" t="s">
        <v>53</v>
      </c>
      <c r="O2099">
        <v>34</v>
      </c>
      <c r="R2099" s="11">
        <v>0</v>
      </c>
      <c r="S2099" t="s">
        <v>37</v>
      </c>
      <c r="T2099" t="str">
        <f>IF(Tabela1[[#This Row],[STATUS_NEGOCIO]]="Enviar E-mail",1,"")</f>
        <v/>
      </c>
      <c r="U2099" t="str">
        <f>TEXT(Tabela1[[#This Row],[DATA]],"dd/mm/aaaa")</f>
        <v>22/04/2026</v>
      </c>
    </row>
    <row r="2100" spans="1:21" x14ac:dyDescent="0.25">
      <c r="A2100" s="9">
        <v>46134.692314814813</v>
      </c>
      <c r="B2100" t="s">
        <v>19</v>
      </c>
      <c r="C2100" t="s">
        <v>37</v>
      </c>
      <c r="D2100">
        <v>148</v>
      </c>
      <c r="E2100" s="1">
        <v>10379649000119</v>
      </c>
      <c r="F2100">
        <v>148</v>
      </c>
      <c r="G2100" s="10">
        <v>177688661680561</v>
      </c>
      <c r="H2100" t="s">
        <v>96</v>
      </c>
      <c r="I2100" t="s">
        <v>52</v>
      </c>
      <c r="J2100" t="s">
        <v>22</v>
      </c>
      <c r="K2100" t="s">
        <v>36</v>
      </c>
      <c r="L2100" t="s">
        <v>36</v>
      </c>
      <c r="M2100" t="s">
        <v>284</v>
      </c>
      <c r="N2100" t="s">
        <v>53</v>
      </c>
      <c r="O2100">
        <v>19</v>
      </c>
      <c r="R2100" s="11">
        <v>0</v>
      </c>
      <c r="S2100" t="s">
        <v>37</v>
      </c>
      <c r="T2100" t="str">
        <f>IF(Tabela1[[#This Row],[STATUS_NEGOCIO]]="Enviar E-mail",1,"")</f>
        <v/>
      </c>
      <c r="U2100" t="str">
        <f>TEXT(Tabela1[[#This Row],[DATA]],"dd/mm/aaaa")</f>
        <v>22/04/2026</v>
      </c>
    </row>
    <row r="2101" spans="1:21" x14ac:dyDescent="0.25">
      <c r="A2101" s="9">
        <v>46134.692361111112</v>
      </c>
      <c r="B2101" t="s">
        <v>19</v>
      </c>
      <c r="C2101" t="s">
        <v>37</v>
      </c>
      <c r="D2101">
        <v>150</v>
      </c>
      <c r="E2101" s="1">
        <v>10443491000107</v>
      </c>
      <c r="F2101">
        <v>150</v>
      </c>
      <c r="G2101" s="10">
        <v>177688662080611</v>
      </c>
      <c r="H2101" t="s">
        <v>371</v>
      </c>
      <c r="I2101" t="s">
        <v>52</v>
      </c>
      <c r="J2101" t="s">
        <v>22</v>
      </c>
      <c r="K2101" t="s">
        <v>36</v>
      </c>
      <c r="L2101" t="s">
        <v>36</v>
      </c>
      <c r="M2101" t="s">
        <v>284</v>
      </c>
      <c r="N2101" t="s">
        <v>53</v>
      </c>
      <c r="O2101">
        <v>19</v>
      </c>
      <c r="R2101" s="11">
        <v>0</v>
      </c>
      <c r="S2101" t="s">
        <v>37</v>
      </c>
      <c r="T2101" t="str">
        <f>IF(Tabela1[[#This Row],[STATUS_NEGOCIO]]="Enviar E-mail",1,"")</f>
        <v/>
      </c>
      <c r="U2101" t="str">
        <f>TEXT(Tabela1[[#This Row],[DATA]],"dd/mm/aaaa")</f>
        <v>22/04/2026</v>
      </c>
    </row>
    <row r="2102" spans="1:21" x14ac:dyDescent="0.25">
      <c r="A2102" s="9">
        <v>46134.693148148152</v>
      </c>
      <c r="B2102" t="s">
        <v>19</v>
      </c>
      <c r="C2102" t="s">
        <v>37</v>
      </c>
      <c r="D2102">
        <v>171</v>
      </c>
      <c r="E2102" s="1">
        <v>12072761000138</v>
      </c>
      <c r="F2102">
        <v>171</v>
      </c>
      <c r="G2102" s="10">
        <v>177688668881121</v>
      </c>
      <c r="H2102" t="s">
        <v>131</v>
      </c>
      <c r="I2102" t="s">
        <v>52</v>
      </c>
      <c r="J2102" t="s">
        <v>22</v>
      </c>
      <c r="K2102" t="s">
        <v>36</v>
      </c>
      <c r="L2102" t="s">
        <v>36</v>
      </c>
      <c r="M2102" t="s">
        <v>284</v>
      </c>
      <c r="N2102" t="s">
        <v>53</v>
      </c>
      <c r="O2102">
        <v>1</v>
      </c>
      <c r="R2102" s="11">
        <v>0</v>
      </c>
      <c r="S2102" t="s">
        <v>37</v>
      </c>
      <c r="T2102" t="str">
        <f>IF(Tabela1[[#This Row],[STATUS_NEGOCIO]]="Enviar E-mail",1,"")</f>
        <v/>
      </c>
      <c r="U2102" t="str">
        <f>TEXT(Tabela1[[#This Row],[DATA]],"dd/mm/aaaa")</f>
        <v>22/04/2026</v>
      </c>
    </row>
    <row r="2103" spans="1:21" x14ac:dyDescent="0.25">
      <c r="A2103" s="9">
        <v>46134.693576388891</v>
      </c>
      <c r="B2103" t="s">
        <v>19</v>
      </c>
      <c r="C2103" t="s">
        <v>37</v>
      </c>
      <c r="D2103">
        <v>184</v>
      </c>
      <c r="E2103" s="1">
        <v>13410313000160</v>
      </c>
      <c r="F2103">
        <v>184</v>
      </c>
      <c r="G2103" s="10">
        <v>177688672581321</v>
      </c>
      <c r="H2103" t="s">
        <v>397</v>
      </c>
      <c r="I2103" t="s">
        <v>52</v>
      </c>
      <c r="J2103" t="s">
        <v>22</v>
      </c>
      <c r="K2103" t="s">
        <v>36</v>
      </c>
      <c r="L2103" t="s">
        <v>36</v>
      </c>
      <c r="M2103" t="s">
        <v>284</v>
      </c>
      <c r="N2103" t="s">
        <v>53</v>
      </c>
      <c r="O2103">
        <v>34</v>
      </c>
      <c r="R2103" s="11">
        <v>0</v>
      </c>
      <c r="S2103" t="s">
        <v>37</v>
      </c>
      <c r="T2103" t="str">
        <f>IF(Tabela1[[#This Row],[STATUS_NEGOCIO]]="Enviar E-mail",1,"")</f>
        <v/>
      </c>
      <c r="U2103" t="str">
        <f>TEXT(Tabela1[[#This Row],[DATA]],"dd/mm/aaaa")</f>
        <v>22/04/2026</v>
      </c>
    </row>
    <row r="2104" spans="1:21" x14ac:dyDescent="0.25">
      <c r="A2104" s="9">
        <v>46134.693657407406</v>
      </c>
      <c r="B2104" t="s">
        <v>19</v>
      </c>
      <c r="C2104" t="s">
        <v>37</v>
      </c>
      <c r="D2104">
        <v>193</v>
      </c>
      <c r="E2104" s="1">
        <v>14370573000111</v>
      </c>
      <c r="F2104">
        <v>193</v>
      </c>
      <c r="G2104" s="10">
        <v>177688673281391</v>
      </c>
      <c r="H2104" t="s">
        <v>86</v>
      </c>
      <c r="I2104" t="s">
        <v>52</v>
      </c>
      <c r="J2104" t="s">
        <v>22</v>
      </c>
      <c r="K2104" t="s">
        <v>36</v>
      </c>
      <c r="L2104" t="s">
        <v>36</v>
      </c>
      <c r="M2104" t="s">
        <v>284</v>
      </c>
      <c r="N2104" t="s">
        <v>53</v>
      </c>
      <c r="O2104">
        <v>1</v>
      </c>
      <c r="R2104" s="11">
        <v>0</v>
      </c>
      <c r="S2104" t="s">
        <v>37</v>
      </c>
      <c r="T2104" t="str">
        <f>IF(Tabela1[[#This Row],[STATUS_NEGOCIO]]="Enviar E-mail",1,"")</f>
        <v/>
      </c>
      <c r="U2104" t="str">
        <f>TEXT(Tabela1[[#This Row],[DATA]],"dd/mm/aaaa")</f>
        <v>22/04/2026</v>
      </c>
    </row>
    <row r="2105" spans="1:21" x14ac:dyDescent="0.25">
      <c r="A2105" s="9">
        <v>46134.694861111115</v>
      </c>
      <c r="B2105" t="s">
        <v>19</v>
      </c>
      <c r="C2105" t="s">
        <v>37</v>
      </c>
      <c r="D2105">
        <v>236</v>
      </c>
      <c r="E2105" s="1">
        <v>20843735000194</v>
      </c>
      <c r="F2105">
        <v>236</v>
      </c>
      <c r="G2105" s="10">
        <v>177688683682391</v>
      </c>
      <c r="H2105" t="s">
        <v>430</v>
      </c>
      <c r="I2105" t="s">
        <v>52</v>
      </c>
      <c r="J2105" t="s">
        <v>22</v>
      </c>
      <c r="K2105" t="s">
        <v>36</v>
      </c>
      <c r="L2105" t="s">
        <v>36</v>
      </c>
      <c r="M2105" t="s">
        <v>284</v>
      </c>
      <c r="N2105" t="s">
        <v>53</v>
      </c>
      <c r="O2105">
        <v>1</v>
      </c>
      <c r="R2105" s="11">
        <v>0</v>
      </c>
      <c r="S2105" t="s">
        <v>37</v>
      </c>
      <c r="T2105" t="str">
        <f>IF(Tabela1[[#This Row],[STATUS_NEGOCIO]]="Enviar E-mail",1,"")</f>
        <v/>
      </c>
      <c r="U2105" t="str">
        <f>TEXT(Tabela1[[#This Row],[DATA]],"dd/mm/aaaa")</f>
        <v>22/04/2026</v>
      </c>
    </row>
    <row r="2106" spans="1:21" x14ac:dyDescent="0.25">
      <c r="A2106" s="9">
        <v>46134.694861111115</v>
      </c>
      <c r="B2106" t="s">
        <v>19</v>
      </c>
      <c r="C2106" t="s">
        <v>37</v>
      </c>
      <c r="D2106">
        <v>240</v>
      </c>
      <c r="E2106" s="1">
        <v>21108715000132</v>
      </c>
      <c r="F2106">
        <v>240</v>
      </c>
      <c r="G2106" s="10">
        <v>177688683682401</v>
      </c>
      <c r="H2106" t="s">
        <v>28</v>
      </c>
      <c r="I2106">
        <v>3003</v>
      </c>
      <c r="J2106" t="s">
        <v>22</v>
      </c>
      <c r="K2106" t="s">
        <v>23</v>
      </c>
      <c r="L2106" s="5" t="s">
        <v>31</v>
      </c>
      <c r="M2106" t="s">
        <v>284</v>
      </c>
      <c r="N2106" t="s">
        <v>53</v>
      </c>
      <c r="O2106">
        <v>131</v>
      </c>
      <c r="R2106" s="11">
        <v>0</v>
      </c>
      <c r="S2106" t="s">
        <v>37</v>
      </c>
      <c r="T2106" t="str">
        <f>IF(Tabela1[[#This Row],[STATUS_NEGOCIO]]="Enviar E-mail",1,"")</f>
        <v/>
      </c>
      <c r="U2106" t="str">
        <f>TEXT(Tabela1[[#This Row],[DATA]],"dd/mm/aaaa")</f>
        <v>22/04/2026</v>
      </c>
    </row>
    <row r="2107" spans="1:21" x14ac:dyDescent="0.25">
      <c r="A2107" s="9">
        <v>46134.695925925924</v>
      </c>
      <c r="B2107" t="s">
        <v>19</v>
      </c>
      <c r="C2107" t="s">
        <v>37</v>
      </c>
      <c r="D2107">
        <v>268</v>
      </c>
      <c r="E2107" s="1">
        <v>24583913000146</v>
      </c>
      <c r="F2107">
        <v>268</v>
      </c>
      <c r="G2107" s="10">
        <v>177688692883171</v>
      </c>
      <c r="H2107" t="s">
        <v>65</v>
      </c>
      <c r="I2107" t="s">
        <v>52</v>
      </c>
      <c r="J2107" t="s">
        <v>22</v>
      </c>
      <c r="K2107" t="s">
        <v>62</v>
      </c>
      <c r="L2107" t="s">
        <v>62</v>
      </c>
      <c r="M2107" t="s">
        <v>284</v>
      </c>
      <c r="N2107" t="s">
        <v>53</v>
      </c>
      <c r="O2107">
        <v>17</v>
      </c>
      <c r="R2107" s="11">
        <v>0</v>
      </c>
      <c r="S2107" t="s">
        <v>37</v>
      </c>
      <c r="T2107" t="str">
        <f>IF(Tabela1[[#This Row],[STATUS_NEGOCIO]]="Enviar E-mail",1,"")</f>
        <v/>
      </c>
      <c r="U2107" t="str">
        <f>TEXT(Tabela1[[#This Row],[DATA]],"dd/mm/aaaa")</f>
        <v>22/04/2026</v>
      </c>
    </row>
    <row r="2108" spans="1:21" x14ac:dyDescent="0.25">
      <c r="A2108" s="9">
        <v>46134.696180555555</v>
      </c>
      <c r="B2108" t="s">
        <v>19</v>
      </c>
      <c r="C2108" t="s">
        <v>37</v>
      </c>
      <c r="D2108">
        <v>277</v>
      </c>
      <c r="E2108" s="1">
        <v>26344541000120</v>
      </c>
      <c r="F2108">
        <v>277</v>
      </c>
      <c r="G2108" s="10">
        <v>177688695083381</v>
      </c>
      <c r="H2108" t="s">
        <v>452</v>
      </c>
      <c r="I2108" t="s">
        <v>52</v>
      </c>
      <c r="J2108" t="s">
        <v>22</v>
      </c>
      <c r="K2108" t="s">
        <v>36</v>
      </c>
      <c r="L2108" t="s">
        <v>36</v>
      </c>
      <c r="M2108" t="s">
        <v>284</v>
      </c>
      <c r="N2108" t="s">
        <v>53</v>
      </c>
      <c r="O2108">
        <v>19</v>
      </c>
      <c r="R2108" s="11">
        <v>0</v>
      </c>
      <c r="S2108" t="s">
        <v>37</v>
      </c>
      <c r="T2108" t="str">
        <f>IF(Tabela1[[#This Row],[STATUS_NEGOCIO]]="Enviar E-mail",1,"")</f>
        <v/>
      </c>
      <c r="U2108" t="str">
        <f>TEXT(Tabela1[[#This Row],[DATA]],"dd/mm/aaaa")</f>
        <v>22/04/2026</v>
      </c>
    </row>
    <row r="2109" spans="1:21" x14ac:dyDescent="0.25">
      <c r="A2109" s="9">
        <v>46134.696377314816</v>
      </c>
      <c r="B2109" t="s">
        <v>19</v>
      </c>
      <c r="C2109" t="s">
        <v>37</v>
      </c>
      <c r="D2109">
        <v>282</v>
      </c>
      <c r="E2109" s="1">
        <v>26753972000140</v>
      </c>
      <c r="F2109">
        <v>282</v>
      </c>
      <c r="G2109" s="10">
        <v>177688696783481</v>
      </c>
      <c r="H2109" t="s">
        <v>455</v>
      </c>
      <c r="I2109" t="s">
        <v>52</v>
      </c>
      <c r="J2109" t="s">
        <v>22</v>
      </c>
      <c r="K2109" t="s">
        <v>36</v>
      </c>
      <c r="L2109" t="s">
        <v>36</v>
      </c>
      <c r="M2109" t="s">
        <v>284</v>
      </c>
      <c r="N2109" t="s">
        <v>53</v>
      </c>
      <c r="O2109">
        <v>1</v>
      </c>
      <c r="R2109" s="11">
        <v>0</v>
      </c>
      <c r="S2109" t="s">
        <v>37</v>
      </c>
      <c r="T2109" t="str">
        <f>IF(Tabela1[[#This Row],[STATUS_NEGOCIO]]="Enviar E-mail",1,"")</f>
        <v/>
      </c>
      <c r="U2109" t="str">
        <f>TEXT(Tabela1[[#This Row],[DATA]],"dd/mm/aaaa")</f>
        <v>22/04/2026</v>
      </c>
    </row>
    <row r="2110" spans="1:21" x14ac:dyDescent="0.25">
      <c r="A2110" s="9">
        <v>46134.696793981479</v>
      </c>
      <c r="B2110" t="s">
        <v>19</v>
      </c>
      <c r="C2110" t="s">
        <v>37</v>
      </c>
      <c r="D2110">
        <v>291</v>
      </c>
      <c r="E2110" s="1">
        <v>27379033000140</v>
      </c>
      <c r="F2110">
        <v>291</v>
      </c>
      <c r="G2110" s="10">
        <v>177688700383621</v>
      </c>
      <c r="H2110" t="s">
        <v>70</v>
      </c>
      <c r="I2110" t="s">
        <v>52</v>
      </c>
      <c r="J2110" t="s">
        <v>22</v>
      </c>
      <c r="K2110" t="s">
        <v>62</v>
      </c>
      <c r="L2110" t="s">
        <v>62</v>
      </c>
      <c r="M2110" t="s">
        <v>284</v>
      </c>
      <c r="N2110" t="s">
        <v>53</v>
      </c>
      <c r="O2110">
        <v>17</v>
      </c>
      <c r="R2110" s="11">
        <v>0</v>
      </c>
      <c r="S2110" t="s">
        <v>37</v>
      </c>
      <c r="T2110" t="str">
        <f>IF(Tabela1[[#This Row],[STATUS_NEGOCIO]]="Enviar E-mail",1,"")</f>
        <v/>
      </c>
      <c r="U2110" t="str">
        <f>TEXT(Tabela1[[#This Row],[DATA]],"dd/mm/aaaa")</f>
        <v>22/04/2026</v>
      </c>
    </row>
    <row r="2111" spans="1:21" x14ac:dyDescent="0.25">
      <c r="A2111" s="9">
        <v>46134.697048611109</v>
      </c>
      <c r="B2111" t="s">
        <v>19</v>
      </c>
      <c r="C2111" t="s">
        <v>37</v>
      </c>
      <c r="D2111">
        <v>300</v>
      </c>
      <c r="E2111" s="1">
        <v>28483585000167</v>
      </c>
      <c r="F2111">
        <v>300</v>
      </c>
      <c r="G2111" s="10">
        <v>177688702583751</v>
      </c>
      <c r="H2111" t="s">
        <v>467</v>
      </c>
      <c r="I2111" t="s">
        <v>52</v>
      </c>
      <c r="J2111" t="s">
        <v>22</v>
      </c>
      <c r="K2111" t="s">
        <v>36</v>
      </c>
      <c r="L2111" t="s">
        <v>36</v>
      </c>
      <c r="M2111" t="s">
        <v>284</v>
      </c>
      <c r="N2111" t="s">
        <v>53</v>
      </c>
      <c r="O2111">
        <v>34</v>
      </c>
      <c r="R2111" s="11">
        <v>0</v>
      </c>
      <c r="S2111" t="s">
        <v>37</v>
      </c>
      <c r="T2111" t="str">
        <f>IF(Tabela1[[#This Row],[STATUS_NEGOCIO]]="Enviar E-mail",1,"")</f>
        <v/>
      </c>
      <c r="U2111" t="str">
        <f>TEXT(Tabela1[[#This Row],[DATA]],"dd/mm/aaaa")</f>
        <v>22/04/2026</v>
      </c>
    </row>
    <row r="2112" spans="1:21" x14ac:dyDescent="0.25">
      <c r="A2112" s="9">
        <v>46134.697569444441</v>
      </c>
      <c r="B2112" t="s">
        <v>19</v>
      </c>
      <c r="C2112" t="s">
        <v>37</v>
      </c>
      <c r="D2112">
        <v>318</v>
      </c>
      <c r="E2112" s="1">
        <v>29313890000173</v>
      </c>
      <c r="F2112">
        <v>318</v>
      </c>
      <c r="G2112" s="10">
        <v>177688707084111</v>
      </c>
      <c r="H2112" t="s">
        <v>481</v>
      </c>
      <c r="I2112" t="s">
        <v>52</v>
      </c>
      <c r="J2112" t="s">
        <v>22</v>
      </c>
      <c r="K2112" t="s">
        <v>36</v>
      </c>
      <c r="L2112" t="s">
        <v>36</v>
      </c>
      <c r="M2112" t="s">
        <v>284</v>
      </c>
      <c r="N2112" t="s">
        <v>53</v>
      </c>
      <c r="O2112">
        <v>1</v>
      </c>
      <c r="R2112" s="11">
        <v>0</v>
      </c>
      <c r="S2112" t="s">
        <v>37</v>
      </c>
      <c r="T2112" t="str">
        <f>IF(Tabela1[[#This Row],[STATUS_NEGOCIO]]="Enviar E-mail",1,"")</f>
        <v/>
      </c>
      <c r="U2112" t="str">
        <f>TEXT(Tabela1[[#This Row],[DATA]],"dd/mm/aaaa")</f>
        <v>22/04/2026</v>
      </c>
    </row>
    <row r="2113" spans="1:21" x14ac:dyDescent="0.25">
      <c r="A2113" s="9">
        <v>46134.697870370372</v>
      </c>
      <c r="B2113" t="s">
        <v>19</v>
      </c>
      <c r="C2113" t="s">
        <v>37</v>
      </c>
      <c r="D2113">
        <v>327</v>
      </c>
      <c r="E2113" s="1">
        <v>29732268000108</v>
      </c>
      <c r="F2113">
        <v>327</v>
      </c>
      <c r="G2113" s="10">
        <v>177688709684211</v>
      </c>
      <c r="H2113" t="s">
        <v>71</v>
      </c>
      <c r="I2113" t="s">
        <v>52</v>
      </c>
      <c r="J2113" t="s">
        <v>22</v>
      </c>
      <c r="K2113" t="s">
        <v>36</v>
      </c>
      <c r="L2113" t="s">
        <v>36</v>
      </c>
      <c r="M2113" t="s">
        <v>284</v>
      </c>
      <c r="N2113" t="s">
        <v>53</v>
      </c>
      <c r="O2113">
        <v>19</v>
      </c>
      <c r="R2113" s="11">
        <v>0</v>
      </c>
      <c r="S2113" t="s">
        <v>37</v>
      </c>
      <c r="T2113" t="str">
        <f>IF(Tabela1[[#This Row],[STATUS_NEGOCIO]]="Enviar E-mail",1,"")</f>
        <v/>
      </c>
      <c r="U2113" t="str">
        <f>TEXT(Tabela1[[#This Row],[DATA]],"dd/mm/aaaa")</f>
        <v>22/04/2026</v>
      </c>
    </row>
    <row r="2114" spans="1:21" x14ac:dyDescent="0.25">
      <c r="A2114" s="9">
        <v>46134.697893518518</v>
      </c>
      <c r="B2114" t="s">
        <v>19</v>
      </c>
      <c r="C2114" t="s">
        <v>37</v>
      </c>
      <c r="D2114">
        <v>328</v>
      </c>
      <c r="E2114" s="1">
        <v>29762098000104</v>
      </c>
      <c r="F2114">
        <v>328</v>
      </c>
      <c r="G2114" s="10">
        <v>177688709884241</v>
      </c>
      <c r="H2114" t="s">
        <v>488</v>
      </c>
      <c r="I2114" t="s">
        <v>52</v>
      </c>
      <c r="J2114" t="s">
        <v>22</v>
      </c>
      <c r="K2114" t="s">
        <v>36</v>
      </c>
      <c r="L2114" t="s">
        <v>36</v>
      </c>
      <c r="M2114" t="s">
        <v>284</v>
      </c>
      <c r="N2114" t="s">
        <v>53</v>
      </c>
      <c r="O2114">
        <v>34</v>
      </c>
      <c r="R2114" s="11">
        <v>0</v>
      </c>
      <c r="S2114" t="s">
        <v>37</v>
      </c>
      <c r="T2114" t="str">
        <f>IF(Tabela1[[#This Row],[STATUS_NEGOCIO]]="Enviar E-mail",1,"")</f>
        <v/>
      </c>
      <c r="U2114" t="str">
        <f>TEXT(Tabela1[[#This Row],[DATA]],"dd/mm/aaaa")</f>
        <v>22/04/2026</v>
      </c>
    </row>
    <row r="2115" spans="1:21" x14ac:dyDescent="0.25">
      <c r="A2115" s="9">
        <v>46134.698206018518</v>
      </c>
      <c r="B2115" t="s">
        <v>19</v>
      </c>
      <c r="C2115" t="s">
        <v>37</v>
      </c>
      <c r="D2115">
        <v>333</v>
      </c>
      <c r="E2115" s="1">
        <v>30116263000121</v>
      </c>
      <c r="F2115">
        <v>333</v>
      </c>
      <c r="G2115" s="10">
        <v>177688712584331</v>
      </c>
      <c r="H2115" t="s">
        <v>492</v>
      </c>
      <c r="I2115" t="s">
        <v>52</v>
      </c>
      <c r="J2115" t="s">
        <v>22</v>
      </c>
      <c r="K2115" t="s">
        <v>36</v>
      </c>
      <c r="L2115" t="s">
        <v>36</v>
      </c>
      <c r="M2115" t="s">
        <v>284</v>
      </c>
      <c r="N2115" t="s">
        <v>53</v>
      </c>
      <c r="O2115">
        <v>19</v>
      </c>
      <c r="R2115" s="11">
        <v>0</v>
      </c>
      <c r="S2115" t="s">
        <v>37</v>
      </c>
      <c r="T2115" t="str">
        <f>IF(Tabela1[[#This Row],[STATUS_NEGOCIO]]="Enviar E-mail",1,"")</f>
        <v/>
      </c>
      <c r="U2115" t="str">
        <f>TEXT(Tabela1[[#This Row],[DATA]],"dd/mm/aaaa")</f>
        <v>22/04/2026</v>
      </c>
    </row>
    <row r="2116" spans="1:21" x14ac:dyDescent="0.25">
      <c r="A2116" s="9">
        <v>46134.698414351849</v>
      </c>
      <c r="B2116" t="s">
        <v>19</v>
      </c>
      <c r="C2116" t="s">
        <v>37</v>
      </c>
      <c r="D2116">
        <v>336</v>
      </c>
      <c r="E2116" s="1">
        <v>30168759000149</v>
      </c>
      <c r="F2116">
        <v>336</v>
      </c>
      <c r="G2116" s="10">
        <v>177688714384381</v>
      </c>
      <c r="H2116" t="s">
        <v>493</v>
      </c>
      <c r="I2116" t="s">
        <v>52</v>
      </c>
      <c r="J2116" t="s">
        <v>22</v>
      </c>
      <c r="K2116" t="s">
        <v>36</v>
      </c>
      <c r="L2116" t="s">
        <v>36</v>
      </c>
      <c r="M2116" t="s">
        <v>284</v>
      </c>
      <c r="N2116" t="s">
        <v>53</v>
      </c>
      <c r="O2116">
        <v>1</v>
      </c>
      <c r="R2116" s="11">
        <v>0</v>
      </c>
      <c r="S2116" t="s">
        <v>37</v>
      </c>
      <c r="T2116" t="str">
        <f>IF(Tabela1[[#This Row],[STATUS_NEGOCIO]]="Enviar E-mail",1,"")</f>
        <v/>
      </c>
      <c r="U2116" t="str">
        <f>TEXT(Tabela1[[#This Row],[DATA]],"dd/mm/aaaa")</f>
        <v>22/04/2026</v>
      </c>
    </row>
    <row r="2117" spans="1:21" x14ac:dyDescent="0.25">
      <c r="A2117" s="9">
        <v>46134.698622685188</v>
      </c>
      <c r="B2117" t="s">
        <v>19</v>
      </c>
      <c r="C2117" t="s">
        <v>37</v>
      </c>
      <c r="D2117">
        <v>344</v>
      </c>
      <c r="E2117" s="1">
        <v>30548467000131</v>
      </c>
      <c r="F2117">
        <v>344</v>
      </c>
      <c r="G2117" s="10">
        <v>177688716184521</v>
      </c>
      <c r="H2117" t="s">
        <v>499</v>
      </c>
      <c r="I2117" t="s">
        <v>52</v>
      </c>
      <c r="J2117" t="s">
        <v>22</v>
      </c>
      <c r="K2117" t="s">
        <v>36</v>
      </c>
      <c r="L2117" t="s">
        <v>36</v>
      </c>
      <c r="M2117" t="s">
        <v>284</v>
      </c>
      <c r="N2117" t="s">
        <v>53</v>
      </c>
      <c r="O2117">
        <v>1</v>
      </c>
      <c r="R2117" s="11">
        <v>0</v>
      </c>
      <c r="S2117" t="s">
        <v>37</v>
      </c>
      <c r="T2117" t="str">
        <f>IF(Tabela1[[#This Row],[STATUS_NEGOCIO]]="Enviar E-mail",1,"")</f>
        <v/>
      </c>
      <c r="U2117" t="str">
        <f>TEXT(Tabela1[[#This Row],[DATA]],"dd/mm/aaaa")</f>
        <v>22/04/2026</v>
      </c>
    </row>
    <row r="2118" spans="1:21" x14ac:dyDescent="0.25">
      <c r="A2118" s="9">
        <v>46134.698923611111</v>
      </c>
      <c r="B2118" t="s">
        <v>19</v>
      </c>
      <c r="C2118" t="s">
        <v>37</v>
      </c>
      <c r="D2118">
        <v>351</v>
      </c>
      <c r="E2118" s="1">
        <v>31086168000195</v>
      </c>
      <c r="F2118">
        <v>351</v>
      </c>
      <c r="G2118" s="10">
        <v>177688718784661</v>
      </c>
      <c r="H2118" t="s">
        <v>222</v>
      </c>
      <c r="I2118" t="s">
        <v>52</v>
      </c>
      <c r="J2118" t="s">
        <v>22</v>
      </c>
      <c r="K2118" t="s">
        <v>36</v>
      </c>
      <c r="L2118" t="s">
        <v>36</v>
      </c>
      <c r="M2118" t="s">
        <v>284</v>
      </c>
      <c r="N2118" t="s">
        <v>53</v>
      </c>
      <c r="O2118">
        <v>1</v>
      </c>
      <c r="R2118" s="11">
        <v>0</v>
      </c>
      <c r="S2118" t="s">
        <v>37</v>
      </c>
      <c r="T2118" t="str">
        <f>IF(Tabela1[[#This Row],[STATUS_NEGOCIO]]="Enviar E-mail",1,"")</f>
        <v/>
      </c>
      <c r="U2118" t="str">
        <f>TEXT(Tabela1[[#This Row],[DATA]],"dd/mm/aaaa")</f>
        <v>22/04/2026</v>
      </c>
    </row>
    <row r="2119" spans="1:21" x14ac:dyDescent="0.25">
      <c r="A2119" s="9">
        <v>46134.699282407404</v>
      </c>
      <c r="B2119" t="s">
        <v>19</v>
      </c>
      <c r="C2119" t="s">
        <v>37</v>
      </c>
      <c r="D2119">
        <v>364</v>
      </c>
      <c r="E2119" s="1">
        <v>31669377000161</v>
      </c>
      <c r="F2119">
        <v>364</v>
      </c>
      <c r="G2119" s="10">
        <v>177688721884941</v>
      </c>
      <c r="H2119" t="s">
        <v>511</v>
      </c>
      <c r="I2119" t="s">
        <v>52</v>
      </c>
      <c r="J2119" t="s">
        <v>22</v>
      </c>
      <c r="K2119" t="s">
        <v>36</v>
      </c>
      <c r="L2119" t="s">
        <v>36</v>
      </c>
      <c r="M2119" t="s">
        <v>284</v>
      </c>
      <c r="N2119" t="s">
        <v>53</v>
      </c>
      <c r="O2119">
        <v>1</v>
      </c>
      <c r="R2119" s="11">
        <v>0</v>
      </c>
      <c r="S2119" t="s">
        <v>37</v>
      </c>
      <c r="T2119" t="str">
        <f>IF(Tabela1[[#This Row],[STATUS_NEGOCIO]]="Enviar E-mail",1,"")</f>
        <v/>
      </c>
      <c r="U2119" t="str">
        <f>TEXT(Tabela1[[#This Row],[DATA]],"dd/mm/aaaa")</f>
        <v>22/04/2026</v>
      </c>
    </row>
    <row r="2120" spans="1:21" x14ac:dyDescent="0.25">
      <c r="A2120" s="9">
        <v>46134.699849537035</v>
      </c>
      <c r="B2120" t="s">
        <v>19</v>
      </c>
      <c r="C2120" t="s">
        <v>37</v>
      </c>
      <c r="D2120">
        <v>383</v>
      </c>
      <c r="E2120" s="1">
        <v>33242199000113</v>
      </c>
      <c r="F2120">
        <v>383</v>
      </c>
      <c r="G2120" s="10">
        <v>177688726785311</v>
      </c>
      <c r="H2120" t="s">
        <v>526</v>
      </c>
      <c r="I2120" t="s">
        <v>52</v>
      </c>
      <c r="J2120" t="s">
        <v>22</v>
      </c>
      <c r="K2120" t="s">
        <v>62</v>
      </c>
      <c r="L2120" t="s">
        <v>62</v>
      </c>
      <c r="M2120" t="s">
        <v>284</v>
      </c>
      <c r="N2120" t="s">
        <v>53</v>
      </c>
      <c r="O2120">
        <v>17</v>
      </c>
      <c r="R2120" s="11">
        <v>0</v>
      </c>
      <c r="S2120" t="s">
        <v>37</v>
      </c>
      <c r="T2120" t="str">
        <f>IF(Tabela1[[#This Row],[STATUS_NEGOCIO]]="Enviar E-mail",1,"")</f>
        <v/>
      </c>
      <c r="U2120" t="str">
        <f>TEXT(Tabela1[[#This Row],[DATA]],"dd/mm/aaaa")</f>
        <v>22/04/2026</v>
      </c>
    </row>
    <row r="2121" spans="1:21" x14ac:dyDescent="0.25">
      <c r="A2121" s="9">
        <v>46134.699861111112</v>
      </c>
      <c r="B2121" t="s">
        <v>19</v>
      </c>
      <c r="C2121" t="s">
        <v>37</v>
      </c>
      <c r="D2121">
        <v>385</v>
      </c>
      <c r="E2121" s="1">
        <v>33472846000183</v>
      </c>
      <c r="F2121">
        <v>385</v>
      </c>
      <c r="G2121" s="10">
        <v>177688726885331</v>
      </c>
      <c r="H2121" t="s">
        <v>527</v>
      </c>
      <c r="I2121" t="s">
        <v>52</v>
      </c>
      <c r="J2121" t="s">
        <v>22</v>
      </c>
      <c r="K2121" t="s">
        <v>36</v>
      </c>
      <c r="L2121" t="s">
        <v>36</v>
      </c>
      <c r="M2121" t="s">
        <v>284</v>
      </c>
      <c r="N2121" t="s">
        <v>53</v>
      </c>
      <c r="O2121">
        <v>34</v>
      </c>
      <c r="R2121" s="11">
        <v>0</v>
      </c>
      <c r="S2121" t="s">
        <v>37</v>
      </c>
      <c r="T2121" t="str">
        <f>IF(Tabela1[[#This Row],[STATUS_NEGOCIO]]="Enviar E-mail",1,"")</f>
        <v/>
      </c>
      <c r="U2121" t="str">
        <f>TEXT(Tabela1[[#This Row],[DATA]],"dd/mm/aaaa")</f>
        <v>22/04/2026</v>
      </c>
    </row>
    <row r="2122" spans="1:21" x14ac:dyDescent="0.25">
      <c r="A2122" s="9">
        <v>46134.701458333337</v>
      </c>
      <c r="B2122" t="s">
        <v>19</v>
      </c>
      <c r="C2122" t="s">
        <v>37</v>
      </c>
      <c r="D2122">
        <v>402</v>
      </c>
      <c r="E2122" s="1">
        <v>35700816000102</v>
      </c>
      <c r="F2122">
        <v>402</v>
      </c>
      <c r="G2122" s="10">
        <v>177688740686101</v>
      </c>
      <c r="H2122" t="s">
        <v>535</v>
      </c>
      <c r="I2122" t="s">
        <v>52</v>
      </c>
      <c r="J2122" t="s">
        <v>22</v>
      </c>
      <c r="K2122" t="s">
        <v>36</v>
      </c>
      <c r="L2122" t="s">
        <v>36</v>
      </c>
      <c r="M2122" t="s">
        <v>284</v>
      </c>
      <c r="N2122" t="s">
        <v>53</v>
      </c>
      <c r="O2122">
        <v>34</v>
      </c>
      <c r="R2122" s="11">
        <v>0</v>
      </c>
      <c r="S2122" t="s">
        <v>37</v>
      </c>
      <c r="T2122" t="str">
        <f>IF(Tabela1[[#This Row],[STATUS_NEGOCIO]]="Enviar E-mail",1,"")</f>
        <v/>
      </c>
      <c r="U2122" t="str">
        <f>TEXT(Tabela1[[#This Row],[DATA]],"dd/mm/aaaa")</f>
        <v>22/04/2026</v>
      </c>
    </row>
    <row r="2123" spans="1:21" x14ac:dyDescent="0.25">
      <c r="A2123" s="9">
        <v>46134.701562499999</v>
      </c>
      <c r="B2123" t="s">
        <v>19</v>
      </c>
      <c r="C2123" t="s">
        <v>37</v>
      </c>
      <c r="D2123">
        <v>403</v>
      </c>
      <c r="E2123" s="1">
        <v>35765734000146</v>
      </c>
      <c r="F2123">
        <v>403</v>
      </c>
      <c r="G2123" s="10">
        <v>177688741586251</v>
      </c>
      <c r="H2123" t="s">
        <v>536</v>
      </c>
      <c r="I2123" t="s">
        <v>52</v>
      </c>
      <c r="J2123" t="s">
        <v>22</v>
      </c>
      <c r="K2123" t="s">
        <v>36</v>
      </c>
      <c r="L2123" t="s">
        <v>36</v>
      </c>
      <c r="M2123" t="s">
        <v>284</v>
      </c>
      <c r="N2123" t="s">
        <v>53</v>
      </c>
      <c r="O2123">
        <v>19</v>
      </c>
      <c r="R2123" s="11">
        <v>0</v>
      </c>
      <c r="S2123" t="s">
        <v>37</v>
      </c>
      <c r="T2123" t="str">
        <f>IF(Tabela1[[#This Row],[STATUS_NEGOCIO]]="Enviar E-mail",1,"")</f>
        <v/>
      </c>
      <c r="U2123" t="str">
        <f>TEXT(Tabela1[[#This Row],[DATA]],"dd/mm/aaaa")</f>
        <v>22/04/2026</v>
      </c>
    </row>
    <row r="2124" spans="1:21" x14ac:dyDescent="0.25">
      <c r="A2124" s="9">
        <v>46134.70239583333</v>
      </c>
      <c r="B2124" t="s">
        <v>19</v>
      </c>
      <c r="C2124" t="s">
        <v>37</v>
      </c>
      <c r="D2124">
        <v>416</v>
      </c>
      <c r="E2124" s="1">
        <v>36541506000155</v>
      </c>
      <c r="F2124">
        <v>416</v>
      </c>
      <c r="G2124" s="10">
        <v>177688748786721</v>
      </c>
      <c r="H2124" t="s">
        <v>227</v>
      </c>
      <c r="I2124" t="s">
        <v>52</v>
      </c>
      <c r="J2124" t="s">
        <v>22</v>
      </c>
      <c r="K2124" t="s">
        <v>36</v>
      </c>
      <c r="L2124" t="s">
        <v>36</v>
      </c>
      <c r="M2124" t="s">
        <v>284</v>
      </c>
      <c r="N2124" t="s">
        <v>53</v>
      </c>
      <c r="O2124">
        <v>1</v>
      </c>
      <c r="R2124" s="11">
        <v>0</v>
      </c>
      <c r="S2124" t="s">
        <v>37</v>
      </c>
      <c r="T2124" t="str">
        <f>IF(Tabela1[[#This Row],[STATUS_NEGOCIO]]="Enviar E-mail",1,"")</f>
        <v/>
      </c>
      <c r="U2124" t="str">
        <f>TEXT(Tabela1[[#This Row],[DATA]],"dd/mm/aaaa")</f>
        <v>22/04/2026</v>
      </c>
    </row>
    <row r="2125" spans="1:21" x14ac:dyDescent="0.25">
      <c r="A2125" s="9">
        <v>46134.702662037038</v>
      </c>
      <c r="B2125" t="s">
        <v>19</v>
      </c>
      <c r="C2125" t="s">
        <v>37</v>
      </c>
      <c r="D2125">
        <v>422</v>
      </c>
      <c r="E2125" s="1">
        <v>37407191000110</v>
      </c>
      <c r="F2125">
        <v>422</v>
      </c>
      <c r="G2125" s="10">
        <v>177688751086881</v>
      </c>
      <c r="H2125" t="s">
        <v>549</v>
      </c>
      <c r="I2125" t="s">
        <v>52</v>
      </c>
      <c r="J2125" t="s">
        <v>22</v>
      </c>
      <c r="K2125" t="s">
        <v>36</v>
      </c>
      <c r="L2125" t="s">
        <v>36</v>
      </c>
      <c r="M2125" t="s">
        <v>284</v>
      </c>
      <c r="N2125" t="s">
        <v>53</v>
      </c>
      <c r="O2125">
        <v>19</v>
      </c>
      <c r="R2125" s="11">
        <v>0</v>
      </c>
      <c r="S2125" t="s">
        <v>37</v>
      </c>
      <c r="T2125" t="str">
        <f>IF(Tabela1[[#This Row],[STATUS_NEGOCIO]]="Enviar E-mail",1,"")</f>
        <v/>
      </c>
      <c r="U2125" t="str">
        <f>TEXT(Tabela1[[#This Row],[DATA]],"dd/mm/aaaa")</f>
        <v>22/04/2026</v>
      </c>
    </row>
    <row r="2126" spans="1:21" x14ac:dyDescent="0.25">
      <c r="A2126" s="9">
        <v>46134.702881944446</v>
      </c>
      <c r="B2126" t="s">
        <v>19</v>
      </c>
      <c r="C2126" t="s">
        <v>37</v>
      </c>
      <c r="D2126">
        <v>426</v>
      </c>
      <c r="E2126" s="1">
        <v>37961934000108</v>
      </c>
      <c r="F2126">
        <v>426</v>
      </c>
      <c r="G2126" s="10">
        <v>177688752987021</v>
      </c>
      <c r="H2126" t="s">
        <v>553</v>
      </c>
      <c r="I2126" t="s">
        <v>52</v>
      </c>
      <c r="J2126" t="s">
        <v>22</v>
      </c>
      <c r="K2126" t="s">
        <v>36</v>
      </c>
      <c r="L2126" t="s">
        <v>36</v>
      </c>
      <c r="M2126" t="s">
        <v>284</v>
      </c>
      <c r="N2126" t="s">
        <v>53</v>
      </c>
      <c r="O2126">
        <v>19</v>
      </c>
      <c r="R2126" s="11">
        <v>0</v>
      </c>
      <c r="S2126" t="s">
        <v>37</v>
      </c>
      <c r="T2126" t="str">
        <f>IF(Tabela1[[#This Row],[STATUS_NEGOCIO]]="Enviar E-mail",1,"")</f>
        <v/>
      </c>
      <c r="U2126" t="str">
        <f>TEXT(Tabela1[[#This Row],[DATA]],"dd/mm/aaaa")</f>
        <v>22/04/2026</v>
      </c>
    </row>
    <row r="2127" spans="1:21" x14ac:dyDescent="0.25">
      <c r="A2127" s="9">
        <v>46134.703043981484</v>
      </c>
      <c r="B2127" t="s">
        <v>19</v>
      </c>
      <c r="C2127" t="s">
        <v>37</v>
      </c>
      <c r="D2127">
        <v>431</v>
      </c>
      <c r="E2127" s="1">
        <v>39214150000133</v>
      </c>
      <c r="F2127">
        <v>431</v>
      </c>
      <c r="G2127" s="10">
        <v>177688754387111</v>
      </c>
      <c r="H2127" t="s">
        <v>557</v>
      </c>
      <c r="I2127" t="s">
        <v>52</v>
      </c>
      <c r="J2127" t="s">
        <v>22</v>
      </c>
      <c r="K2127" t="s">
        <v>62</v>
      </c>
      <c r="L2127" t="s">
        <v>62</v>
      </c>
      <c r="M2127" t="s">
        <v>284</v>
      </c>
      <c r="N2127" t="s">
        <v>53</v>
      </c>
      <c r="O2127">
        <v>17</v>
      </c>
      <c r="R2127" s="11">
        <v>0</v>
      </c>
      <c r="S2127" t="s">
        <v>37</v>
      </c>
      <c r="T2127" t="str">
        <f>IF(Tabela1[[#This Row],[STATUS_NEGOCIO]]="Enviar E-mail",1,"")</f>
        <v/>
      </c>
      <c r="U2127" t="str">
        <f>TEXT(Tabela1[[#This Row],[DATA]],"dd/mm/aaaa")</f>
        <v>22/04/2026</v>
      </c>
    </row>
    <row r="2128" spans="1:21" x14ac:dyDescent="0.25">
      <c r="A2128" s="9">
        <v>46134.70385416667</v>
      </c>
      <c r="B2128" t="s">
        <v>19</v>
      </c>
      <c r="C2128" t="s">
        <v>37</v>
      </c>
      <c r="D2128">
        <v>447</v>
      </c>
      <c r="E2128" s="1">
        <v>40290991000109</v>
      </c>
      <c r="F2128">
        <v>447</v>
      </c>
      <c r="G2128" s="10">
        <v>177688761387531</v>
      </c>
      <c r="H2128" t="s">
        <v>565</v>
      </c>
      <c r="I2128" t="s">
        <v>52</v>
      </c>
      <c r="J2128" t="s">
        <v>22</v>
      </c>
      <c r="K2128" t="s">
        <v>36</v>
      </c>
      <c r="L2128" t="s">
        <v>36</v>
      </c>
      <c r="M2128" t="s">
        <v>284</v>
      </c>
      <c r="N2128" t="s">
        <v>53</v>
      </c>
      <c r="O2128">
        <v>1</v>
      </c>
      <c r="R2128" s="11">
        <v>0</v>
      </c>
      <c r="S2128" t="s">
        <v>37</v>
      </c>
      <c r="T2128" t="str">
        <f>IF(Tabela1[[#This Row],[STATUS_NEGOCIO]]="Enviar E-mail",1,"")</f>
        <v/>
      </c>
      <c r="U2128" t="str">
        <f>TEXT(Tabela1[[#This Row],[DATA]],"dd/mm/aaaa")</f>
        <v>22/04/2026</v>
      </c>
    </row>
    <row r="2129" spans="1:21" x14ac:dyDescent="0.25">
      <c r="A2129" s="9">
        <v>46134.704386574071</v>
      </c>
      <c r="B2129" t="s">
        <v>19</v>
      </c>
      <c r="C2129" t="s">
        <v>37</v>
      </c>
      <c r="D2129">
        <v>459</v>
      </c>
      <c r="E2129" s="1">
        <v>42430090000109</v>
      </c>
      <c r="F2129">
        <v>459</v>
      </c>
      <c r="G2129" s="10">
        <v>177688765987761</v>
      </c>
      <c r="H2129" t="s">
        <v>575</v>
      </c>
      <c r="I2129" t="s">
        <v>52</v>
      </c>
      <c r="J2129" t="s">
        <v>22</v>
      </c>
      <c r="K2129" t="s">
        <v>36</v>
      </c>
      <c r="L2129" t="s">
        <v>36</v>
      </c>
      <c r="M2129" t="s">
        <v>284</v>
      </c>
      <c r="N2129" t="s">
        <v>53</v>
      </c>
      <c r="O2129">
        <v>1</v>
      </c>
      <c r="R2129" s="11">
        <v>0</v>
      </c>
      <c r="S2129" t="s">
        <v>37</v>
      </c>
      <c r="T2129" t="str">
        <f>IF(Tabela1[[#This Row],[STATUS_NEGOCIO]]="Enviar E-mail",1,"")</f>
        <v/>
      </c>
      <c r="U2129" t="str">
        <f>TEXT(Tabela1[[#This Row],[DATA]],"dd/mm/aaaa")</f>
        <v>22/04/2026</v>
      </c>
    </row>
    <row r="2130" spans="1:21" x14ac:dyDescent="0.25">
      <c r="A2130" s="9">
        <v>46134.704398148147</v>
      </c>
      <c r="B2130" t="s">
        <v>19</v>
      </c>
      <c r="C2130" t="s">
        <v>37</v>
      </c>
      <c r="D2130">
        <v>461</v>
      </c>
      <c r="E2130" s="1">
        <v>42558791000110</v>
      </c>
      <c r="F2130">
        <v>461</v>
      </c>
      <c r="G2130" s="10">
        <v>177688766087791</v>
      </c>
      <c r="H2130" t="s">
        <v>149</v>
      </c>
      <c r="I2130" t="s">
        <v>52</v>
      </c>
      <c r="J2130" t="s">
        <v>22</v>
      </c>
      <c r="K2130" t="s">
        <v>36</v>
      </c>
      <c r="L2130" t="s">
        <v>36</v>
      </c>
      <c r="M2130" t="s">
        <v>284</v>
      </c>
      <c r="N2130" t="s">
        <v>53</v>
      </c>
      <c r="O2130">
        <v>19</v>
      </c>
      <c r="R2130" s="11">
        <v>0</v>
      </c>
      <c r="S2130" t="s">
        <v>37</v>
      </c>
      <c r="T2130" t="str">
        <f>IF(Tabela1[[#This Row],[STATUS_NEGOCIO]]="Enviar E-mail",1,"")</f>
        <v/>
      </c>
      <c r="U2130" t="str">
        <f>TEXT(Tabela1[[#This Row],[DATA]],"dd/mm/aaaa")</f>
        <v>22/04/2026</v>
      </c>
    </row>
    <row r="2131" spans="1:21" x14ac:dyDescent="0.25">
      <c r="A2131" s="9">
        <v>46134.704398148147</v>
      </c>
      <c r="B2131" t="s">
        <v>19</v>
      </c>
      <c r="C2131" t="s">
        <v>37</v>
      </c>
      <c r="D2131">
        <v>462</v>
      </c>
      <c r="E2131" s="1">
        <v>42564351000175</v>
      </c>
      <c r="F2131">
        <v>462</v>
      </c>
      <c r="G2131" s="10">
        <v>177688766087801</v>
      </c>
      <c r="H2131" t="s">
        <v>195</v>
      </c>
      <c r="I2131" t="s">
        <v>52</v>
      </c>
      <c r="J2131" t="s">
        <v>22</v>
      </c>
      <c r="K2131" t="s">
        <v>36</v>
      </c>
      <c r="L2131" t="s">
        <v>36</v>
      </c>
      <c r="M2131" t="s">
        <v>284</v>
      </c>
      <c r="N2131" t="s">
        <v>53</v>
      </c>
      <c r="O2131">
        <v>19</v>
      </c>
      <c r="R2131" s="11">
        <v>0</v>
      </c>
      <c r="S2131" t="s">
        <v>37</v>
      </c>
      <c r="T2131" t="str">
        <f>IF(Tabela1[[#This Row],[STATUS_NEGOCIO]]="Enviar E-mail",1,"")</f>
        <v/>
      </c>
      <c r="U2131" t="str">
        <f>TEXT(Tabela1[[#This Row],[DATA]],"dd/mm/aaaa")</f>
        <v>22/04/2026</v>
      </c>
    </row>
    <row r="2132" spans="1:21" x14ac:dyDescent="0.25">
      <c r="A2132" s="9">
        <v>46134.704409722224</v>
      </c>
      <c r="B2132" t="s">
        <v>19</v>
      </c>
      <c r="C2132" t="s">
        <v>37</v>
      </c>
      <c r="D2132">
        <v>464</v>
      </c>
      <c r="E2132" s="1">
        <v>42834744000151</v>
      </c>
      <c r="F2132">
        <v>464</v>
      </c>
      <c r="G2132" s="10">
        <v>177688766187841</v>
      </c>
      <c r="H2132" t="s">
        <v>578</v>
      </c>
      <c r="I2132" t="s">
        <v>52</v>
      </c>
      <c r="J2132" t="s">
        <v>22</v>
      </c>
      <c r="K2132" t="s">
        <v>36</v>
      </c>
      <c r="L2132" t="s">
        <v>36</v>
      </c>
      <c r="M2132" t="s">
        <v>284</v>
      </c>
      <c r="N2132" t="s">
        <v>53</v>
      </c>
      <c r="O2132">
        <v>34</v>
      </c>
      <c r="R2132" s="11">
        <v>0</v>
      </c>
      <c r="S2132" t="s">
        <v>37</v>
      </c>
      <c r="T2132" t="str">
        <f>IF(Tabela1[[#This Row],[STATUS_NEGOCIO]]="Enviar E-mail",1,"")</f>
        <v/>
      </c>
      <c r="U2132" t="str">
        <f>TEXT(Tabela1[[#This Row],[DATA]],"dd/mm/aaaa")</f>
        <v>22/04/2026</v>
      </c>
    </row>
    <row r="2133" spans="1:21" x14ac:dyDescent="0.25">
      <c r="A2133" s="9">
        <v>46134.704895833333</v>
      </c>
      <c r="B2133" t="s">
        <v>19</v>
      </c>
      <c r="C2133" t="s">
        <v>37</v>
      </c>
      <c r="D2133">
        <v>480</v>
      </c>
      <c r="E2133" s="1">
        <v>45642764000119</v>
      </c>
      <c r="F2133">
        <v>480</v>
      </c>
      <c r="G2133" s="10">
        <v>177688770388111</v>
      </c>
      <c r="H2133" t="s">
        <v>591</v>
      </c>
      <c r="I2133" t="s">
        <v>52</v>
      </c>
      <c r="J2133" t="s">
        <v>22</v>
      </c>
      <c r="K2133" t="s">
        <v>62</v>
      </c>
      <c r="L2133" t="s">
        <v>62</v>
      </c>
      <c r="M2133" t="s">
        <v>284</v>
      </c>
      <c r="N2133" t="s">
        <v>53</v>
      </c>
      <c r="O2133">
        <v>17</v>
      </c>
      <c r="R2133" s="11">
        <v>0</v>
      </c>
      <c r="S2133" t="s">
        <v>37</v>
      </c>
      <c r="T2133" t="str">
        <f>IF(Tabela1[[#This Row],[STATUS_NEGOCIO]]="Enviar E-mail",1,"")</f>
        <v/>
      </c>
      <c r="U2133" t="str">
        <f>TEXT(Tabela1[[#This Row],[DATA]],"dd/mm/aaaa")</f>
        <v>22/04/2026</v>
      </c>
    </row>
    <row r="2134" spans="1:21" x14ac:dyDescent="0.25">
      <c r="A2134" s="9">
        <v>46134.704930555556</v>
      </c>
      <c r="B2134" t="s">
        <v>19</v>
      </c>
      <c r="C2134" t="s">
        <v>37</v>
      </c>
      <c r="D2134">
        <v>482</v>
      </c>
      <c r="E2134" s="1">
        <v>46265059000102</v>
      </c>
      <c r="F2134">
        <v>482</v>
      </c>
      <c r="G2134" s="10">
        <v>177688770688151</v>
      </c>
      <c r="H2134" t="s">
        <v>593</v>
      </c>
      <c r="I2134" t="s">
        <v>52</v>
      </c>
      <c r="J2134" t="s">
        <v>22</v>
      </c>
      <c r="K2134" t="s">
        <v>36</v>
      </c>
      <c r="L2134" t="s">
        <v>36</v>
      </c>
      <c r="M2134" t="s">
        <v>284</v>
      </c>
      <c r="N2134" t="s">
        <v>53</v>
      </c>
      <c r="O2134">
        <v>1</v>
      </c>
      <c r="R2134" s="11">
        <v>0</v>
      </c>
      <c r="S2134" t="s">
        <v>37</v>
      </c>
      <c r="T2134" t="str">
        <f>IF(Tabela1[[#This Row],[STATUS_NEGOCIO]]="Enviar E-mail",1,"")</f>
        <v/>
      </c>
      <c r="U2134" t="str">
        <f>TEXT(Tabela1[[#This Row],[DATA]],"dd/mm/aaaa")</f>
        <v>22/04/2026</v>
      </c>
    </row>
    <row r="2135" spans="1:21" x14ac:dyDescent="0.25">
      <c r="A2135" s="9">
        <v>46134.704976851855</v>
      </c>
      <c r="B2135" t="s">
        <v>19</v>
      </c>
      <c r="C2135" t="s">
        <v>37</v>
      </c>
      <c r="D2135">
        <v>485</v>
      </c>
      <c r="E2135" s="1">
        <v>46905043000117</v>
      </c>
      <c r="F2135">
        <v>485</v>
      </c>
      <c r="G2135" s="10">
        <v>177688771088191</v>
      </c>
      <c r="H2135" t="s">
        <v>596</v>
      </c>
      <c r="I2135" t="s">
        <v>52</v>
      </c>
      <c r="J2135" t="s">
        <v>22</v>
      </c>
      <c r="K2135" t="s">
        <v>62</v>
      </c>
      <c r="L2135" t="s">
        <v>62</v>
      </c>
      <c r="M2135" t="s">
        <v>284</v>
      </c>
      <c r="N2135" t="s">
        <v>53</v>
      </c>
      <c r="O2135">
        <v>17</v>
      </c>
      <c r="R2135" s="11">
        <v>0</v>
      </c>
      <c r="S2135" t="s">
        <v>37</v>
      </c>
      <c r="T2135" t="str">
        <f>IF(Tabela1[[#This Row],[STATUS_NEGOCIO]]="Enviar E-mail",1,"")</f>
        <v/>
      </c>
      <c r="U2135" t="str">
        <f>TEXT(Tabela1[[#This Row],[DATA]],"dd/mm/aaaa")</f>
        <v>22/04/2026</v>
      </c>
    </row>
    <row r="2136" spans="1:21" x14ac:dyDescent="0.25">
      <c r="A2136" s="9">
        <v>46134.705057870371</v>
      </c>
      <c r="B2136" t="s">
        <v>19</v>
      </c>
      <c r="C2136" t="s">
        <v>37</v>
      </c>
      <c r="D2136">
        <v>487</v>
      </c>
      <c r="E2136" s="1">
        <v>48145681000102</v>
      </c>
      <c r="F2136">
        <v>487</v>
      </c>
      <c r="G2136" s="10">
        <v>177688771788211</v>
      </c>
      <c r="H2136" t="s">
        <v>597</v>
      </c>
      <c r="I2136" t="s">
        <v>52</v>
      </c>
      <c r="J2136" t="s">
        <v>22</v>
      </c>
      <c r="K2136" t="s">
        <v>36</v>
      </c>
      <c r="L2136" t="s">
        <v>36</v>
      </c>
      <c r="M2136" t="s">
        <v>284</v>
      </c>
      <c r="N2136" t="s">
        <v>53</v>
      </c>
      <c r="O2136">
        <v>34</v>
      </c>
      <c r="R2136" s="11">
        <v>0</v>
      </c>
      <c r="S2136" t="s">
        <v>37</v>
      </c>
      <c r="T2136" t="str">
        <f>IF(Tabela1[[#This Row],[STATUS_NEGOCIO]]="Enviar E-mail",1,"")</f>
        <v/>
      </c>
      <c r="U2136" t="str">
        <f>TEXT(Tabela1[[#This Row],[DATA]],"dd/mm/aaaa")</f>
        <v>22/04/2026</v>
      </c>
    </row>
    <row r="2137" spans="1:21" x14ac:dyDescent="0.25">
      <c r="A2137" s="9">
        <v>46134.705682870372</v>
      </c>
      <c r="B2137" t="s">
        <v>19</v>
      </c>
      <c r="C2137" t="s">
        <v>37</v>
      </c>
      <c r="D2137">
        <v>514</v>
      </c>
      <c r="E2137" s="1">
        <v>53691935000128</v>
      </c>
      <c r="F2137">
        <v>514</v>
      </c>
      <c r="G2137" s="10">
        <v>177688777188761</v>
      </c>
      <c r="H2137" t="s">
        <v>614</v>
      </c>
      <c r="I2137" t="s">
        <v>52</v>
      </c>
      <c r="J2137" t="s">
        <v>22</v>
      </c>
      <c r="K2137" t="s">
        <v>36</v>
      </c>
      <c r="L2137" t="s">
        <v>36</v>
      </c>
      <c r="M2137" t="s">
        <v>284</v>
      </c>
      <c r="N2137" t="s">
        <v>53</v>
      </c>
      <c r="O2137">
        <v>21</v>
      </c>
      <c r="R2137" s="11">
        <v>0</v>
      </c>
      <c r="S2137" t="s">
        <v>37</v>
      </c>
      <c r="T2137" t="str">
        <f>IF(Tabela1[[#This Row],[STATUS_NEGOCIO]]="Enviar E-mail",1,"")</f>
        <v/>
      </c>
      <c r="U2137" t="str">
        <f>TEXT(Tabela1[[#This Row],[DATA]],"dd/mm/aaaa")</f>
        <v>22/04/2026</v>
      </c>
    </row>
    <row r="2138" spans="1:21" x14ac:dyDescent="0.25">
      <c r="A2138" s="9">
        <v>46134.706712962965</v>
      </c>
      <c r="B2138" t="s">
        <v>19</v>
      </c>
      <c r="C2138" t="s">
        <v>37</v>
      </c>
      <c r="D2138">
        <v>544</v>
      </c>
      <c r="E2138" s="1">
        <v>73353534000175</v>
      </c>
      <c r="F2138">
        <v>544</v>
      </c>
      <c r="G2138" s="10">
        <v>177688786089401</v>
      </c>
      <c r="H2138" t="s">
        <v>627</v>
      </c>
      <c r="I2138" t="s">
        <v>52</v>
      </c>
      <c r="J2138" t="s">
        <v>22</v>
      </c>
      <c r="K2138" t="s">
        <v>36</v>
      </c>
      <c r="L2138" t="s">
        <v>36</v>
      </c>
      <c r="M2138" t="s">
        <v>284</v>
      </c>
      <c r="N2138" t="s">
        <v>53</v>
      </c>
      <c r="O2138">
        <v>19</v>
      </c>
      <c r="R2138" s="11">
        <v>0</v>
      </c>
      <c r="S2138" t="s">
        <v>37</v>
      </c>
      <c r="T2138" t="str">
        <f>IF(Tabela1[[#This Row],[STATUS_NEGOCIO]]="Enviar E-mail",1,"")</f>
        <v/>
      </c>
      <c r="U2138" t="str">
        <f>TEXT(Tabela1[[#This Row],[DATA]],"dd/mm/aaaa")</f>
        <v>22/04/2026</v>
      </c>
    </row>
    <row r="2139" spans="1:21" x14ac:dyDescent="0.25">
      <c r="A2139" s="9">
        <v>46136.515729166669</v>
      </c>
      <c r="B2139" t="s">
        <v>19</v>
      </c>
      <c r="C2139" t="s">
        <v>37</v>
      </c>
      <c r="D2139">
        <v>1</v>
      </c>
      <c r="E2139">
        <v>64078000170</v>
      </c>
      <c r="F2139">
        <v>1</v>
      </c>
      <c r="G2139" s="10">
        <v>177704415924301</v>
      </c>
      <c r="H2139" t="s">
        <v>125</v>
      </c>
      <c r="I2139">
        <v>3003</v>
      </c>
      <c r="J2139" t="s">
        <v>22</v>
      </c>
      <c r="K2139" t="s">
        <v>23</v>
      </c>
      <c r="L2139" t="s">
        <v>31</v>
      </c>
      <c r="M2139" t="s">
        <v>632</v>
      </c>
      <c r="N2139" t="s">
        <v>53</v>
      </c>
      <c r="O2139">
        <v>128</v>
      </c>
      <c r="R2139" s="11">
        <v>8.1018518518518516E-5</v>
      </c>
      <c r="S2139" t="s">
        <v>37</v>
      </c>
      <c r="T2139" t="str">
        <f>IF(Tabela1[[#This Row],[STATUS_NEGOCIO]]="Enviar E-mail",1,"")</f>
        <v/>
      </c>
      <c r="U2139" t="str">
        <f>TEXT(Tabela1[[#This Row],[DATA]],"dd/mm/aaaa")</f>
        <v>24/04/2026</v>
      </c>
    </row>
    <row r="2140" spans="1:21" x14ac:dyDescent="0.25">
      <c r="A2140" s="9">
        <v>46136.515729166669</v>
      </c>
      <c r="B2140" t="s">
        <v>19</v>
      </c>
      <c r="C2140" t="s">
        <v>37</v>
      </c>
      <c r="D2140">
        <v>2</v>
      </c>
      <c r="E2140">
        <v>94869000142</v>
      </c>
      <c r="F2140">
        <v>2</v>
      </c>
      <c r="G2140" s="10">
        <v>177704415924311</v>
      </c>
      <c r="H2140" t="s">
        <v>251</v>
      </c>
      <c r="I2140">
        <v>3003</v>
      </c>
      <c r="J2140" t="s">
        <v>22</v>
      </c>
      <c r="K2140" t="s">
        <v>23</v>
      </c>
      <c r="L2140" t="s">
        <v>31</v>
      </c>
      <c r="M2140" t="s">
        <v>632</v>
      </c>
      <c r="N2140" t="s">
        <v>53</v>
      </c>
      <c r="O2140">
        <v>128</v>
      </c>
      <c r="R2140" s="11">
        <v>8.1018518518518516E-5</v>
      </c>
      <c r="S2140" t="s">
        <v>37</v>
      </c>
      <c r="T2140" t="str">
        <f>IF(Tabela1[[#This Row],[STATUS_NEGOCIO]]="Enviar E-mail",1,"")</f>
        <v/>
      </c>
      <c r="U2140" t="str">
        <f>TEXT(Tabela1[[#This Row],[DATA]],"dd/mm/aaaa")</f>
        <v>24/04/2026</v>
      </c>
    </row>
    <row r="2141" spans="1:21" x14ac:dyDescent="0.25">
      <c r="A2141" s="9">
        <v>46136.515729166669</v>
      </c>
      <c r="B2141" t="s">
        <v>19</v>
      </c>
      <c r="C2141" t="s">
        <v>37</v>
      </c>
      <c r="D2141">
        <v>3</v>
      </c>
      <c r="E2141">
        <v>117961000180</v>
      </c>
      <c r="F2141">
        <v>3</v>
      </c>
      <c r="G2141" s="10">
        <v>177704415924321</v>
      </c>
      <c r="H2141" t="s">
        <v>252</v>
      </c>
      <c r="I2141">
        <v>3003</v>
      </c>
      <c r="J2141" t="s">
        <v>22</v>
      </c>
      <c r="K2141" t="s">
        <v>23</v>
      </c>
      <c r="L2141" t="s">
        <v>31</v>
      </c>
      <c r="M2141" t="s">
        <v>632</v>
      </c>
      <c r="N2141" t="s">
        <v>53</v>
      </c>
      <c r="O2141">
        <v>128</v>
      </c>
      <c r="R2141" s="11">
        <v>6.9444444444444444E-5</v>
      </c>
      <c r="S2141" t="s">
        <v>37</v>
      </c>
      <c r="T2141" t="str">
        <f>IF(Tabela1[[#This Row],[STATUS_NEGOCIO]]="Enviar E-mail",1,"")</f>
        <v/>
      </c>
      <c r="U2141" t="str">
        <f>TEXT(Tabela1[[#This Row],[DATA]],"dd/mm/aaaa")</f>
        <v>24/04/2026</v>
      </c>
    </row>
    <row r="2142" spans="1:21" x14ac:dyDescent="0.25">
      <c r="A2142" s="9">
        <v>46136.515729166669</v>
      </c>
      <c r="B2142" t="s">
        <v>19</v>
      </c>
      <c r="C2142" t="s">
        <v>37</v>
      </c>
      <c r="D2142">
        <v>4</v>
      </c>
      <c r="E2142">
        <v>175438000100</v>
      </c>
      <c r="F2142">
        <v>4</v>
      </c>
      <c r="G2142" s="10">
        <v>177704415924331</v>
      </c>
      <c r="H2142" t="s">
        <v>253</v>
      </c>
      <c r="I2142">
        <v>3003</v>
      </c>
      <c r="J2142" t="s">
        <v>22</v>
      </c>
      <c r="K2142" t="s">
        <v>23</v>
      </c>
      <c r="L2142" t="s">
        <v>31</v>
      </c>
      <c r="M2142" t="s">
        <v>632</v>
      </c>
      <c r="N2142" t="s">
        <v>53</v>
      </c>
      <c r="O2142">
        <v>128</v>
      </c>
      <c r="R2142" s="11">
        <v>8.1018518518518516E-5</v>
      </c>
      <c r="S2142" t="s">
        <v>37</v>
      </c>
      <c r="T2142" t="str">
        <f>IF(Tabela1[[#This Row],[STATUS_NEGOCIO]]="Enviar E-mail",1,"")</f>
        <v/>
      </c>
      <c r="U2142" t="str">
        <f>TEXT(Tabela1[[#This Row],[DATA]],"dd/mm/aaaa")</f>
        <v>24/04/2026</v>
      </c>
    </row>
    <row r="2143" spans="1:21" x14ac:dyDescent="0.25">
      <c r="A2143" s="9">
        <v>46136.515868055554</v>
      </c>
      <c r="B2143" t="s">
        <v>19</v>
      </c>
      <c r="C2143" t="s">
        <v>37</v>
      </c>
      <c r="D2143">
        <v>5</v>
      </c>
      <c r="E2143">
        <v>255310000157</v>
      </c>
      <c r="F2143">
        <v>5</v>
      </c>
      <c r="G2143" s="10">
        <v>177704417124371</v>
      </c>
      <c r="H2143" t="s">
        <v>109</v>
      </c>
      <c r="I2143">
        <v>3003</v>
      </c>
      <c r="J2143" t="s">
        <v>22</v>
      </c>
      <c r="K2143" t="s">
        <v>23</v>
      </c>
      <c r="L2143" t="s">
        <v>31</v>
      </c>
      <c r="M2143" t="s">
        <v>632</v>
      </c>
      <c r="N2143" t="s">
        <v>53</v>
      </c>
      <c r="O2143">
        <v>128</v>
      </c>
      <c r="R2143" s="11">
        <v>8.1018518518518516E-5</v>
      </c>
      <c r="S2143" t="s">
        <v>37</v>
      </c>
      <c r="T2143" t="str">
        <f>IF(Tabela1[[#This Row],[STATUS_NEGOCIO]]="Enviar E-mail",1,"")</f>
        <v/>
      </c>
      <c r="U2143" t="str">
        <f>TEXT(Tabela1[[#This Row],[DATA]],"dd/mm/aaaa")</f>
        <v>24/04/2026</v>
      </c>
    </row>
    <row r="2144" spans="1:21" x14ac:dyDescent="0.25">
      <c r="A2144" s="9">
        <v>46136.515902777777</v>
      </c>
      <c r="B2144" t="s">
        <v>19</v>
      </c>
      <c r="C2144" t="s">
        <v>37</v>
      </c>
      <c r="D2144">
        <v>6</v>
      </c>
      <c r="E2144">
        <v>420622000179</v>
      </c>
      <c r="F2144">
        <v>6</v>
      </c>
      <c r="G2144" s="10">
        <v>177704417424441</v>
      </c>
      <c r="H2144" t="s">
        <v>256</v>
      </c>
      <c r="I2144">
        <v>3003</v>
      </c>
      <c r="J2144" t="s">
        <v>22</v>
      </c>
      <c r="K2144" t="s">
        <v>23</v>
      </c>
      <c r="L2144" t="s">
        <v>31</v>
      </c>
      <c r="M2144" t="s">
        <v>632</v>
      </c>
      <c r="N2144" t="s">
        <v>53</v>
      </c>
      <c r="O2144">
        <v>147</v>
      </c>
      <c r="R2144" s="11">
        <v>8.1018518518518516E-5</v>
      </c>
      <c r="S2144" t="s">
        <v>37</v>
      </c>
      <c r="T2144" t="str">
        <f>IF(Tabela1[[#This Row],[STATUS_NEGOCIO]]="Enviar E-mail",1,"")</f>
        <v/>
      </c>
      <c r="U2144" t="str">
        <f>TEXT(Tabela1[[#This Row],[DATA]],"dd/mm/aaaa")</f>
        <v>24/04/2026</v>
      </c>
    </row>
    <row r="2145" spans="1:21" x14ac:dyDescent="0.25">
      <c r="A2145" s="9">
        <v>46136.515914351854</v>
      </c>
      <c r="B2145" t="s">
        <v>19</v>
      </c>
      <c r="C2145" t="s">
        <v>37</v>
      </c>
      <c r="D2145">
        <v>7</v>
      </c>
      <c r="E2145">
        <v>451332000192</v>
      </c>
      <c r="F2145">
        <v>7</v>
      </c>
      <c r="G2145" s="10">
        <v>177704417524471</v>
      </c>
      <c r="H2145" t="s">
        <v>257</v>
      </c>
      <c r="I2145">
        <v>3003</v>
      </c>
      <c r="J2145" t="s">
        <v>22</v>
      </c>
      <c r="K2145" t="s">
        <v>23</v>
      </c>
      <c r="L2145" t="s">
        <v>31</v>
      </c>
      <c r="M2145" t="s">
        <v>632</v>
      </c>
      <c r="N2145" t="s">
        <v>53</v>
      </c>
      <c r="O2145">
        <v>128</v>
      </c>
      <c r="R2145" s="11">
        <v>8.1018518518518516E-5</v>
      </c>
      <c r="S2145" t="s">
        <v>37</v>
      </c>
      <c r="T2145" t="str">
        <f>IF(Tabela1[[#This Row],[STATUS_NEGOCIO]]="Enviar E-mail",1,"")</f>
        <v/>
      </c>
      <c r="U2145" t="str">
        <f>TEXT(Tabela1[[#This Row],[DATA]],"dd/mm/aaaa")</f>
        <v>24/04/2026</v>
      </c>
    </row>
    <row r="2146" spans="1:21" x14ac:dyDescent="0.25">
      <c r="A2146" s="9">
        <v>46136.515983796293</v>
      </c>
      <c r="B2146" t="s">
        <v>19</v>
      </c>
      <c r="C2146" t="s">
        <v>37</v>
      </c>
      <c r="D2146">
        <v>8</v>
      </c>
      <c r="E2146">
        <v>550875000167</v>
      </c>
      <c r="F2146">
        <v>8</v>
      </c>
      <c r="G2146" s="10">
        <v>177704418124531</v>
      </c>
      <c r="H2146" t="s">
        <v>258</v>
      </c>
      <c r="I2146">
        <v>3003</v>
      </c>
      <c r="J2146" t="s">
        <v>22</v>
      </c>
      <c r="K2146" t="s">
        <v>23</v>
      </c>
      <c r="L2146" t="s">
        <v>31</v>
      </c>
      <c r="M2146" t="s">
        <v>632</v>
      </c>
      <c r="N2146" t="s">
        <v>53</v>
      </c>
      <c r="O2146">
        <v>128</v>
      </c>
      <c r="R2146" s="11">
        <v>8.1018518518518516E-5</v>
      </c>
      <c r="S2146" t="s">
        <v>37</v>
      </c>
      <c r="T2146" t="str">
        <f>IF(Tabela1[[#This Row],[STATUS_NEGOCIO]]="Enviar E-mail",1,"")</f>
        <v/>
      </c>
      <c r="U2146" t="str">
        <f>TEXT(Tabela1[[#This Row],[DATA]],"dd/mm/aaaa")</f>
        <v>24/04/2026</v>
      </c>
    </row>
    <row r="2147" spans="1:21" x14ac:dyDescent="0.25">
      <c r="A2147" s="9">
        <v>46136.516076388885</v>
      </c>
      <c r="B2147" t="s">
        <v>19</v>
      </c>
      <c r="C2147" t="s">
        <v>37</v>
      </c>
      <c r="D2147">
        <v>9</v>
      </c>
      <c r="E2147">
        <v>749145000190</v>
      </c>
      <c r="F2147">
        <v>9</v>
      </c>
      <c r="G2147" s="10">
        <v>177704418924551</v>
      </c>
      <c r="H2147" t="s">
        <v>260</v>
      </c>
      <c r="I2147">
        <v>3003</v>
      </c>
      <c r="J2147" t="s">
        <v>22</v>
      </c>
      <c r="K2147" t="s">
        <v>23</v>
      </c>
      <c r="L2147" t="s">
        <v>31</v>
      </c>
      <c r="M2147" t="s">
        <v>632</v>
      </c>
      <c r="N2147" t="s">
        <v>53</v>
      </c>
      <c r="O2147">
        <v>128</v>
      </c>
      <c r="R2147" s="11">
        <v>8.1018518518518516E-5</v>
      </c>
      <c r="S2147" t="s">
        <v>37</v>
      </c>
      <c r="T2147" t="str">
        <f>IF(Tabela1[[#This Row],[STATUS_NEGOCIO]]="Enviar E-mail",1,"")</f>
        <v/>
      </c>
      <c r="U2147" t="str">
        <f>TEXT(Tabela1[[#This Row],[DATA]],"dd/mm/aaaa")</f>
        <v>24/04/2026</v>
      </c>
    </row>
    <row r="2148" spans="1:21" x14ac:dyDescent="0.25">
      <c r="A2148" s="9">
        <v>46136.516145833331</v>
      </c>
      <c r="B2148" t="s">
        <v>19</v>
      </c>
      <c r="C2148" t="s">
        <v>37</v>
      </c>
      <c r="D2148">
        <v>10</v>
      </c>
      <c r="E2148">
        <v>837531000133</v>
      </c>
      <c r="F2148">
        <v>10</v>
      </c>
      <c r="G2148" s="10">
        <v>177704419524591</v>
      </c>
      <c r="H2148" t="s">
        <v>68</v>
      </c>
      <c r="I2148">
        <v>3003</v>
      </c>
      <c r="J2148" t="s">
        <v>22</v>
      </c>
      <c r="K2148" t="s">
        <v>23</v>
      </c>
      <c r="L2148" t="s">
        <v>31</v>
      </c>
      <c r="M2148" t="s">
        <v>632</v>
      </c>
      <c r="N2148" t="s">
        <v>53</v>
      </c>
      <c r="O2148">
        <v>128</v>
      </c>
      <c r="R2148" s="11">
        <v>8.1018518518518516E-5</v>
      </c>
      <c r="S2148" t="s">
        <v>37</v>
      </c>
      <c r="T2148" t="str">
        <f>IF(Tabela1[[#This Row],[STATUS_NEGOCIO]]="Enviar E-mail",1,"")</f>
        <v/>
      </c>
      <c r="U2148" t="str">
        <f>TEXT(Tabela1[[#This Row],[DATA]],"dd/mm/aaaa")</f>
        <v>24/04/2026</v>
      </c>
    </row>
    <row r="2149" spans="1:21" x14ac:dyDescent="0.25">
      <c r="A2149" s="9">
        <v>46136.516145833331</v>
      </c>
      <c r="B2149" t="s">
        <v>19</v>
      </c>
      <c r="C2149" t="s">
        <v>37</v>
      </c>
      <c r="D2149">
        <v>11</v>
      </c>
      <c r="E2149">
        <v>845384000143</v>
      </c>
      <c r="F2149">
        <v>11</v>
      </c>
      <c r="G2149" s="10">
        <v>177704419524611</v>
      </c>
      <c r="H2149" t="s">
        <v>261</v>
      </c>
      <c r="I2149">
        <v>3003</v>
      </c>
      <c r="J2149" t="s">
        <v>22</v>
      </c>
      <c r="K2149" t="s">
        <v>23</v>
      </c>
      <c r="L2149" t="s">
        <v>31</v>
      </c>
      <c r="M2149" t="s">
        <v>632</v>
      </c>
      <c r="N2149" t="s">
        <v>53</v>
      </c>
      <c r="O2149">
        <v>128</v>
      </c>
      <c r="R2149" s="11">
        <v>8.1018518518518516E-5</v>
      </c>
      <c r="S2149" t="s">
        <v>37</v>
      </c>
      <c r="T2149" t="str">
        <f>IF(Tabela1[[#This Row],[STATUS_NEGOCIO]]="Enviar E-mail",1,"")</f>
        <v/>
      </c>
      <c r="U2149" t="str">
        <f>TEXT(Tabela1[[#This Row],[DATA]],"dd/mm/aaaa")</f>
        <v>24/04/2026</v>
      </c>
    </row>
    <row r="2150" spans="1:21" x14ac:dyDescent="0.25">
      <c r="A2150" s="9">
        <v>46136.516273148147</v>
      </c>
      <c r="B2150" t="s">
        <v>19</v>
      </c>
      <c r="C2150" t="s">
        <v>37</v>
      </c>
      <c r="D2150">
        <v>12</v>
      </c>
      <c r="E2150">
        <v>863808000100</v>
      </c>
      <c r="F2150">
        <v>12</v>
      </c>
      <c r="G2150" s="10">
        <v>177704420624631</v>
      </c>
      <c r="H2150" t="s">
        <v>179</v>
      </c>
      <c r="I2150">
        <v>3003</v>
      </c>
      <c r="J2150" t="s">
        <v>22</v>
      </c>
      <c r="K2150" t="s">
        <v>23</v>
      </c>
      <c r="L2150" t="s">
        <v>31</v>
      </c>
      <c r="M2150" t="s">
        <v>632</v>
      </c>
      <c r="N2150" t="s">
        <v>53</v>
      </c>
      <c r="O2150">
        <v>147</v>
      </c>
      <c r="R2150" s="11">
        <v>8.1018518518518516E-5</v>
      </c>
      <c r="S2150" t="s">
        <v>37</v>
      </c>
      <c r="T2150" t="str">
        <f>IF(Tabela1[[#This Row],[STATUS_NEGOCIO]]="Enviar E-mail",1,"")</f>
        <v/>
      </c>
      <c r="U2150" t="str">
        <f>TEXT(Tabela1[[#This Row],[DATA]],"dd/mm/aaaa")</f>
        <v>24/04/2026</v>
      </c>
    </row>
    <row r="2151" spans="1:21" x14ac:dyDescent="0.25">
      <c r="A2151" s="9">
        <v>46136.516342592593</v>
      </c>
      <c r="B2151" t="s">
        <v>19</v>
      </c>
      <c r="C2151" t="s">
        <v>37</v>
      </c>
      <c r="D2151">
        <v>13</v>
      </c>
      <c r="E2151">
        <v>1056628000171</v>
      </c>
      <c r="F2151">
        <v>13</v>
      </c>
      <c r="G2151" s="10">
        <v>177704421224671</v>
      </c>
      <c r="H2151" t="s">
        <v>262</v>
      </c>
      <c r="I2151">
        <v>3003</v>
      </c>
      <c r="J2151" t="s">
        <v>22</v>
      </c>
      <c r="K2151" t="s">
        <v>23</v>
      </c>
      <c r="L2151" t="s">
        <v>31</v>
      </c>
      <c r="M2151" t="s">
        <v>632</v>
      </c>
      <c r="N2151" t="s">
        <v>26</v>
      </c>
      <c r="O2151">
        <v>131</v>
      </c>
      <c r="R2151" s="11">
        <v>9.2592592592592588E-5</v>
      </c>
      <c r="S2151" t="s">
        <v>37</v>
      </c>
      <c r="T2151" t="str">
        <f>IF(Tabela1[[#This Row],[STATUS_NEGOCIO]]="Enviar E-mail",1,"")</f>
        <v/>
      </c>
      <c r="U2151" t="str">
        <f>TEXT(Tabela1[[#This Row],[DATA]],"dd/mm/aaaa")</f>
        <v>24/04/2026</v>
      </c>
    </row>
    <row r="2152" spans="1:21" x14ac:dyDescent="0.25">
      <c r="A2152" s="9">
        <v>46136.51635416667</v>
      </c>
      <c r="B2152" t="s">
        <v>19</v>
      </c>
      <c r="C2152" t="s">
        <v>37</v>
      </c>
      <c r="D2152">
        <v>14</v>
      </c>
      <c r="E2152">
        <v>1062613000116</v>
      </c>
      <c r="F2152">
        <v>14</v>
      </c>
      <c r="G2152" s="10">
        <v>177704421324691</v>
      </c>
      <c r="H2152" t="s">
        <v>263</v>
      </c>
      <c r="I2152">
        <v>3003</v>
      </c>
      <c r="J2152" t="s">
        <v>22</v>
      </c>
      <c r="K2152" t="s">
        <v>23</v>
      </c>
      <c r="L2152" t="s">
        <v>31</v>
      </c>
      <c r="M2152" t="s">
        <v>632</v>
      </c>
      <c r="N2152" t="s">
        <v>53</v>
      </c>
      <c r="O2152">
        <v>128</v>
      </c>
      <c r="R2152" s="11">
        <v>8.1018518518518516E-5</v>
      </c>
      <c r="S2152" t="s">
        <v>37</v>
      </c>
      <c r="T2152" t="str">
        <f>IF(Tabela1[[#This Row],[STATUS_NEGOCIO]]="Enviar E-mail",1,"")</f>
        <v/>
      </c>
      <c r="U2152" t="str">
        <f>TEXT(Tabela1[[#This Row],[DATA]],"dd/mm/aaaa")</f>
        <v>24/04/2026</v>
      </c>
    </row>
    <row r="2153" spans="1:21" x14ac:dyDescent="0.25">
      <c r="A2153" s="9">
        <v>46136.516562500001</v>
      </c>
      <c r="B2153" t="s">
        <v>19</v>
      </c>
      <c r="C2153" t="s">
        <v>37</v>
      </c>
      <c r="D2153">
        <v>15</v>
      </c>
      <c r="E2153">
        <v>1104119000177</v>
      </c>
      <c r="F2153">
        <v>15</v>
      </c>
      <c r="G2153" s="10">
        <v>177704423124811</v>
      </c>
      <c r="H2153" t="s">
        <v>264</v>
      </c>
      <c r="I2153">
        <v>3003</v>
      </c>
      <c r="J2153" t="s">
        <v>22</v>
      </c>
      <c r="K2153" t="s">
        <v>23</v>
      </c>
      <c r="L2153" t="s">
        <v>31</v>
      </c>
      <c r="M2153" t="s">
        <v>632</v>
      </c>
      <c r="N2153" t="s">
        <v>53</v>
      </c>
      <c r="O2153">
        <v>128</v>
      </c>
      <c r="R2153" s="11">
        <v>8.1018518518518516E-5</v>
      </c>
      <c r="S2153" t="s">
        <v>37</v>
      </c>
      <c r="T2153" t="str">
        <f>IF(Tabela1[[#This Row],[STATUS_NEGOCIO]]="Enviar E-mail",1,"")</f>
        <v/>
      </c>
      <c r="U2153" t="str">
        <f>TEXT(Tabela1[[#This Row],[DATA]],"dd/mm/aaaa")</f>
        <v>24/04/2026</v>
      </c>
    </row>
    <row r="2154" spans="1:21" x14ac:dyDescent="0.25">
      <c r="A2154" s="9">
        <v>46136.51662037037</v>
      </c>
      <c r="B2154" t="s">
        <v>19</v>
      </c>
      <c r="C2154" t="s">
        <v>37</v>
      </c>
      <c r="D2154">
        <v>16</v>
      </c>
      <c r="E2154">
        <v>1209604000105</v>
      </c>
      <c r="F2154">
        <v>16</v>
      </c>
      <c r="G2154" s="10">
        <v>177704423624831</v>
      </c>
      <c r="H2154" t="s">
        <v>266</v>
      </c>
      <c r="I2154">
        <v>3003</v>
      </c>
      <c r="J2154" t="s">
        <v>22</v>
      </c>
      <c r="K2154" t="s">
        <v>23</v>
      </c>
      <c r="L2154" t="s">
        <v>31</v>
      </c>
      <c r="M2154" t="s">
        <v>632</v>
      </c>
      <c r="N2154" t="s">
        <v>53</v>
      </c>
      <c r="O2154">
        <v>128</v>
      </c>
      <c r="R2154" s="11">
        <v>8.1018518518518516E-5</v>
      </c>
      <c r="S2154" t="s">
        <v>37</v>
      </c>
      <c r="T2154" t="str">
        <f>IF(Tabela1[[#This Row],[STATUS_NEGOCIO]]="Enviar E-mail",1,"")</f>
        <v/>
      </c>
      <c r="U2154" t="str">
        <f>TEXT(Tabela1[[#This Row],[DATA]],"dd/mm/aaaa")</f>
        <v>24/04/2026</v>
      </c>
    </row>
    <row r="2155" spans="1:21" x14ac:dyDescent="0.25">
      <c r="A2155" s="9">
        <v>46136.516701388886</v>
      </c>
      <c r="B2155" t="s">
        <v>19</v>
      </c>
      <c r="C2155" t="s">
        <v>37</v>
      </c>
      <c r="D2155">
        <v>17</v>
      </c>
      <c r="E2155">
        <v>1340549000198</v>
      </c>
      <c r="F2155">
        <v>17</v>
      </c>
      <c r="G2155" s="10">
        <v>177704424324851</v>
      </c>
      <c r="H2155" t="s">
        <v>281</v>
      </c>
      <c r="I2155">
        <v>3003</v>
      </c>
      <c r="J2155" t="s">
        <v>22</v>
      </c>
      <c r="K2155" t="s">
        <v>23</v>
      </c>
      <c r="L2155" t="s">
        <v>31</v>
      </c>
      <c r="M2155" t="s">
        <v>632</v>
      </c>
      <c r="N2155" t="s">
        <v>53</v>
      </c>
      <c r="O2155">
        <v>128</v>
      </c>
      <c r="R2155" s="11">
        <v>8.1018518518518516E-5</v>
      </c>
      <c r="S2155" t="s">
        <v>37</v>
      </c>
      <c r="T2155" t="str">
        <f>IF(Tabela1[[#This Row],[STATUS_NEGOCIO]]="Enviar E-mail",1,"")</f>
        <v/>
      </c>
      <c r="U2155" t="str">
        <f>TEXT(Tabela1[[#This Row],[DATA]],"dd/mm/aaaa")</f>
        <v>24/04/2026</v>
      </c>
    </row>
    <row r="2156" spans="1:21" x14ac:dyDescent="0.25">
      <c r="A2156" s="9">
        <v>46136.516724537039</v>
      </c>
      <c r="B2156" t="s">
        <v>19</v>
      </c>
      <c r="C2156" t="s">
        <v>37</v>
      </c>
      <c r="D2156">
        <v>18</v>
      </c>
      <c r="E2156">
        <v>1387961000163</v>
      </c>
      <c r="F2156">
        <v>18</v>
      </c>
      <c r="G2156" s="10">
        <v>177704424524871</v>
      </c>
      <c r="H2156" t="s">
        <v>267</v>
      </c>
      <c r="I2156">
        <v>3003</v>
      </c>
      <c r="J2156" t="s">
        <v>22</v>
      </c>
      <c r="K2156" t="s">
        <v>23</v>
      </c>
      <c r="L2156" t="s">
        <v>31</v>
      </c>
      <c r="M2156" t="s">
        <v>632</v>
      </c>
      <c r="N2156" t="s">
        <v>53</v>
      </c>
      <c r="O2156">
        <v>128</v>
      </c>
      <c r="R2156" s="11">
        <v>8.1018518518518516E-5</v>
      </c>
      <c r="S2156" t="s">
        <v>37</v>
      </c>
      <c r="T2156" t="str">
        <f>IF(Tabela1[[#This Row],[STATUS_NEGOCIO]]="Enviar E-mail",1,"")</f>
        <v/>
      </c>
      <c r="U2156" t="str">
        <f>TEXT(Tabela1[[#This Row],[DATA]],"dd/mm/aaaa")</f>
        <v>24/04/2026</v>
      </c>
    </row>
    <row r="2157" spans="1:21" x14ac:dyDescent="0.25">
      <c r="A2157" s="9">
        <v>46136.516736111109</v>
      </c>
      <c r="B2157" t="s">
        <v>19</v>
      </c>
      <c r="C2157" t="s">
        <v>37</v>
      </c>
      <c r="D2157">
        <v>19</v>
      </c>
      <c r="E2157">
        <v>1399122000165</v>
      </c>
      <c r="F2157">
        <v>19</v>
      </c>
      <c r="G2157" s="10">
        <v>177704424624891</v>
      </c>
      <c r="H2157" t="s">
        <v>285</v>
      </c>
      <c r="I2157" t="s">
        <v>52</v>
      </c>
      <c r="J2157" t="s">
        <v>22</v>
      </c>
      <c r="K2157" t="s">
        <v>36</v>
      </c>
      <c r="L2157" t="s">
        <v>36</v>
      </c>
      <c r="M2157" t="s">
        <v>632</v>
      </c>
      <c r="N2157" t="s">
        <v>53</v>
      </c>
      <c r="O2157">
        <v>19</v>
      </c>
      <c r="R2157" s="11">
        <v>0</v>
      </c>
      <c r="S2157" t="s">
        <v>37</v>
      </c>
      <c r="T2157" t="str">
        <f>IF(Tabela1[[#This Row],[STATUS_NEGOCIO]]="Enviar E-mail",1,"")</f>
        <v/>
      </c>
      <c r="U2157" t="str">
        <f>TEXT(Tabela1[[#This Row],[DATA]],"dd/mm/aaaa")</f>
        <v>24/04/2026</v>
      </c>
    </row>
    <row r="2158" spans="1:21" x14ac:dyDescent="0.25">
      <c r="A2158" s="9">
        <v>46136.516909722224</v>
      </c>
      <c r="B2158" t="s">
        <v>19</v>
      </c>
      <c r="C2158" t="s">
        <v>37</v>
      </c>
      <c r="D2158">
        <v>21</v>
      </c>
      <c r="E2158">
        <v>1485063000148</v>
      </c>
      <c r="F2158">
        <v>20</v>
      </c>
      <c r="G2158" s="10">
        <v>177704426124931</v>
      </c>
      <c r="H2158" t="s">
        <v>230</v>
      </c>
      <c r="I2158">
        <v>3003</v>
      </c>
      <c r="J2158" t="s">
        <v>22</v>
      </c>
      <c r="K2158" t="s">
        <v>23</v>
      </c>
      <c r="L2158" t="s">
        <v>31</v>
      </c>
      <c r="M2158" t="s">
        <v>632</v>
      </c>
      <c r="N2158" t="s">
        <v>53</v>
      </c>
      <c r="O2158">
        <v>128</v>
      </c>
      <c r="R2158" s="11">
        <v>8.1018518518518516E-5</v>
      </c>
      <c r="S2158" t="s">
        <v>37</v>
      </c>
      <c r="T2158" t="str">
        <f>IF(Tabela1[[#This Row],[STATUS_NEGOCIO]]="Enviar E-mail",1,"")</f>
        <v/>
      </c>
      <c r="U2158" t="str">
        <f>TEXT(Tabela1[[#This Row],[DATA]],"dd/mm/aaaa")</f>
        <v>24/04/2026</v>
      </c>
    </row>
    <row r="2159" spans="1:21" x14ac:dyDescent="0.25">
      <c r="A2159" s="9">
        <v>46136.516921296294</v>
      </c>
      <c r="B2159" t="s">
        <v>19</v>
      </c>
      <c r="C2159" t="s">
        <v>37</v>
      </c>
      <c r="D2159">
        <v>22</v>
      </c>
      <c r="E2159">
        <v>1632895000140</v>
      </c>
      <c r="F2159">
        <v>21</v>
      </c>
      <c r="G2159" s="10">
        <v>177704426224951</v>
      </c>
      <c r="H2159" t="s">
        <v>287</v>
      </c>
      <c r="I2159">
        <v>3003</v>
      </c>
      <c r="J2159" t="s">
        <v>22</v>
      </c>
      <c r="K2159" t="s">
        <v>23</v>
      </c>
      <c r="L2159" t="s">
        <v>31</v>
      </c>
      <c r="M2159" t="s">
        <v>632</v>
      </c>
      <c r="N2159" t="s">
        <v>53</v>
      </c>
      <c r="O2159">
        <v>128</v>
      </c>
      <c r="R2159" s="11">
        <v>8.1018518518518516E-5</v>
      </c>
      <c r="S2159" t="s">
        <v>37</v>
      </c>
      <c r="T2159" t="str">
        <f>IF(Tabela1[[#This Row],[STATUS_NEGOCIO]]="Enviar E-mail",1,"")</f>
        <v/>
      </c>
      <c r="U2159" t="str">
        <f>TEXT(Tabela1[[#This Row],[DATA]],"dd/mm/aaaa")</f>
        <v>24/04/2026</v>
      </c>
    </row>
    <row r="2160" spans="1:21" x14ac:dyDescent="0.25">
      <c r="A2160" s="9">
        <v>46136.517083333332</v>
      </c>
      <c r="B2160" t="s">
        <v>19</v>
      </c>
      <c r="C2160" t="s">
        <v>37</v>
      </c>
      <c r="D2160">
        <v>23</v>
      </c>
      <c r="E2160">
        <v>1721269000120</v>
      </c>
      <c r="F2160">
        <v>22</v>
      </c>
      <c r="G2160" s="10">
        <v>177704427624971</v>
      </c>
      <c r="H2160" t="s">
        <v>288</v>
      </c>
      <c r="I2160">
        <v>3003</v>
      </c>
      <c r="J2160" t="s">
        <v>22</v>
      </c>
      <c r="K2160" t="s">
        <v>23</v>
      </c>
      <c r="L2160" t="s">
        <v>31</v>
      </c>
      <c r="M2160" t="s">
        <v>632</v>
      </c>
      <c r="N2160" t="s">
        <v>26</v>
      </c>
      <c r="O2160">
        <v>131</v>
      </c>
      <c r="R2160" s="11">
        <v>4.6296296296296294E-5</v>
      </c>
      <c r="S2160" t="s">
        <v>37</v>
      </c>
      <c r="T2160" t="str">
        <f>IF(Tabela1[[#This Row],[STATUS_NEGOCIO]]="Enviar E-mail",1,"")</f>
        <v/>
      </c>
      <c r="U2160" t="str">
        <f>TEXT(Tabela1[[#This Row],[DATA]],"dd/mm/aaaa")</f>
        <v>24/04/2026</v>
      </c>
    </row>
    <row r="2161" spans="1:21" x14ac:dyDescent="0.25">
      <c r="A2161" s="9">
        <v>46136.517118055555</v>
      </c>
      <c r="B2161" t="s">
        <v>19</v>
      </c>
      <c r="C2161" t="s">
        <v>37</v>
      </c>
      <c r="D2161">
        <v>26</v>
      </c>
      <c r="E2161">
        <v>1879056000120</v>
      </c>
      <c r="F2161">
        <v>23</v>
      </c>
      <c r="G2161" s="10">
        <v>177704427924991</v>
      </c>
      <c r="H2161" t="s">
        <v>633</v>
      </c>
      <c r="I2161">
        <v>3003</v>
      </c>
      <c r="J2161" t="s">
        <v>22</v>
      </c>
      <c r="K2161" t="s">
        <v>23</v>
      </c>
      <c r="L2161" t="s">
        <v>31</v>
      </c>
      <c r="M2161" t="s">
        <v>632</v>
      </c>
      <c r="N2161" t="s">
        <v>53</v>
      </c>
      <c r="O2161">
        <v>128</v>
      </c>
      <c r="R2161" s="11">
        <v>8.1018518518518516E-5</v>
      </c>
      <c r="S2161" t="s">
        <v>37</v>
      </c>
      <c r="T2161" t="str">
        <f>IF(Tabela1[[#This Row],[STATUS_NEGOCIO]]="Enviar E-mail",1,"")</f>
        <v/>
      </c>
      <c r="U2161" t="str">
        <f>TEXT(Tabela1[[#This Row],[DATA]],"dd/mm/aaaa")</f>
        <v>24/04/2026</v>
      </c>
    </row>
    <row r="2162" spans="1:21" x14ac:dyDescent="0.25">
      <c r="A2162" s="9">
        <v>46136.517199074071</v>
      </c>
      <c r="B2162" t="s">
        <v>19</v>
      </c>
      <c r="C2162" t="s">
        <v>37</v>
      </c>
      <c r="D2162">
        <v>27</v>
      </c>
      <c r="E2162">
        <v>1959285000155</v>
      </c>
      <c r="F2162">
        <v>24</v>
      </c>
      <c r="G2162" s="10">
        <v>177704428625021</v>
      </c>
      <c r="H2162" t="s">
        <v>291</v>
      </c>
      <c r="I2162">
        <v>3003</v>
      </c>
      <c r="J2162" t="s">
        <v>22</v>
      </c>
      <c r="K2162" t="s">
        <v>23</v>
      </c>
      <c r="L2162" t="s">
        <v>31</v>
      </c>
      <c r="M2162" t="s">
        <v>632</v>
      </c>
      <c r="N2162" t="s">
        <v>53</v>
      </c>
      <c r="O2162">
        <v>128</v>
      </c>
      <c r="R2162" s="11">
        <v>8.1018518518518516E-5</v>
      </c>
      <c r="S2162" t="s">
        <v>37</v>
      </c>
      <c r="T2162" t="str">
        <f>IF(Tabela1[[#This Row],[STATUS_NEGOCIO]]="Enviar E-mail",1,"")</f>
        <v/>
      </c>
      <c r="U2162" t="str">
        <f>TEXT(Tabela1[[#This Row],[DATA]],"dd/mm/aaaa")</f>
        <v>24/04/2026</v>
      </c>
    </row>
    <row r="2163" spans="1:21" x14ac:dyDescent="0.25">
      <c r="A2163" s="9">
        <v>46136.517280092594</v>
      </c>
      <c r="B2163" t="s">
        <v>19</v>
      </c>
      <c r="C2163" t="s">
        <v>37</v>
      </c>
      <c r="D2163">
        <v>28</v>
      </c>
      <c r="E2163">
        <v>1978794000125</v>
      </c>
      <c r="F2163">
        <v>25</v>
      </c>
      <c r="G2163" s="10">
        <v>177704429325041</v>
      </c>
      <c r="H2163" t="s">
        <v>292</v>
      </c>
      <c r="I2163">
        <v>3003</v>
      </c>
      <c r="J2163" t="s">
        <v>22</v>
      </c>
      <c r="K2163" t="s">
        <v>23</v>
      </c>
      <c r="L2163" t="s">
        <v>31</v>
      </c>
      <c r="M2163" t="s">
        <v>632</v>
      </c>
      <c r="N2163" t="s">
        <v>53</v>
      </c>
      <c r="O2163">
        <v>128</v>
      </c>
      <c r="R2163" s="11">
        <v>8.1018518518518516E-5</v>
      </c>
      <c r="S2163" t="s">
        <v>37</v>
      </c>
      <c r="T2163" t="str">
        <f>IF(Tabela1[[#This Row],[STATUS_NEGOCIO]]="Enviar E-mail",1,"")</f>
        <v/>
      </c>
      <c r="U2163" t="str">
        <f>TEXT(Tabela1[[#This Row],[DATA]],"dd/mm/aaaa")</f>
        <v>24/04/2026</v>
      </c>
    </row>
    <row r="2164" spans="1:21" x14ac:dyDescent="0.25">
      <c r="A2164" s="9">
        <v>46136.51730324074</v>
      </c>
      <c r="B2164" t="s">
        <v>19</v>
      </c>
      <c r="C2164" t="s">
        <v>37</v>
      </c>
      <c r="D2164">
        <v>29</v>
      </c>
      <c r="E2164">
        <v>2047048000180</v>
      </c>
      <c r="F2164">
        <v>26</v>
      </c>
      <c r="G2164" s="10">
        <v>177704429525061</v>
      </c>
      <c r="H2164" t="s">
        <v>171</v>
      </c>
      <c r="I2164" t="s">
        <v>52</v>
      </c>
      <c r="J2164" t="s">
        <v>22</v>
      </c>
      <c r="K2164" t="s">
        <v>36</v>
      </c>
      <c r="L2164" t="s">
        <v>36</v>
      </c>
      <c r="M2164" t="s">
        <v>632</v>
      </c>
      <c r="N2164" t="s">
        <v>53</v>
      </c>
      <c r="O2164">
        <v>34</v>
      </c>
      <c r="R2164" s="11">
        <v>0</v>
      </c>
      <c r="S2164" t="s">
        <v>37</v>
      </c>
      <c r="T2164" t="str">
        <f>IF(Tabela1[[#This Row],[STATUS_NEGOCIO]]="Enviar E-mail",1,"")</f>
        <v/>
      </c>
      <c r="U2164" t="str">
        <f>TEXT(Tabela1[[#This Row],[DATA]],"dd/mm/aaaa")</f>
        <v>24/04/2026</v>
      </c>
    </row>
    <row r="2165" spans="1:21" x14ac:dyDescent="0.25">
      <c r="A2165" s="9">
        <v>46136.517337962963</v>
      </c>
      <c r="B2165" t="s">
        <v>19</v>
      </c>
      <c r="C2165" t="s">
        <v>37</v>
      </c>
      <c r="D2165">
        <v>30</v>
      </c>
      <c r="E2165">
        <v>2055500000156</v>
      </c>
      <c r="F2165">
        <v>27</v>
      </c>
      <c r="G2165" s="10">
        <v>177704429825071</v>
      </c>
      <c r="H2165" t="s">
        <v>293</v>
      </c>
      <c r="I2165">
        <v>3003</v>
      </c>
      <c r="J2165" t="s">
        <v>22</v>
      </c>
      <c r="K2165" t="s">
        <v>23</v>
      </c>
      <c r="L2165" t="s">
        <v>31</v>
      </c>
      <c r="M2165" t="s">
        <v>632</v>
      </c>
      <c r="N2165" t="s">
        <v>53</v>
      </c>
      <c r="O2165">
        <v>128</v>
      </c>
      <c r="R2165" s="11">
        <v>8.1018518518518516E-5</v>
      </c>
      <c r="S2165" t="s">
        <v>37</v>
      </c>
      <c r="T2165" t="str">
        <f>IF(Tabela1[[#This Row],[STATUS_NEGOCIO]]="Enviar E-mail",1,"")</f>
        <v/>
      </c>
      <c r="U2165" t="str">
        <f>TEXT(Tabela1[[#This Row],[DATA]],"dd/mm/aaaa")</f>
        <v>24/04/2026</v>
      </c>
    </row>
    <row r="2166" spans="1:21" x14ac:dyDescent="0.25">
      <c r="A2166" s="9">
        <v>46136.517384259256</v>
      </c>
      <c r="B2166" t="s">
        <v>19</v>
      </c>
      <c r="C2166" t="s">
        <v>37</v>
      </c>
      <c r="D2166">
        <v>31</v>
      </c>
      <c r="E2166">
        <v>2079896000171</v>
      </c>
      <c r="F2166">
        <v>28</v>
      </c>
      <c r="G2166" s="10">
        <v>177704430225081</v>
      </c>
      <c r="H2166" t="s">
        <v>272</v>
      </c>
      <c r="I2166">
        <v>3003</v>
      </c>
      <c r="J2166" t="s">
        <v>22</v>
      </c>
      <c r="K2166" t="s">
        <v>23</v>
      </c>
      <c r="L2166" t="s">
        <v>31</v>
      </c>
      <c r="M2166" t="s">
        <v>632</v>
      </c>
      <c r="N2166" t="s">
        <v>53</v>
      </c>
      <c r="O2166">
        <v>128</v>
      </c>
      <c r="R2166" s="11">
        <v>8.1018518518518516E-5</v>
      </c>
      <c r="S2166" t="s">
        <v>37</v>
      </c>
      <c r="T2166" t="str">
        <f>IF(Tabela1[[#This Row],[STATUS_NEGOCIO]]="Enviar E-mail",1,"")</f>
        <v/>
      </c>
      <c r="U2166" t="str">
        <f>TEXT(Tabela1[[#This Row],[DATA]],"dd/mm/aaaa")</f>
        <v>24/04/2026</v>
      </c>
    </row>
    <row r="2167" spans="1:21" x14ac:dyDescent="0.25">
      <c r="A2167" s="9">
        <v>46136.517534722225</v>
      </c>
      <c r="B2167" t="s">
        <v>19</v>
      </c>
      <c r="C2167" t="s">
        <v>37</v>
      </c>
      <c r="D2167">
        <v>32</v>
      </c>
      <c r="E2167">
        <v>2113776000143</v>
      </c>
      <c r="F2167">
        <v>29</v>
      </c>
      <c r="G2167" s="10">
        <v>177704431525101</v>
      </c>
      <c r="H2167" t="s">
        <v>294</v>
      </c>
      <c r="I2167">
        <v>3003</v>
      </c>
      <c r="J2167" t="s">
        <v>22</v>
      </c>
      <c r="K2167" t="s">
        <v>23</v>
      </c>
      <c r="L2167" t="s">
        <v>31</v>
      </c>
      <c r="M2167" t="s">
        <v>632</v>
      </c>
      <c r="N2167" t="s">
        <v>53</v>
      </c>
      <c r="O2167">
        <v>128</v>
      </c>
      <c r="R2167" s="11">
        <v>8.1018518518518516E-5</v>
      </c>
      <c r="S2167" t="s">
        <v>37</v>
      </c>
      <c r="T2167" t="str">
        <f>IF(Tabela1[[#This Row],[STATUS_NEGOCIO]]="Enviar E-mail",1,"")</f>
        <v/>
      </c>
      <c r="U2167" t="str">
        <f>TEXT(Tabela1[[#This Row],[DATA]],"dd/mm/aaaa")</f>
        <v>24/04/2026</v>
      </c>
    </row>
    <row r="2168" spans="1:21" x14ac:dyDescent="0.25">
      <c r="A2168" s="9">
        <v>46136.517592592594</v>
      </c>
      <c r="B2168" t="s">
        <v>19</v>
      </c>
      <c r="C2168" t="s">
        <v>37</v>
      </c>
      <c r="D2168">
        <v>33</v>
      </c>
      <c r="E2168">
        <v>2148473000166</v>
      </c>
      <c r="F2168">
        <v>30</v>
      </c>
      <c r="G2168" s="10">
        <v>177704432025121</v>
      </c>
      <c r="H2168" t="s">
        <v>283</v>
      </c>
      <c r="I2168">
        <v>3003</v>
      </c>
      <c r="J2168" t="s">
        <v>22</v>
      </c>
      <c r="K2168" t="s">
        <v>23</v>
      </c>
      <c r="L2168" t="s">
        <v>31</v>
      </c>
      <c r="M2168" t="s">
        <v>632</v>
      </c>
      <c r="N2168" t="s">
        <v>53</v>
      </c>
      <c r="O2168">
        <v>131</v>
      </c>
      <c r="R2168" s="11">
        <v>3.4722222222222222E-5</v>
      </c>
      <c r="S2168" t="s">
        <v>37</v>
      </c>
      <c r="T2168" t="str">
        <f>IF(Tabela1[[#This Row],[STATUS_NEGOCIO]]="Enviar E-mail",1,"")</f>
        <v/>
      </c>
      <c r="U2168" t="str">
        <f>TEXT(Tabela1[[#This Row],[DATA]],"dd/mm/aaaa")</f>
        <v>24/04/2026</v>
      </c>
    </row>
    <row r="2169" spans="1:21" x14ac:dyDescent="0.25">
      <c r="A2169" s="9">
        <v>46136.517708333333</v>
      </c>
      <c r="B2169" t="s">
        <v>19</v>
      </c>
      <c r="C2169" t="s">
        <v>37</v>
      </c>
      <c r="D2169">
        <v>35</v>
      </c>
      <c r="E2169">
        <v>2326459000105</v>
      </c>
      <c r="F2169">
        <v>32</v>
      </c>
      <c r="G2169" s="10">
        <v>177704433025161</v>
      </c>
      <c r="H2169" t="s">
        <v>295</v>
      </c>
      <c r="I2169">
        <v>3003</v>
      </c>
      <c r="J2169" t="s">
        <v>22</v>
      </c>
      <c r="K2169" t="s">
        <v>23</v>
      </c>
      <c r="L2169" t="s">
        <v>31</v>
      </c>
      <c r="M2169" t="s">
        <v>632</v>
      </c>
      <c r="N2169" t="s">
        <v>53</v>
      </c>
      <c r="O2169">
        <v>128</v>
      </c>
      <c r="R2169" s="11">
        <v>8.1018518518518516E-5</v>
      </c>
      <c r="S2169" t="s">
        <v>37</v>
      </c>
      <c r="T2169" t="str">
        <f>IF(Tabela1[[#This Row],[STATUS_NEGOCIO]]="Enviar E-mail",1,"")</f>
        <v/>
      </c>
      <c r="U2169" t="str">
        <f>TEXT(Tabela1[[#This Row],[DATA]],"dd/mm/aaaa")</f>
        <v>24/04/2026</v>
      </c>
    </row>
    <row r="2170" spans="1:21" x14ac:dyDescent="0.25">
      <c r="A2170" s="9">
        <v>46136.517789351848</v>
      </c>
      <c r="B2170" t="s">
        <v>19</v>
      </c>
      <c r="C2170" t="s">
        <v>37</v>
      </c>
      <c r="D2170">
        <v>36</v>
      </c>
      <c r="E2170">
        <v>2427859000107</v>
      </c>
      <c r="F2170">
        <v>33</v>
      </c>
      <c r="G2170" s="10">
        <v>177704433725241</v>
      </c>
      <c r="H2170" t="s">
        <v>296</v>
      </c>
      <c r="I2170">
        <v>3003</v>
      </c>
      <c r="J2170" t="s">
        <v>22</v>
      </c>
      <c r="K2170" t="s">
        <v>23</v>
      </c>
      <c r="L2170" t="s">
        <v>31</v>
      </c>
      <c r="M2170" t="s">
        <v>632</v>
      </c>
      <c r="N2170" t="s">
        <v>53</v>
      </c>
      <c r="O2170">
        <v>128</v>
      </c>
      <c r="R2170" s="11">
        <v>8.1018518518518516E-5</v>
      </c>
      <c r="S2170" t="s">
        <v>37</v>
      </c>
      <c r="T2170" t="str">
        <f>IF(Tabela1[[#This Row],[STATUS_NEGOCIO]]="Enviar E-mail",1,"")</f>
        <v/>
      </c>
      <c r="U2170" t="str">
        <f>TEXT(Tabela1[[#This Row],[DATA]],"dd/mm/aaaa")</f>
        <v>24/04/2026</v>
      </c>
    </row>
    <row r="2171" spans="1:21" x14ac:dyDescent="0.25">
      <c r="A2171" s="9">
        <v>46136.517824074072</v>
      </c>
      <c r="B2171" t="s">
        <v>19</v>
      </c>
      <c r="C2171" t="s">
        <v>37</v>
      </c>
      <c r="D2171">
        <v>37</v>
      </c>
      <c r="E2171">
        <v>2464189000107</v>
      </c>
      <c r="F2171">
        <v>34</v>
      </c>
      <c r="G2171" s="10">
        <v>177704434025261</v>
      </c>
      <c r="H2171" t="s">
        <v>297</v>
      </c>
      <c r="I2171">
        <v>3003</v>
      </c>
      <c r="J2171" t="s">
        <v>22</v>
      </c>
      <c r="K2171" t="s">
        <v>23</v>
      </c>
      <c r="L2171" t="s">
        <v>31</v>
      </c>
      <c r="M2171" t="s">
        <v>632</v>
      </c>
      <c r="N2171" t="s">
        <v>53</v>
      </c>
      <c r="O2171">
        <v>128</v>
      </c>
      <c r="R2171" s="11">
        <v>8.1018518518518516E-5</v>
      </c>
      <c r="S2171" t="s">
        <v>37</v>
      </c>
      <c r="T2171" t="str">
        <f>IF(Tabela1[[#This Row],[STATUS_NEGOCIO]]="Enviar E-mail",1,"")</f>
        <v/>
      </c>
      <c r="U2171" t="str">
        <f>TEXT(Tabela1[[#This Row],[DATA]],"dd/mm/aaaa")</f>
        <v>24/04/2026</v>
      </c>
    </row>
    <row r="2172" spans="1:21" x14ac:dyDescent="0.25">
      <c r="A2172" s="9">
        <v>46136.518078703702</v>
      </c>
      <c r="B2172" t="s">
        <v>19</v>
      </c>
      <c r="C2172" t="s">
        <v>37</v>
      </c>
      <c r="D2172">
        <v>39</v>
      </c>
      <c r="E2172">
        <v>2510074000101</v>
      </c>
      <c r="F2172">
        <v>35</v>
      </c>
      <c r="G2172" s="10">
        <v>177704436225291</v>
      </c>
      <c r="H2172" t="s">
        <v>299</v>
      </c>
      <c r="I2172">
        <v>3003</v>
      </c>
      <c r="J2172" t="s">
        <v>22</v>
      </c>
      <c r="K2172" t="s">
        <v>23</v>
      </c>
      <c r="L2172" t="s">
        <v>31</v>
      </c>
      <c r="M2172" t="s">
        <v>632</v>
      </c>
      <c r="N2172" t="s">
        <v>53</v>
      </c>
      <c r="O2172">
        <v>128</v>
      </c>
      <c r="R2172" s="11">
        <v>8.1018518518518516E-5</v>
      </c>
      <c r="S2172" t="s">
        <v>37</v>
      </c>
      <c r="T2172" t="str">
        <f>IF(Tabela1[[#This Row],[STATUS_NEGOCIO]]="Enviar E-mail",1,"")</f>
        <v/>
      </c>
      <c r="U2172" t="str">
        <f>TEXT(Tabela1[[#This Row],[DATA]],"dd/mm/aaaa")</f>
        <v>24/04/2026</v>
      </c>
    </row>
    <row r="2173" spans="1:21" x14ac:dyDescent="0.25">
      <c r="A2173" s="9">
        <v>46136.518136574072</v>
      </c>
      <c r="B2173" t="s">
        <v>19</v>
      </c>
      <c r="C2173" t="s">
        <v>37</v>
      </c>
      <c r="D2173">
        <v>40</v>
      </c>
      <c r="E2173">
        <v>2604580000151</v>
      </c>
      <c r="F2173">
        <v>36</v>
      </c>
      <c r="G2173" s="10">
        <v>177704436725311</v>
      </c>
      <c r="H2173" t="s">
        <v>300</v>
      </c>
      <c r="I2173" t="s">
        <v>52</v>
      </c>
      <c r="J2173" t="s">
        <v>22</v>
      </c>
      <c r="K2173" t="s">
        <v>36</v>
      </c>
      <c r="L2173" t="s">
        <v>36</v>
      </c>
      <c r="M2173" t="s">
        <v>632</v>
      </c>
      <c r="N2173" t="s">
        <v>53</v>
      </c>
      <c r="O2173">
        <v>19</v>
      </c>
      <c r="R2173" s="11">
        <v>0</v>
      </c>
      <c r="S2173" t="s">
        <v>37</v>
      </c>
      <c r="T2173" t="str">
        <f>IF(Tabela1[[#This Row],[STATUS_NEGOCIO]]="Enviar E-mail",1,"")</f>
        <v/>
      </c>
      <c r="U2173" t="str">
        <f>TEXT(Tabela1[[#This Row],[DATA]],"dd/mm/aaaa")</f>
        <v>24/04/2026</v>
      </c>
    </row>
    <row r="2174" spans="1:21" x14ac:dyDescent="0.25">
      <c r="A2174" s="9">
        <v>46136.521527777775</v>
      </c>
      <c r="B2174" t="s">
        <v>19</v>
      </c>
      <c r="C2174" t="s">
        <v>37</v>
      </c>
      <c r="D2174">
        <v>34</v>
      </c>
      <c r="E2174">
        <v>2199015000156</v>
      </c>
      <c r="F2174">
        <v>31</v>
      </c>
      <c r="G2174" s="10">
        <v>177704432925141</v>
      </c>
      <c r="H2174" t="s">
        <v>634</v>
      </c>
      <c r="I2174">
        <v>3003</v>
      </c>
      <c r="J2174" t="s">
        <v>22</v>
      </c>
      <c r="K2174" t="s">
        <v>23</v>
      </c>
      <c r="L2174" t="s">
        <v>31</v>
      </c>
      <c r="M2174" t="s">
        <v>632</v>
      </c>
      <c r="N2174" t="s">
        <v>26</v>
      </c>
      <c r="O2174">
        <v>131</v>
      </c>
      <c r="R2174" s="11">
        <v>3.5995370370370369E-3</v>
      </c>
      <c r="S2174" t="s">
        <v>37</v>
      </c>
      <c r="T2174" t="str">
        <f>IF(Tabela1[[#This Row],[STATUS_NEGOCIO]]="Enviar E-mail",1,"")</f>
        <v/>
      </c>
      <c r="U2174" t="str">
        <f>TEXT(Tabela1[[#This Row],[DATA]],"dd/mm/aaaa")</f>
        <v>24/04/2026</v>
      </c>
    </row>
    <row r="2175" spans="1:21" x14ac:dyDescent="0.25">
      <c r="A2175" s="9">
        <v>46136.521724537037</v>
      </c>
      <c r="B2175" t="s">
        <v>19</v>
      </c>
      <c r="C2175" t="s">
        <v>37</v>
      </c>
      <c r="D2175">
        <v>41</v>
      </c>
      <c r="E2175">
        <v>2605792000153</v>
      </c>
      <c r="F2175">
        <v>37</v>
      </c>
      <c r="G2175" s="10">
        <v>177704467726461</v>
      </c>
      <c r="H2175" t="s">
        <v>183</v>
      </c>
      <c r="I2175">
        <v>3003</v>
      </c>
      <c r="J2175" t="s">
        <v>22</v>
      </c>
      <c r="K2175" t="s">
        <v>23</v>
      </c>
      <c r="L2175" t="s">
        <v>31</v>
      </c>
      <c r="M2175" t="s">
        <v>632</v>
      </c>
      <c r="N2175" t="s">
        <v>53</v>
      </c>
      <c r="O2175">
        <v>128</v>
      </c>
      <c r="R2175" s="11">
        <v>8.1018518518518516E-5</v>
      </c>
      <c r="S2175" t="s">
        <v>37</v>
      </c>
      <c r="T2175" t="str">
        <f>IF(Tabela1[[#This Row],[STATUS_NEGOCIO]]="Enviar E-mail",1,"")</f>
        <v/>
      </c>
      <c r="U2175" t="str">
        <f>TEXT(Tabela1[[#This Row],[DATA]],"dd/mm/aaaa")</f>
        <v>24/04/2026</v>
      </c>
    </row>
    <row r="2176" spans="1:21" x14ac:dyDescent="0.25">
      <c r="A2176" s="9">
        <v>46136.521724537037</v>
      </c>
      <c r="B2176" t="s">
        <v>19</v>
      </c>
      <c r="C2176" t="s">
        <v>37</v>
      </c>
      <c r="D2176">
        <v>42</v>
      </c>
      <c r="E2176">
        <v>2746258000167</v>
      </c>
      <c r="F2176">
        <v>38</v>
      </c>
      <c r="G2176" s="10">
        <v>177704467726471</v>
      </c>
      <c r="H2176" t="s">
        <v>138</v>
      </c>
      <c r="I2176">
        <v>3003</v>
      </c>
      <c r="J2176" t="s">
        <v>22</v>
      </c>
      <c r="K2176" t="s">
        <v>23</v>
      </c>
      <c r="L2176" t="s">
        <v>31</v>
      </c>
      <c r="M2176" t="s">
        <v>632</v>
      </c>
      <c r="N2176" t="s">
        <v>53</v>
      </c>
      <c r="O2176">
        <v>128</v>
      </c>
      <c r="R2176" s="11">
        <v>8.1018518518518516E-5</v>
      </c>
      <c r="S2176" t="s">
        <v>37</v>
      </c>
      <c r="T2176" t="str">
        <f>IF(Tabela1[[#This Row],[STATUS_NEGOCIO]]="Enviar E-mail",1,"")</f>
        <v/>
      </c>
      <c r="U2176" t="str">
        <f>TEXT(Tabela1[[#This Row],[DATA]],"dd/mm/aaaa")</f>
        <v>24/04/2026</v>
      </c>
    </row>
    <row r="2177" spans="1:21" x14ac:dyDescent="0.25">
      <c r="A2177" s="9">
        <v>46136.521724537037</v>
      </c>
      <c r="B2177" t="s">
        <v>19</v>
      </c>
      <c r="C2177" t="s">
        <v>37</v>
      </c>
      <c r="D2177">
        <v>43</v>
      </c>
      <c r="E2177">
        <v>2755969000106</v>
      </c>
      <c r="F2177">
        <v>39</v>
      </c>
      <c r="G2177" s="10">
        <v>177704467726481</v>
      </c>
      <c r="H2177" t="s">
        <v>207</v>
      </c>
      <c r="I2177">
        <v>3003</v>
      </c>
      <c r="J2177" t="s">
        <v>22</v>
      </c>
      <c r="K2177" t="s">
        <v>23</v>
      </c>
      <c r="L2177" t="s">
        <v>31</v>
      </c>
      <c r="M2177" t="s">
        <v>632</v>
      </c>
      <c r="N2177" t="s">
        <v>53</v>
      </c>
      <c r="O2177">
        <v>128</v>
      </c>
      <c r="R2177" s="11">
        <v>8.1018518518518516E-5</v>
      </c>
      <c r="S2177" t="s">
        <v>37</v>
      </c>
      <c r="T2177" t="str">
        <f>IF(Tabela1[[#This Row],[STATUS_NEGOCIO]]="Enviar E-mail",1,"")</f>
        <v/>
      </c>
      <c r="U2177" t="str">
        <f>TEXT(Tabela1[[#This Row],[DATA]],"dd/mm/aaaa")</f>
        <v>24/04/2026</v>
      </c>
    </row>
    <row r="2178" spans="1:21" x14ac:dyDescent="0.25">
      <c r="A2178" s="9">
        <v>46136.521724537037</v>
      </c>
      <c r="B2178" t="s">
        <v>19</v>
      </c>
      <c r="C2178" t="s">
        <v>37</v>
      </c>
      <c r="D2178">
        <v>44</v>
      </c>
      <c r="E2178">
        <v>2823246000199</v>
      </c>
      <c r="F2178">
        <v>40</v>
      </c>
      <c r="G2178" s="10">
        <v>177704467726491</v>
      </c>
      <c r="H2178" t="s">
        <v>301</v>
      </c>
      <c r="I2178">
        <v>3003</v>
      </c>
      <c r="J2178" t="s">
        <v>22</v>
      </c>
      <c r="K2178" t="s">
        <v>23</v>
      </c>
      <c r="L2178" t="s">
        <v>31</v>
      </c>
      <c r="M2178" t="s">
        <v>632</v>
      </c>
      <c r="N2178" t="s">
        <v>53</v>
      </c>
      <c r="O2178">
        <v>128</v>
      </c>
      <c r="R2178" s="11">
        <v>8.1018518518518516E-5</v>
      </c>
      <c r="S2178" t="s">
        <v>37</v>
      </c>
      <c r="T2178" t="str">
        <f>IF(Tabela1[[#This Row],[STATUS_NEGOCIO]]="Enviar E-mail",1,"")</f>
        <v/>
      </c>
      <c r="U2178" t="str">
        <f>TEXT(Tabela1[[#This Row],[DATA]],"dd/mm/aaaa")</f>
        <v>24/04/2026</v>
      </c>
    </row>
    <row r="2179" spans="1:21" x14ac:dyDescent="0.25">
      <c r="A2179" s="9">
        <v>46136.521863425929</v>
      </c>
      <c r="B2179" t="s">
        <v>19</v>
      </c>
      <c r="C2179" t="s">
        <v>37</v>
      </c>
      <c r="D2179">
        <v>45</v>
      </c>
      <c r="E2179">
        <v>2918682000141</v>
      </c>
      <c r="F2179">
        <v>41</v>
      </c>
      <c r="G2179" s="10">
        <v>177704468926551</v>
      </c>
      <c r="H2179" t="s">
        <v>277</v>
      </c>
      <c r="I2179">
        <v>3003</v>
      </c>
      <c r="J2179" t="s">
        <v>22</v>
      </c>
      <c r="K2179" t="s">
        <v>23</v>
      </c>
      <c r="L2179" t="s">
        <v>31</v>
      </c>
      <c r="M2179" t="s">
        <v>632</v>
      </c>
      <c r="N2179" t="s">
        <v>53</v>
      </c>
      <c r="O2179">
        <v>128</v>
      </c>
      <c r="R2179" s="11">
        <v>8.1018518518518516E-5</v>
      </c>
      <c r="S2179" t="s">
        <v>37</v>
      </c>
      <c r="T2179" t="str">
        <f>IF(Tabela1[[#This Row],[STATUS_NEGOCIO]]="Enviar E-mail",1,"")</f>
        <v/>
      </c>
      <c r="U2179" t="str">
        <f>TEXT(Tabela1[[#This Row],[DATA]],"dd/mm/aaaa")</f>
        <v>24/04/2026</v>
      </c>
    </row>
    <row r="2180" spans="1:21" x14ac:dyDescent="0.25">
      <c r="A2180" s="9">
        <v>46136.521967592591</v>
      </c>
      <c r="B2180" t="s">
        <v>19</v>
      </c>
      <c r="C2180" t="s">
        <v>37</v>
      </c>
      <c r="D2180">
        <v>46</v>
      </c>
      <c r="E2180">
        <v>2961614000165</v>
      </c>
      <c r="F2180">
        <v>42</v>
      </c>
      <c r="G2180" s="10">
        <v>177704469826571</v>
      </c>
      <c r="H2180" t="s">
        <v>192</v>
      </c>
      <c r="I2180" t="s">
        <v>52</v>
      </c>
      <c r="J2180" t="s">
        <v>22</v>
      </c>
      <c r="K2180" t="s">
        <v>36</v>
      </c>
      <c r="L2180" t="s">
        <v>36</v>
      </c>
      <c r="M2180" t="s">
        <v>632</v>
      </c>
      <c r="N2180" t="s">
        <v>53</v>
      </c>
      <c r="O2180">
        <v>19</v>
      </c>
      <c r="R2180" s="11">
        <v>0</v>
      </c>
      <c r="S2180" t="s">
        <v>37</v>
      </c>
      <c r="T2180" t="str">
        <f>IF(Tabela1[[#This Row],[STATUS_NEGOCIO]]="Enviar E-mail",1,"")</f>
        <v/>
      </c>
      <c r="U2180" t="str">
        <f>TEXT(Tabela1[[#This Row],[DATA]],"dd/mm/aaaa")</f>
        <v>24/04/2026</v>
      </c>
    </row>
    <row r="2181" spans="1:21" x14ac:dyDescent="0.25">
      <c r="A2181" s="9">
        <v>46136.522002314814</v>
      </c>
      <c r="B2181" t="s">
        <v>19</v>
      </c>
      <c r="C2181" t="s">
        <v>37</v>
      </c>
      <c r="D2181">
        <v>47</v>
      </c>
      <c r="E2181">
        <v>3063053000140</v>
      </c>
      <c r="F2181">
        <v>43</v>
      </c>
      <c r="G2181" s="10">
        <v>177704470126591</v>
      </c>
      <c r="H2181" t="s">
        <v>302</v>
      </c>
      <c r="I2181">
        <v>3003</v>
      </c>
      <c r="J2181" t="s">
        <v>22</v>
      </c>
      <c r="K2181" t="s">
        <v>23</v>
      </c>
      <c r="L2181" t="s">
        <v>31</v>
      </c>
      <c r="M2181" t="s">
        <v>632</v>
      </c>
      <c r="N2181" t="s">
        <v>53</v>
      </c>
      <c r="O2181">
        <v>128</v>
      </c>
      <c r="R2181" s="11">
        <v>8.1018518518518516E-5</v>
      </c>
      <c r="S2181" t="s">
        <v>37</v>
      </c>
      <c r="T2181" t="str">
        <f>IF(Tabela1[[#This Row],[STATUS_NEGOCIO]]="Enviar E-mail",1,"")</f>
        <v/>
      </c>
      <c r="U2181" t="str">
        <f>TEXT(Tabela1[[#This Row],[DATA]],"dd/mm/aaaa")</f>
        <v>24/04/2026</v>
      </c>
    </row>
    <row r="2182" spans="1:21" x14ac:dyDescent="0.25">
      <c r="A2182" s="9">
        <v>46136.52202546296</v>
      </c>
      <c r="B2182" t="s">
        <v>19</v>
      </c>
      <c r="C2182" t="s">
        <v>37</v>
      </c>
      <c r="D2182">
        <v>48</v>
      </c>
      <c r="E2182">
        <v>3081396000137</v>
      </c>
      <c r="F2182">
        <v>44</v>
      </c>
      <c r="G2182" s="10">
        <v>177704470326611</v>
      </c>
      <c r="H2182" t="s">
        <v>635</v>
      </c>
      <c r="I2182">
        <v>3003</v>
      </c>
      <c r="J2182" t="s">
        <v>22</v>
      </c>
      <c r="K2182" t="s">
        <v>23</v>
      </c>
      <c r="L2182" t="s">
        <v>31</v>
      </c>
      <c r="M2182" t="s">
        <v>632</v>
      </c>
      <c r="N2182" t="s">
        <v>53</v>
      </c>
      <c r="O2182">
        <v>128</v>
      </c>
      <c r="R2182" s="11">
        <v>8.1018518518518516E-5</v>
      </c>
      <c r="S2182" t="s">
        <v>37</v>
      </c>
      <c r="T2182" t="str">
        <f>IF(Tabela1[[#This Row],[STATUS_NEGOCIO]]="Enviar E-mail",1,"")</f>
        <v/>
      </c>
      <c r="U2182" t="str">
        <f>TEXT(Tabela1[[#This Row],[DATA]],"dd/mm/aaaa")</f>
        <v>24/04/2026</v>
      </c>
    </row>
    <row r="2183" spans="1:21" x14ac:dyDescent="0.25">
      <c r="A2183" s="9">
        <v>46136.522129629629</v>
      </c>
      <c r="B2183" t="s">
        <v>19</v>
      </c>
      <c r="C2183" t="s">
        <v>37</v>
      </c>
      <c r="D2183">
        <v>49</v>
      </c>
      <c r="E2183">
        <v>3130917000107</v>
      </c>
      <c r="F2183">
        <v>45</v>
      </c>
      <c r="G2183" s="10">
        <v>177704471226631</v>
      </c>
      <c r="H2183" t="s">
        <v>303</v>
      </c>
      <c r="I2183">
        <v>3003</v>
      </c>
      <c r="J2183" t="s">
        <v>22</v>
      </c>
      <c r="K2183" t="s">
        <v>23</v>
      </c>
      <c r="L2183" t="s">
        <v>31</v>
      </c>
      <c r="M2183" t="s">
        <v>632</v>
      </c>
      <c r="N2183" t="s">
        <v>53</v>
      </c>
      <c r="O2183">
        <v>128</v>
      </c>
      <c r="R2183" s="11">
        <v>8.1018518518518516E-5</v>
      </c>
      <c r="S2183" t="s">
        <v>37</v>
      </c>
      <c r="T2183" t="str">
        <f>IF(Tabela1[[#This Row],[STATUS_NEGOCIO]]="Enviar E-mail",1,"")</f>
        <v/>
      </c>
      <c r="U2183" t="str">
        <f>TEXT(Tabela1[[#This Row],[DATA]],"dd/mm/aaaa")</f>
        <v>24/04/2026</v>
      </c>
    </row>
    <row r="2184" spans="1:21" x14ac:dyDescent="0.25">
      <c r="A2184" s="9">
        <v>46136.522210648145</v>
      </c>
      <c r="B2184" t="s">
        <v>19</v>
      </c>
      <c r="C2184" t="s">
        <v>37</v>
      </c>
      <c r="D2184">
        <v>50</v>
      </c>
      <c r="E2184">
        <v>3135802000105</v>
      </c>
      <c r="F2184">
        <v>46</v>
      </c>
      <c r="G2184" s="10">
        <v>177704471926651</v>
      </c>
      <c r="H2184" t="s">
        <v>304</v>
      </c>
      <c r="I2184">
        <v>3003</v>
      </c>
      <c r="J2184" t="s">
        <v>22</v>
      </c>
      <c r="K2184" t="s">
        <v>23</v>
      </c>
      <c r="L2184" t="s">
        <v>31</v>
      </c>
      <c r="M2184" t="s">
        <v>632</v>
      </c>
      <c r="N2184" t="s">
        <v>53</v>
      </c>
      <c r="O2184">
        <v>128</v>
      </c>
      <c r="R2184" s="11">
        <v>8.1018518518518516E-5</v>
      </c>
      <c r="S2184" t="s">
        <v>37</v>
      </c>
      <c r="T2184" t="str">
        <f>IF(Tabela1[[#This Row],[STATUS_NEGOCIO]]="Enviar E-mail",1,"")</f>
        <v/>
      </c>
      <c r="U2184" t="str">
        <f>TEXT(Tabela1[[#This Row],[DATA]],"dd/mm/aaaa")</f>
        <v>24/04/2026</v>
      </c>
    </row>
    <row r="2185" spans="1:21" x14ac:dyDescent="0.25">
      <c r="A2185" s="9">
        <v>46136.52239583333</v>
      </c>
      <c r="B2185" t="s">
        <v>19</v>
      </c>
      <c r="C2185" t="s">
        <v>37</v>
      </c>
      <c r="D2185">
        <v>51</v>
      </c>
      <c r="E2185">
        <v>3276131000194</v>
      </c>
      <c r="F2185">
        <v>47</v>
      </c>
      <c r="G2185" s="10">
        <v>177704473526671</v>
      </c>
      <c r="H2185" t="s">
        <v>210</v>
      </c>
      <c r="I2185">
        <v>3003</v>
      </c>
      <c r="J2185" t="s">
        <v>22</v>
      </c>
      <c r="K2185" t="s">
        <v>23</v>
      </c>
      <c r="L2185" t="s">
        <v>31</v>
      </c>
      <c r="M2185" t="s">
        <v>632</v>
      </c>
      <c r="N2185" t="s">
        <v>53</v>
      </c>
      <c r="O2185">
        <v>128</v>
      </c>
      <c r="R2185" s="11">
        <v>8.1018518518518516E-5</v>
      </c>
      <c r="S2185" t="s">
        <v>37</v>
      </c>
      <c r="T2185" t="str">
        <f>IF(Tabela1[[#This Row],[STATUS_NEGOCIO]]="Enviar E-mail",1,"")</f>
        <v/>
      </c>
      <c r="U2185" t="str">
        <f>TEXT(Tabela1[[#This Row],[DATA]],"dd/mm/aaaa")</f>
        <v>24/04/2026</v>
      </c>
    </row>
    <row r="2186" spans="1:21" x14ac:dyDescent="0.25">
      <c r="A2186" s="9">
        <v>46136.522523148145</v>
      </c>
      <c r="B2186" t="s">
        <v>19</v>
      </c>
      <c r="C2186" t="s">
        <v>37</v>
      </c>
      <c r="D2186">
        <v>52</v>
      </c>
      <c r="E2186">
        <v>3311811000100</v>
      </c>
      <c r="F2186">
        <v>48</v>
      </c>
      <c r="G2186" s="10">
        <v>177704474626741</v>
      </c>
      <c r="H2186" t="s">
        <v>305</v>
      </c>
      <c r="I2186">
        <v>3003</v>
      </c>
      <c r="J2186" t="s">
        <v>22</v>
      </c>
      <c r="K2186" t="s">
        <v>23</v>
      </c>
      <c r="L2186" t="s">
        <v>31</v>
      </c>
      <c r="M2186" t="s">
        <v>632</v>
      </c>
      <c r="N2186" t="s">
        <v>53</v>
      </c>
      <c r="O2186">
        <v>147</v>
      </c>
      <c r="R2186" s="11">
        <v>8.1018518518518516E-5</v>
      </c>
      <c r="S2186" t="s">
        <v>37</v>
      </c>
      <c r="T2186" t="str">
        <f>IF(Tabela1[[#This Row],[STATUS_NEGOCIO]]="Enviar E-mail",1,"")</f>
        <v/>
      </c>
      <c r="U2186" t="str">
        <f>TEXT(Tabela1[[#This Row],[DATA]],"dd/mm/aaaa")</f>
        <v>24/04/2026</v>
      </c>
    </row>
    <row r="2187" spans="1:21" x14ac:dyDescent="0.25">
      <c r="A2187" s="9">
        <v>46136.522523148145</v>
      </c>
      <c r="B2187" t="s">
        <v>19</v>
      </c>
      <c r="C2187" t="s">
        <v>37</v>
      </c>
      <c r="D2187">
        <v>53</v>
      </c>
      <c r="E2187">
        <v>3463826000185</v>
      </c>
      <c r="F2187">
        <v>49</v>
      </c>
      <c r="G2187" s="10">
        <v>177704474626761</v>
      </c>
      <c r="H2187" t="s">
        <v>306</v>
      </c>
      <c r="I2187">
        <v>3003</v>
      </c>
      <c r="J2187" t="s">
        <v>22</v>
      </c>
      <c r="K2187" t="s">
        <v>23</v>
      </c>
      <c r="L2187" t="s">
        <v>31</v>
      </c>
      <c r="M2187" t="s">
        <v>632</v>
      </c>
      <c r="N2187" t="s">
        <v>53</v>
      </c>
      <c r="O2187">
        <v>128</v>
      </c>
      <c r="R2187" s="11">
        <v>8.1018518518518516E-5</v>
      </c>
      <c r="S2187" t="s">
        <v>37</v>
      </c>
      <c r="T2187" t="str">
        <f>IF(Tabela1[[#This Row],[STATUS_NEGOCIO]]="Enviar E-mail",1,"")</f>
        <v/>
      </c>
      <c r="U2187" t="str">
        <f>TEXT(Tabela1[[#This Row],[DATA]],"dd/mm/aaaa")</f>
        <v>24/04/2026</v>
      </c>
    </row>
    <row r="2188" spans="1:21" x14ac:dyDescent="0.25">
      <c r="A2188" s="9">
        <v>46136.522581018522</v>
      </c>
      <c r="B2188" t="s">
        <v>19</v>
      </c>
      <c r="C2188" t="s">
        <v>20</v>
      </c>
      <c r="D2188">
        <v>54</v>
      </c>
      <c r="E2188">
        <v>3478949000190</v>
      </c>
      <c r="F2188">
        <v>50</v>
      </c>
      <c r="G2188" s="10">
        <v>177704475126781</v>
      </c>
      <c r="H2188" t="s">
        <v>307</v>
      </c>
      <c r="I2188">
        <v>3003</v>
      </c>
      <c r="J2188" t="s">
        <v>22</v>
      </c>
      <c r="K2188" t="s">
        <v>23</v>
      </c>
      <c r="L2188" t="s">
        <v>24</v>
      </c>
      <c r="M2188" t="s">
        <v>632</v>
      </c>
      <c r="N2188" t="s">
        <v>32</v>
      </c>
      <c r="O2188">
        <v>16</v>
      </c>
      <c r="R2188" s="11">
        <v>4.6296296296296298E-4</v>
      </c>
      <c r="S2188" s="11">
        <v>3.9351851851851852E-4</v>
      </c>
      <c r="T2188" t="str">
        <f>IF(Tabela1[[#This Row],[STATUS_NEGOCIO]]="Enviar E-mail",1,"")</f>
        <v/>
      </c>
      <c r="U2188" t="str">
        <f>TEXT(Tabela1[[#This Row],[DATA]],"dd/mm/aaaa")</f>
        <v>24/04/2026</v>
      </c>
    </row>
    <row r="2189" spans="1:21" x14ac:dyDescent="0.25">
      <c r="A2189" s="9">
        <v>46136.522604166668</v>
      </c>
      <c r="B2189" t="s">
        <v>19</v>
      </c>
      <c r="C2189" t="s">
        <v>37</v>
      </c>
      <c r="D2189">
        <v>55</v>
      </c>
      <c r="E2189">
        <v>3488597000153</v>
      </c>
      <c r="F2189">
        <v>51</v>
      </c>
      <c r="G2189" s="10">
        <v>177704475326801</v>
      </c>
      <c r="H2189" t="s">
        <v>308</v>
      </c>
      <c r="I2189">
        <v>3003</v>
      </c>
      <c r="J2189" t="s">
        <v>22</v>
      </c>
      <c r="K2189" t="s">
        <v>23</v>
      </c>
      <c r="L2189" t="s">
        <v>31</v>
      </c>
      <c r="M2189" t="s">
        <v>632</v>
      </c>
      <c r="N2189" t="s">
        <v>53</v>
      </c>
      <c r="O2189">
        <v>128</v>
      </c>
      <c r="R2189" s="11">
        <v>8.1018518518518516E-5</v>
      </c>
      <c r="S2189" t="s">
        <v>37</v>
      </c>
      <c r="T2189" t="str">
        <f>IF(Tabela1[[#This Row],[STATUS_NEGOCIO]]="Enviar E-mail",1,"")</f>
        <v/>
      </c>
      <c r="U2189" t="str">
        <f>TEXT(Tabela1[[#This Row],[DATA]],"dd/mm/aaaa")</f>
        <v>24/04/2026</v>
      </c>
    </row>
    <row r="2190" spans="1:21" x14ac:dyDescent="0.25">
      <c r="A2190" s="9">
        <v>46136.522685185184</v>
      </c>
      <c r="B2190" t="s">
        <v>19</v>
      </c>
      <c r="C2190" t="s">
        <v>20</v>
      </c>
      <c r="D2190">
        <v>58</v>
      </c>
      <c r="E2190">
        <v>3850983000143</v>
      </c>
      <c r="F2190">
        <v>52</v>
      </c>
      <c r="G2190" s="10">
        <v>177704476026831</v>
      </c>
      <c r="H2190" t="s">
        <v>311</v>
      </c>
      <c r="I2190">
        <v>3003</v>
      </c>
      <c r="J2190" t="s">
        <v>22</v>
      </c>
      <c r="K2190" t="s">
        <v>23</v>
      </c>
      <c r="L2190" t="s">
        <v>40</v>
      </c>
      <c r="M2190" t="s">
        <v>632</v>
      </c>
      <c r="N2190" t="s">
        <v>26</v>
      </c>
      <c r="O2190">
        <v>16</v>
      </c>
      <c r="R2190" s="11">
        <v>2.1296296296296298E-3</v>
      </c>
      <c r="S2190" s="11">
        <v>1.7476851851851852E-3</v>
      </c>
      <c r="T2190">
        <f>IF(Tabela1[[#This Row],[STATUS_NEGOCIO]]="Enviar E-mail",1,"")</f>
        <v>1</v>
      </c>
      <c r="U2190" t="str">
        <f>TEXT(Tabela1[[#This Row],[DATA]],"dd/mm/aaaa")</f>
        <v>24/04/2026</v>
      </c>
    </row>
    <row r="2191" spans="1:21" x14ac:dyDescent="0.25">
      <c r="A2191" s="9">
        <v>46136.523020833331</v>
      </c>
      <c r="B2191" t="s">
        <v>19</v>
      </c>
      <c r="C2191" t="s">
        <v>37</v>
      </c>
      <c r="D2191">
        <v>59</v>
      </c>
      <c r="E2191">
        <v>3904574000182</v>
      </c>
      <c r="F2191">
        <v>53</v>
      </c>
      <c r="G2191" s="10">
        <v>177704478926861</v>
      </c>
      <c r="H2191" t="s">
        <v>312</v>
      </c>
      <c r="I2191">
        <v>3003</v>
      </c>
      <c r="J2191" t="s">
        <v>22</v>
      </c>
      <c r="K2191" t="s">
        <v>23</v>
      </c>
      <c r="L2191" t="s">
        <v>31</v>
      </c>
      <c r="M2191" t="s">
        <v>632</v>
      </c>
      <c r="N2191" t="s">
        <v>53</v>
      </c>
      <c r="O2191">
        <v>128</v>
      </c>
      <c r="R2191" s="11">
        <v>6.9444444444444444E-5</v>
      </c>
      <c r="S2191" t="s">
        <v>37</v>
      </c>
      <c r="T2191" t="str">
        <f>IF(Tabela1[[#This Row],[STATUS_NEGOCIO]]="Enviar E-mail",1,"")</f>
        <v/>
      </c>
      <c r="U2191" t="str">
        <f>TEXT(Tabela1[[#This Row],[DATA]],"dd/mm/aaaa")</f>
        <v>24/04/2026</v>
      </c>
    </row>
    <row r="2192" spans="1:21" x14ac:dyDescent="0.25">
      <c r="A2192" s="9">
        <v>46136.523125</v>
      </c>
      <c r="B2192" t="s">
        <v>19</v>
      </c>
      <c r="C2192" t="s">
        <v>37</v>
      </c>
      <c r="D2192">
        <v>60</v>
      </c>
      <c r="E2192">
        <v>3954733000153</v>
      </c>
      <c r="F2192">
        <v>54</v>
      </c>
      <c r="G2192" s="10">
        <v>177704479826881</v>
      </c>
      <c r="H2192" t="s">
        <v>313</v>
      </c>
      <c r="I2192">
        <v>3003</v>
      </c>
      <c r="J2192" t="s">
        <v>22</v>
      </c>
      <c r="K2192" t="s">
        <v>23</v>
      </c>
      <c r="L2192" t="s">
        <v>31</v>
      </c>
      <c r="M2192" t="s">
        <v>632</v>
      </c>
      <c r="N2192" t="s">
        <v>53</v>
      </c>
      <c r="O2192">
        <v>128</v>
      </c>
      <c r="R2192" s="11">
        <v>8.1018518518518516E-5</v>
      </c>
      <c r="S2192" t="s">
        <v>37</v>
      </c>
      <c r="T2192" t="str">
        <f>IF(Tabela1[[#This Row],[STATUS_NEGOCIO]]="Enviar E-mail",1,"")</f>
        <v/>
      </c>
      <c r="U2192" t="str">
        <f>TEXT(Tabela1[[#This Row],[DATA]],"dd/mm/aaaa")</f>
        <v>24/04/2026</v>
      </c>
    </row>
    <row r="2193" spans="1:21" x14ac:dyDescent="0.25">
      <c r="A2193" s="9">
        <v>46136.523159722223</v>
      </c>
      <c r="B2193" t="s">
        <v>19</v>
      </c>
      <c r="C2193" t="s">
        <v>37</v>
      </c>
      <c r="D2193">
        <v>61</v>
      </c>
      <c r="E2193">
        <v>3995747000115</v>
      </c>
      <c r="F2193">
        <v>55</v>
      </c>
      <c r="G2193" s="10">
        <v>177704480126901</v>
      </c>
      <c r="H2193" t="s">
        <v>314</v>
      </c>
      <c r="I2193">
        <v>3003</v>
      </c>
      <c r="J2193" t="s">
        <v>22</v>
      </c>
      <c r="K2193" t="s">
        <v>23</v>
      </c>
      <c r="L2193" t="s">
        <v>31</v>
      </c>
      <c r="M2193" t="s">
        <v>632</v>
      </c>
      <c r="N2193" t="s">
        <v>26</v>
      </c>
      <c r="O2193">
        <v>131</v>
      </c>
      <c r="R2193" s="11">
        <v>3.0092592592592595E-4</v>
      </c>
      <c r="S2193" t="s">
        <v>37</v>
      </c>
      <c r="T2193" t="str">
        <f>IF(Tabela1[[#This Row],[STATUS_NEGOCIO]]="Enviar E-mail",1,"")</f>
        <v/>
      </c>
      <c r="U2193" t="str">
        <f>TEXT(Tabela1[[#This Row],[DATA]],"dd/mm/aaaa")</f>
        <v>24/04/2026</v>
      </c>
    </row>
    <row r="2194" spans="1:21" x14ac:dyDescent="0.25">
      <c r="A2194" s="9">
        <v>46136.523217592592</v>
      </c>
      <c r="B2194" t="s">
        <v>19</v>
      </c>
      <c r="C2194" t="s">
        <v>37</v>
      </c>
      <c r="D2194">
        <v>62</v>
      </c>
      <c r="E2194">
        <v>4028062000162</v>
      </c>
      <c r="F2194">
        <v>56</v>
      </c>
      <c r="G2194" s="10">
        <v>177704480626931</v>
      </c>
      <c r="H2194" t="s">
        <v>315</v>
      </c>
      <c r="I2194">
        <v>3003</v>
      </c>
      <c r="J2194" t="s">
        <v>22</v>
      </c>
      <c r="K2194" t="s">
        <v>23</v>
      </c>
      <c r="L2194" t="s">
        <v>31</v>
      </c>
      <c r="M2194" t="s">
        <v>632</v>
      </c>
      <c r="N2194" t="s">
        <v>53</v>
      </c>
      <c r="O2194">
        <v>128</v>
      </c>
      <c r="R2194" s="11">
        <v>8.1018518518518516E-5</v>
      </c>
      <c r="S2194" t="s">
        <v>37</v>
      </c>
      <c r="T2194" t="str">
        <f>IF(Tabela1[[#This Row],[STATUS_NEGOCIO]]="Enviar E-mail",1,"")</f>
        <v/>
      </c>
      <c r="U2194" t="str">
        <f>TEXT(Tabela1[[#This Row],[DATA]],"dd/mm/aaaa")</f>
        <v>24/04/2026</v>
      </c>
    </row>
    <row r="2195" spans="1:21" x14ac:dyDescent="0.25">
      <c r="A2195" s="9">
        <v>46136.523414351854</v>
      </c>
      <c r="B2195" t="s">
        <v>19</v>
      </c>
      <c r="C2195" t="s">
        <v>37</v>
      </c>
      <c r="D2195">
        <v>63</v>
      </c>
      <c r="E2195">
        <v>4044746000158</v>
      </c>
      <c r="F2195">
        <v>57</v>
      </c>
      <c r="G2195" s="10">
        <v>177704482326951</v>
      </c>
      <c r="H2195" t="s">
        <v>110</v>
      </c>
      <c r="I2195">
        <v>3003</v>
      </c>
      <c r="J2195" t="s">
        <v>22</v>
      </c>
      <c r="K2195" t="s">
        <v>23</v>
      </c>
      <c r="L2195" t="s">
        <v>31</v>
      </c>
      <c r="M2195" t="s">
        <v>632</v>
      </c>
      <c r="N2195" t="s">
        <v>53</v>
      </c>
      <c r="O2195">
        <v>128</v>
      </c>
      <c r="R2195" s="11">
        <v>6.9444444444444444E-5</v>
      </c>
      <c r="S2195" t="s">
        <v>37</v>
      </c>
      <c r="T2195" t="str">
        <f>IF(Tabela1[[#This Row],[STATUS_NEGOCIO]]="Enviar E-mail",1,"")</f>
        <v/>
      </c>
      <c r="U2195" t="str">
        <f>TEXT(Tabela1[[#This Row],[DATA]],"dd/mm/aaaa")</f>
        <v>24/04/2026</v>
      </c>
    </row>
    <row r="2196" spans="1:21" x14ac:dyDescent="0.25">
      <c r="A2196" s="9">
        <v>46136.523530092592</v>
      </c>
      <c r="B2196" t="s">
        <v>19</v>
      </c>
      <c r="C2196" t="s">
        <v>37</v>
      </c>
      <c r="D2196">
        <v>64</v>
      </c>
      <c r="E2196">
        <v>4048649000133</v>
      </c>
      <c r="F2196">
        <v>58</v>
      </c>
      <c r="G2196" s="10">
        <v>177704483326971</v>
      </c>
      <c r="H2196" t="s">
        <v>137</v>
      </c>
      <c r="I2196">
        <v>3003</v>
      </c>
      <c r="J2196" t="s">
        <v>22</v>
      </c>
      <c r="K2196" t="s">
        <v>23</v>
      </c>
      <c r="L2196" t="s">
        <v>31</v>
      </c>
      <c r="M2196" t="s">
        <v>632</v>
      </c>
      <c r="N2196" t="s">
        <v>53</v>
      </c>
      <c r="O2196">
        <v>128</v>
      </c>
      <c r="R2196" s="11">
        <v>8.1018518518518516E-5</v>
      </c>
      <c r="S2196" t="s">
        <v>37</v>
      </c>
      <c r="T2196" t="str">
        <f>IF(Tabela1[[#This Row],[STATUS_NEGOCIO]]="Enviar E-mail",1,"")</f>
        <v/>
      </c>
      <c r="U2196" t="str">
        <f>TEXT(Tabela1[[#This Row],[DATA]],"dd/mm/aaaa")</f>
        <v>24/04/2026</v>
      </c>
    </row>
    <row r="2197" spans="1:21" x14ac:dyDescent="0.25">
      <c r="A2197" s="9">
        <v>46136.523553240739</v>
      </c>
      <c r="B2197" t="s">
        <v>19</v>
      </c>
      <c r="C2197" t="s">
        <v>37</v>
      </c>
      <c r="D2197">
        <v>66</v>
      </c>
      <c r="E2197">
        <v>4137354000133</v>
      </c>
      <c r="F2197">
        <v>59</v>
      </c>
      <c r="G2197" s="10">
        <v>177704483527001</v>
      </c>
      <c r="H2197" t="s">
        <v>136</v>
      </c>
      <c r="I2197">
        <v>3003</v>
      </c>
      <c r="J2197" t="s">
        <v>22</v>
      </c>
      <c r="K2197" t="s">
        <v>23</v>
      </c>
      <c r="L2197" t="s">
        <v>31</v>
      </c>
      <c r="M2197" t="s">
        <v>632</v>
      </c>
      <c r="N2197" t="s">
        <v>53</v>
      </c>
      <c r="O2197">
        <v>128</v>
      </c>
      <c r="R2197" s="11">
        <v>8.1018518518518516E-5</v>
      </c>
      <c r="S2197" t="s">
        <v>37</v>
      </c>
      <c r="T2197" t="str">
        <f>IF(Tabela1[[#This Row],[STATUS_NEGOCIO]]="Enviar E-mail",1,"")</f>
        <v/>
      </c>
      <c r="U2197" t="str">
        <f>TEXT(Tabela1[[#This Row],[DATA]],"dd/mm/aaaa")</f>
        <v>24/04/2026</v>
      </c>
    </row>
    <row r="2198" spans="1:21" x14ac:dyDescent="0.25">
      <c r="A2198" s="9">
        <v>46136.523553240739</v>
      </c>
      <c r="B2198" t="s">
        <v>19</v>
      </c>
      <c r="C2198" t="s">
        <v>37</v>
      </c>
      <c r="D2198">
        <v>67</v>
      </c>
      <c r="E2198">
        <v>4160599000181</v>
      </c>
      <c r="F2198">
        <v>60</v>
      </c>
      <c r="G2198" s="10">
        <v>177704483527011</v>
      </c>
      <c r="H2198" t="s">
        <v>238</v>
      </c>
      <c r="I2198">
        <v>3003</v>
      </c>
      <c r="J2198" t="s">
        <v>22</v>
      </c>
      <c r="K2198" t="s">
        <v>23</v>
      </c>
      <c r="L2198" t="s">
        <v>31</v>
      </c>
      <c r="M2198" t="s">
        <v>632</v>
      </c>
      <c r="N2198" t="s">
        <v>53</v>
      </c>
      <c r="O2198">
        <v>128</v>
      </c>
      <c r="R2198" s="11">
        <v>8.1018518518518516E-5</v>
      </c>
      <c r="S2198" t="s">
        <v>37</v>
      </c>
      <c r="T2198" t="str">
        <f>IF(Tabela1[[#This Row],[STATUS_NEGOCIO]]="Enviar E-mail",1,"")</f>
        <v/>
      </c>
      <c r="U2198" t="str">
        <f>TEXT(Tabela1[[#This Row],[DATA]],"dd/mm/aaaa")</f>
        <v>24/04/2026</v>
      </c>
    </row>
    <row r="2199" spans="1:21" x14ac:dyDescent="0.25">
      <c r="A2199" s="9">
        <v>46136.523668981485</v>
      </c>
      <c r="B2199" t="s">
        <v>19</v>
      </c>
      <c r="C2199" t="s">
        <v>37</v>
      </c>
      <c r="D2199">
        <v>68</v>
      </c>
      <c r="E2199">
        <v>4356149000169</v>
      </c>
      <c r="F2199">
        <v>61</v>
      </c>
      <c r="G2199" s="10">
        <v>177704484527031</v>
      </c>
      <c r="H2199" t="s">
        <v>317</v>
      </c>
      <c r="I2199">
        <v>3003</v>
      </c>
      <c r="J2199" t="s">
        <v>22</v>
      </c>
      <c r="K2199" t="s">
        <v>23</v>
      </c>
      <c r="L2199" t="s">
        <v>31</v>
      </c>
      <c r="M2199" t="s">
        <v>632</v>
      </c>
      <c r="N2199" t="s">
        <v>53</v>
      </c>
      <c r="O2199">
        <v>128</v>
      </c>
      <c r="R2199" s="11">
        <v>8.1018518518518516E-5</v>
      </c>
      <c r="S2199" t="s">
        <v>37</v>
      </c>
      <c r="T2199" t="str">
        <f>IF(Tabela1[[#This Row],[STATUS_NEGOCIO]]="Enviar E-mail",1,"")</f>
        <v/>
      </c>
      <c r="U2199" t="str">
        <f>TEXT(Tabela1[[#This Row],[DATA]],"dd/mm/aaaa")</f>
        <v>24/04/2026</v>
      </c>
    </row>
    <row r="2200" spans="1:21" x14ac:dyDescent="0.25">
      <c r="A2200" s="9">
        <v>46136.52375</v>
      </c>
      <c r="B2200" t="s">
        <v>19</v>
      </c>
      <c r="C2200" t="s">
        <v>37</v>
      </c>
      <c r="D2200">
        <v>69</v>
      </c>
      <c r="E2200">
        <v>4371864000170</v>
      </c>
      <c r="F2200">
        <v>62</v>
      </c>
      <c r="G2200" s="10">
        <v>177704485227051</v>
      </c>
      <c r="H2200" t="s">
        <v>318</v>
      </c>
      <c r="I2200">
        <v>3003</v>
      </c>
      <c r="J2200" t="s">
        <v>22</v>
      </c>
      <c r="K2200" t="s">
        <v>23</v>
      </c>
      <c r="L2200" t="s">
        <v>31</v>
      </c>
      <c r="M2200" t="s">
        <v>632</v>
      </c>
      <c r="N2200" t="s">
        <v>53</v>
      </c>
      <c r="O2200">
        <v>128</v>
      </c>
      <c r="R2200" s="11">
        <v>8.1018518518518516E-5</v>
      </c>
      <c r="S2200" t="s">
        <v>37</v>
      </c>
      <c r="T2200" t="str">
        <f>IF(Tabela1[[#This Row],[STATUS_NEGOCIO]]="Enviar E-mail",1,"")</f>
        <v/>
      </c>
      <c r="U2200" t="str">
        <f>TEXT(Tabela1[[#This Row],[DATA]],"dd/mm/aaaa")</f>
        <v>24/04/2026</v>
      </c>
    </row>
    <row r="2201" spans="1:21" x14ac:dyDescent="0.25">
      <c r="A2201" s="9">
        <v>46136.523900462962</v>
      </c>
      <c r="B2201" t="s">
        <v>19</v>
      </c>
      <c r="C2201" t="s">
        <v>37</v>
      </c>
      <c r="D2201">
        <v>71</v>
      </c>
      <c r="E2201">
        <v>4433625000106</v>
      </c>
      <c r="F2201">
        <v>63</v>
      </c>
      <c r="G2201" s="10">
        <v>177704486527071</v>
      </c>
      <c r="H2201" t="s">
        <v>320</v>
      </c>
      <c r="I2201">
        <v>3003</v>
      </c>
      <c r="J2201" t="s">
        <v>22</v>
      </c>
      <c r="K2201" t="s">
        <v>23</v>
      </c>
      <c r="L2201" t="s">
        <v>31</v>
      </c>
      <c r="M2201" t="s">
        <v>632</v>
      </c>
      <c r="N2201" t="s">
        <v>53</v>
      </c>
      <c r="O2201">
        <v>128</v>
      </c>
      <c r="R2201" s="11">
        <v>8.1018518518518516E-5</v>
      </c>
      <c r="S2201" t="s">
        <v>37</v>
      </c>
      <c r="T2201" t="str">
        <f>IF(Tabela1[[#This Row],[STATUS_NEGOCIO]]="Enviar E-mail",1,"")</f>
        <v/>
      </c>
      <c r="U2201" t="str">
        <f>TEXT(Tabela1[[#This Row],[DATA]],"dd/mm/aaaa")</f>
        <v>24/04/2026</v>
      </c>
    </row>
    <row r="2202" spans="1:21" x14ac:dyDescent="0.25">
      <c r="A2202" s="9">
        <v>46136.524027777778</v>
      </c>
      <c r="B2202" t="s">
        <v>19</v>
      </c>
      <c r="C2202" t="s">
        <v>37</v>
      </c>
      <c r="D2202">
        <v>72</v>
      </c>
      <c r="E2202">
        <v>4652839000165</v>
      </c>
      <c r="F2202">
        <v>64</v>
      </c>
      <c r="G2202" s="10">
        <v>177704487627091</v>
      </c>
      <c r="H2202" t="s">
        <v>208</v>
      </c>
      <c r="I2202">
        <v>3003</v>
      </c>
      <c r="J2202" t="s">
        <v>22</v>
      </c>
      <c r="K2202" t="s">
        <v>23</v>
      </c>
      <c r="L2202" t="s">
        <v>31</v>
      </c>
      <c r="M2202" t="s">
        <v>632</v>
      </c>
      <c r="N2202" t="s">
        <v>53</v>
      </c>
      <c r="O2202">
        <v>128</v>
      </c>
      <c r="R2202" s="11">
        <v>8.1018518518518516E-5</v>
      </c>
      <c r="S2202" t="s">
        <v>37</v>
      </c>
      <c r="T2202" t="str">
        <f>IF(Tabela1[[#This Row],[STATUS_NEGOCIO]]="Enviar E-mail",1,"")</f>
        <v/>
      </c>
      <c r="U2202" t="str">
        <f>TEXT(Tabela1[[#This Row],[DATA]],"dd/mm/aaaa")</f>
        <v>24/04/2026</v>
      </c>
    </row>
    <row r="2203" spans="1:21" x14ac:dyDescent="0.25">
      <c r="A2203" s="9">
        <v>46136.524178240739</v>
      </c>
      <c r="B2203" t="s">
        <v>19</v>
      </c>
      <c r="C2203" t="s">
        <v>37</v>
      </c>
      <c r="D2203">
        <v>73</v>
      </c>
      <c r="E2203">
        <v>4728735000197</v>
      </c>
      <c r="F2203">
        <v>65</v>
      </c>
      <c r="G2203" s="10">
        <v>177704488927111</v>
      </c>
      <c r="H2203" t="s">
        <v>321</v>
      </c>
      <c r="I2203">
        <v>3003</v>
      </c>
      <c r="J2203" t="s">
        <v>22</v>
      </c>
      <c r="K2203" t="s">
        <v>23</v>
      </c>
      <c r="L2203" t="s">
        <v>31</v>
      </c>
      <c r="M2203" t="s">
        <v>632</v>
      </c>
      <c r="N2203" t="s">
        <v>53</v>
      </c>
      <c r="O2203">
        <v>128</v>
      </c>
      <c r="R2203" s="11">
        <v>6.9444444444444444E-5</v>
      </c>
      <c r="S2203" t="s">
        <v>37</v>
      </c>
      <c r="T2203" t="str">
        <f>IF(Tabela1[[#This Row],[STATUS_NEGOCIO]]="Enviar E-mail",1,"")</f>
        <v/>
      </c>
      <c r="U2203" t="str">
        <f>TEXT(Tabela1[[#This Row],[DATA]],"dd/mm/aaaa")</f>
        <v>24/04/2026</v>
      </c>
    </row>
    <row r="2204" spans="1:21" x14ac:dyDescent="0.25">
      <c r="A2204" s="9">
        <v>46136.524236111109</v>
      </c>
      <c r="B2204" t="s">
        <v>19</v>
      </c>
      <c r="C2204" t="s">
        <v>37</v>
      </c>
      <c r="D2204">
        <v>74</v>
      </c>
      <c r="E2204">
        <v>4900076000124</v>
      </c>
      <c r="F2204">
        <v>66</v>
      </c>
      <c r="G2204" s="10">
        <v>177704489427181</v>
      </c>
      <c r="H2204" t="s">
        <v>322</v>
      </c>
      <c r="I2204">
        <v>3003</v>
      </c>
      <c r="J2204" t="s">
        <v>22</v>
      </c>
      <c r="K2204" t="s">
        <v>23</v>
      </c>
      <c r="L2204" t="s">
        <v>31</v>
      </c>
      <c r="M2204" t="s">
        <v>632</v>
      </c>
      <c r="N2204" t="s">
        <v>53</v>
      </c>
      <c r="O2204">
        <v>128</v>
      </c>
      <c r="R2204" s="11">
        <v>8.1018518518518516E-5</v>
      </c>
      <c r="S2204" t="s">
        <v>37</v>
      </c>
      <c r="T2204" t="str">
        <f>IF(Tabela1[[#This Row],[STATUS_NEGOCIO]]="Enviar E-mail",1,"")</f>
        <v/>
      </c>
      <c r="U2204" t="str">
        <f>TEXT(Tabela1[[#This Row],[DATA]],"dd/mm/aaaa")</f>
        <v>24/04/2026</v>
      </c>
    </row>
    <row r="2205" spans="1:21" x14ac:dyDescent="0.25">
      <c r="A2205" s="9">
        <v>46136.524282407408</v>
      </c>
      <c r="B2205" t="s">
        <v>19</v>
      </c>
      <c r="C2205" t="s">
        <v>37</v>
      </c>
      <c r="D2205">
        <v>75</v>
      </c>
      <c r="E2205">
        <v>4987252000107</v>
      </c>
      <c r="F2205">
        <v>67</v>
      </c>
      <c r="G2205" s="10">
        <v>177704489827211</v>
      </c>
      <c r="H2205" t="s">
        <v>323</v>
      </c>
      <c r="I2205">
        <v>3003</v>
      </c>
      <c r="J2205" t="s">
        <v>22</v>
      </c>
      <c r="K2205" t="s">
        <v>23</v>
      </c>
      <c r="L2205" t="s">
        <v>31</v>
      </c>
      <c r="M2205" t="s">
        <v>632</v>
      </c>
      <c r="N2205" t="s">
        <v>53</v>
      </c>
      <c r="O2205">
        <v>128</v>
      </c>
      <c r="R2205" s="11">
        <v>8.1018518518518516E-5</v>
      </c>
      <c r="S2205" t="s">
        <v>37</v>
      </c>
      <c r="T2205" t="str">
        <f>IF(Tabela1[[#This Row],[STATUS_NEGOCIO]]="Enviar E-mail",1,"")</f>
        <v/>
      </c>
      <c r="U2205" t="str">
        <f>TEXT(Tabela1[[#This Row],[DATA]],"dd/mm/aaaa")</f>
        <v>24/04/2026</v>
      </c>
    </row>
    <row r="2206" spans="1:21" x14ac:dyDescent="0.25">
      <c r="A2206" s="9">
        <v>46136.524375000001</v>
      </c>
      <c r="B2206" t="s">
        <v>19</v>
      </c>
      <c r="C2206" t="s">
        <v>37</v>
      </c>
      <c r="D2206">
        <v>76</v>
      </c>
      <c r="E2206">
        <v>5068583000106</v>
      </c>
      <c r="F2206">
        <v>68</v>
      </c>
      <c r="G2206" s="10">
        <v>177704490627231</v>
      </c>
      <c r="H2206" t="s">
        <v>174</v>
      </c>
      <c r="I2206">
        <v>3003</v>
      </c>
      <c r="J2206" t="s">
        <v>22</v>
      </c>
      <c r="K2206" t="s">
        <v>23</v>
      </c>
      <c r="L2206" t="s">
        <v>31</v>
      </c>
      <c r="M2206" t="s">
        <v>632</v>
      </c>
      <c r="N2206" t="s">
        <v>53</v>
      </c>
      <c r="O2206">
        <v>128</v>
      </c>
      <c r="R2206" s="11">
        <v>3.4722222222222222E-5</v>
      </c>
      <c r="S2206" t="s">
        <v>37</v>
      </c>
      <c r="T2206" t="str">
        <f>IF(Tabela1[[#This Row],[STATUS_NEGOCIO]]="Enviar E-mail",1,"")</f>
        <v/>
      </c>
      <c r="U2206" t="str">
        <f>TEXT(Tabela1[[#This Row],[DATA]],"dd/mm/aaaa")</f>
        <v>24/04/2026</v>
      </c>
    </row>
    <row r="2207" spans="1:21" x14ac:dyDescent="0.25">
      <c r="A2207" s="9">
        <v>46136.524525462963</v>
      </c>
      <c r="B2207" t="s">
        <v>19</v>
      </c>
      <c r="C2207" t="s">
        <v>37</v>
      </c>
      <c r="D2207">
        <v>77</v>
      </c>
      <c r="E2207">
        <v>5105470000133</v>
      </c>
      <c r="F2207">
        <v>69</v>
      </c>
      <c r="G2207" s="10">
        <v>177704491927251</v>
      </c>
      <c r="H2207" t="s">
        <v>274</v>
      </c>
      <c r="I2207">
        <v>3003</v>
      </c>
      <c r="J2207" t="s">
        <v>22</v>
      </c>
      <c r="K2207" t="s">
        <v>23</v>
      </c>
      <c r="L2207" t="s">
        <v>31</v>
      </c>
      <c r="M2207" t="s">
        <v>632</v>
      </c>
      <c r="N2207" t="s">
        <v>53</v>
      </c>
      <c r="O2207">
        <v>128</v>
      </c>
      <c r="R2207" s="11">
        <v>8.1018518518518516E-5</v>
      </c>
      <c r="S2207" t="s">
        <v>37</v>
      </c>
      <c r="T2207" t="str">
        <f>IF(Tabela1[[#This Row],[STATUS_NEGOCIO]]="Enviar E-mail",1,"")</f>
        <v/>
      </c>
      <c r="U2207" t="str">
        <f>TEXT(Tabela1[[#This Row],[DATA]],"dd/mm/aaaa")</f>
        <v>24/04/2026</v>
      </c>
    </row>
    <row r="2208" spans="1:21" x14ac:dyDescent="0.25">
      <c r="A2208" s="9">
        <v>46136.524537037039</v>
      </c>
      <c r="B2208" t="s">
        <v>19</v>
      </c>
      <c r="C2208" t="s">
        <v>37</v>
      </c>
      <c r="D2208">
        <v>78</v>
      </c>
      <c r="E2208">
        <v>5124020000198</v>
      </c>
      <c r="F2208">
        <v>70</v>
      </c>
      <c r="G2208" s="10">
        <v>177704492027271</v>
      </c>
      <c r="H2208" t="s">
        <v>268</v>
      </c>
      <c r="I2208">
        <v>3003</v>
      </c>
      <c r="J2208" t="s">
        <v>22</v>
      </c>
      <c r="K2208" t="s">
        <v>23</v>
      </c>
      <c r="L2208" t="s">
        <v>31</v>
      </c>
      <c r="M2208" t="s">
        <v>632</v>
      </c>
      <c r="N2208" t="s">
        <v>53</v>
      </c>
      <c r="O2208">
        <v>128</v>
      </c>
      <c r="R2208" s="11">
        <v>8.1018518518518516E-5</v>
      </c>
      <c r="S2208" t="s">
        <v>37</v>
      </c>
      <c r="T2208" t="str">
        <f>IF(Tabela1[[#This Row],[STATUS_NEGOCIO]]="Enviar E-mail",1,"")</f>
        <v/>
      </c>
      <c r="U2208" t="str">
        <f>TEXT(Tabela1[[#This Row],[DATA]],"dd/mm/aaaa")</f>
        <v>24/04/2026</v>
      </c>
    </row>
    <row r="2209" spans="1:21" x14ac:dyDescent="0.25">
      <c r="A2209" s="9">
        <v>46136.524675925924</v>
      </c>
      <c r="B2209" t="s">
        <v>19</v>
      </c>
      <c r="C2209" t="s">
        <v>37</v>
      </c>
      <c r="D2209">
        <v>79</v>
      </c>
      <c r="E2209">
        <v>5133369000196</v>
      </c>
      <c r="F2209">
        <v>71</v>
      </c>
      <c r="G2209" s="10">
        <v>177704493227291</v>
      </c>
      <c r="H2209" t="s">
        <v>103</v>
      </c>
      <c r="I2209">
        <v>3003</v>
      </c>
      <c r="J2209" t="s">
        <v>22</v>
      </c>
      <c r="K2209" t="s">
        <v>23</v>
      </c>
      <c r="L2209" t="s">
        <v>31</v>
      </c>
      <c r="M2209" t="s">
        <v>632</v>
      </c>
      <c r="N2209" t="s">
        <v>53</v>
      </c>
      <c r="O2209">
        <v>128</v>
      </c>
      <c r="R2209" s="11">
        <v>6.9444444444444444E-5</v>
      </c>
      <c r="S2209" t="s">
        <v>37</v>
      </c>
      <c r="T2209" t="str">
        <f>IF(Tabela1[[#This Row],[STATUS_NEGOCIO]]="Enviar E-mail",1,"")</f>
        <v/>
      </c>
      <c r="U2209" t="str">
        <f>TEXT(Tabela1[[#This Row],[DATA]],"dd/mm/aaaa")</f>
        <v>24/04/2026</v>
      </c>
    </row>
    <row r="2210" spans="1:21" x14ac:dyDescent="0.25">
      <c r="A2210" s="9">
        <v>46136.524699074071</v>
      </c>
      <c r="B2210" t="s">
        <v>19</v>
      </c>
      <c r="C2210" t="s">
        <v>37</v>
      </c>
      <c r="D2210">
        <v>80</v>
      </c>
      <c r="E2210">
        <v>5207886000162</v>
      </c>
      <c r="F2210">
        <v>72</v>
      </c>
      <c r="G2210" s="10">
        <v>177704493427311</v>
      </c>
      <c r="H2210" t="s">
        <v>190</v>
      </c>
      <c r="I2210">
        <v>3003</v>
      </c>
      <c r="J2210" t="s">
        <v>22</v>
      </c>
      <c r="K2210" t="s">
        <v>23</v>
      </c>
      <c r="L2210" t="s">
        <v>31</v>
      </c>
      <c r="M2210" t="s">
        <v>632</v>
      </c>
      <c r="N2210" t="s">
        <v>53</v>
      </c>
      <c r="O2210">
        <v>128</v>
      </c>
      <c r="R2210" s="11">
        <v>8.1018518518518516E-5</v>
      </c>
      <c r="S2210" t="s">
        <v>37</v>
      </c>
      <c r="T2210" t="str">
        <f>IF(Tabela1[[#This Row],[STATUS_NEGOCIO]]="Enviar E-mail",1,"")</f>
        <v/>
      </c>
      <c r="U2210" t="str">
        <f>TEXT(Tabela1[[#This Row],[DATA]],"dd/mm/aaaa")</f>
        <v>24/04/2026</v>
      </c>
    </row>
    <row r="2211" spans="1:21" x14ac:dyDescent="0.25">
      <c r="A2211" s="9">
        <v>46136.524837962963</v>
      </c>
      <c r="B2211" t="s">
        <v>19</v>
      </c>
      <c r="C2211" t="s">
        <v>37</v>
      </c>
      <c r="D2211">
        <v>81</v>
      </c>
      <c r="E2211">
        <v>5476516000120</v>
      </c>
      <c r="F2211">
        <v>73</v>
      </c>
      <c r="G2211" s="10">
        <v>177704494627331</v>
      </c>
      <c r="H2211" t="s">
        <v>324</v>
      </c>
      <c r="I2211">
        <v>3003</v>
      </c>
      <c r="J2211" t="s">
        <v>22</v>
      </c>
      <c r="K2211" t="s">
        <v>23</v>
      </c>
      <c r="L2211" t="s">
        <v>31</v>
      </c>
      <c r="M2211" t="s">
        <v>632</v>
      </c>
      <c r="N2211" t="s">
        <v>53</v>
      </c>
      <c r="O2211">
        <v>128</v>
      </c>
      <c r="R2211" s="11">
        <v>8.1018518518518516E-5</v>
      </c>
      <c r="S2211" t="s">
        <v>37</v>
      </c>
      <c r="T2211" t="str">
        <f>IF(Tabela1[[#This Row],[STATUS_NEGOCIO]]="Enviar E-mail",1,"")</f>
        <v/>
      </c>
      <c r="U2211" t="str">
        <f>TEXT(Tabela1[[#This Row],[DATA]],"dd/mm/aaaa")</f>
        <v>24/04/2026</v>
      </c>
    </row>
    <row r="2212" spans="1:21" x14ac:dyDescent="0.25">
      <c r="A2212" s="9">
        <v>46136.524953703702</v>
      </c>
      <c r="B2212" t="s">
        <v>19</v>
      </c>
      <c r="C2212" t="s">
        <v>37</v>
      </c>
      <c r="D2212">
        <v>82</v>
      </c>
      <c r="E2212">
        <v>5483497000160</v>
      </c>
      <c r="F2212">
        <v>74</v>
      </c>
      <c r="G2212" s="10">
        <v>177704495627351</v>
      </c>
      <c r="H2212" t="s">
        <v>58</v>
      </c>
      <c r="I2212">
        <v>3003</v>
      </c>
      <c r="J2212" t="s">
        <v>22</v>
      </c>
      <c r="K2212" t="s">
        <v>23</v>
      </c>
      <c r="L2212" t="s">
        <v>31</v>
      </c>
      <c r="M2212" t="s">
        <v>632</v>
      </c>
      <c r="N2212" t="s">
        <v>53</v>
      </c>
      <c r="O2212">
        <v>147</v>
      </c>
      <c r="R2212" s="11">
        <v>8.1018518518518516E-5</v>
      </c>
      <c r="S2212" t="s">
        <v>37</v>
      </c>
      <c r="T2212" t="str">
        <f>IF(Tabela1[[#This Row],[STATUS_NEGOCIO]]="Enviar E-mail",1,"")</f>
        <v/>
      </c>
      <c r="U2212" t="str">
        <f>TEXT(Tabela1[[#This Row],[DATA]],"dd/mm/aaaa")</f>
        <v>24/04/2026</v>
      </c>
    </row>
    <row r="2213" spans="1:21" x14ac:dyDescent="0.25">
      <c r="A2213" s="9">
        <v>46136.524965277778</v>
      </c>
      <c r="B2213" t="s">
        <v>19</v>
      </c>
      <c r="C2213" t="s">
        <v>37</v>
      </c>
      <c r="D2213">
        <v>83</v>
      </c>
      <c r="E2213">
        <v>5485452000124</v>
      </c>
      <c r="F2213">
        <v>75</v>
      </c>
      <c r="G2213" s="10">
        <v>177704495727371</v>
      </c>
      <c r="H2213" t="s">
        <v>325</v>
      </c>
      <c r="I2213" t="s">
        <v>52</v>
      </c>
      <c r="J2213" t="s">
        <v>22</v>
      </c>
      <c r="K2213" t="s">
        <v>62</v>
      </c>
      <c r="L2213" t="s">
        <v>62</v>
      </c>
      <c r="M2213" t="s">
        <v>632</v>
      </c>
      <c r="N2213" t="s">
        <v>53</v>
      </c>
      <c r="O2213">
        <v>17</v>
      </c>
      <c r="R2213" s="11">
        <v>0</v>
      </c>
      <c r="S2213" t="s">
        <v>37</v>
      </c>
      <c r="T2213" t="str">
        <f>IF(Tabela1[[#This Row],[STATUS_NEGOCIO]]="Enviar E-mail",1,"")</f>
        <v/>
      </c>
      <c r="U2213" t="str">
        <f>TEXT(Tabela1[[#This Row],[DATA]],"dd/mm/aaaa")</f>
        <v>24/04/2026</v>
      </c>
    </row>
    <row r="2214" spans="1:21" x14ac:dyDescent="0.25">
      <c r="A2214" s="9">
        <v>46136.525081018517</v>
      </c>
      <c r="B2214" t="s">
        <v>19</v>
      </c>
      <c r="C2214" t="s">
        <v>37</v>
      </c>
      <c r="D2214">
        <v>84</v>
      </c>
      <c r="E2214">
        <v>5487548000121</v>
      </c>
      <c r="F2214">
        <v>76</v>
      </c>
      <c r="G2214" s="10">
        <v>177704496727391</v>
      </c>
      <c r="H2214" t="s">
        <v>49</v>
      </c>
      <c r="I2214">
        <v>3003</v>
      </c>
      <c r="J2214" t="s">
        <v>22</v>
      </c>
      <c r="K2214" t="s">
        <v>23</v>
      </c>
      <c r="L2214" t="s">
        <v>31</v>
      </c>
      <c r="M2214" t="s">
        <v>632</v>
      </c>
      <c r="N2214" t="s">
        <v>53</v>
      </c>
      <c r="O2214">
        <v>128</v>
      </c>
      <c r="R2214" s="11">
        <v>8.1018518518518516E-5</v>
      </c>
      <c r="S2214" t="s">
        <v>37</v>
      </c>
      <c r="T2214" t="str">
        <f>IF(Tabela1[[#This Row],[STATUS_NEGOCIO]]="Enviar E-mail",1,"")</f>
        <v/>
      </c>
      <c r="U2214" t="str">
        <f>TEXT(Tabela1[[#This Row],[DATA]],"dd/mm/aaaa")</f>
        <v>24/04/2026</v>
      </c>
    </row>
    <row r="2215" spans="1:21" x14ac:dyDescent="0.25">
      <c r="A2215" s="9">
        <v>46136.58971064815</v>
      </c>
      <c r="B2215" t="s">
        <v>19</v>
      </c>
      <c r="C2215" t="s">
        <v>37</v>
      </c>
      <c r="D2215">
        <v>1</v>
      </c>
      <c r="E2215">
        <v>64078000170</v>
      </c>
      <c r="F2215">
        <v>506</v>
      </c>
      <c r="G2215" s="10">
        <v>177705055135111</v>
      </c>
      <c r="H2215" t="s">
        <v>125</v>
      </c>
      <c r="I2215">
        <v>3003</v>
      </c>
      <c r="J2215" t="s">
        <v>22</v>
      </c>
      <c r="K2215" t="s">
        <v>23</v>
      </c>
      <c r="L2215" t="s">
        <v>31</v>
      </c>
      <c r="M2215" t="s">
        <v>636</v>
      </c>
      <c r="N2215" t="s">
        <v>53</v>
      </c>
      <c r="O2215">
        <v>128</v>
      </c>
      <c r="R2215" s="11">
        <v>8.1018518518518516E-5</v>
      </c>
      <c r="S2215" t="s">
        <v>37</v>
      </c>
      <c r="T2215" t="str">
        <f>IF(Tabela1[[#This Row],[STATUS_NEGOCIO]]="Enviar E-mail",1,"")</f>
        <v/>
      </c>
      <c r="U2215" t="str">
        <f>TEXT(Tabela1[[#This Row],[DATA]],"dd/mm/aaaa")</f>
        <v>24/04/2026</v>
      </c>
    </row>
    <row r="2216" spans="1:21" x14ac:dyDescent="0.25">
      <c r="A2216" s="9">
        <v>46136.58971064815</v>
      </c>
      <c r="B2216" t="s">
        <v>19</v>
      </c>
      <c r="C2216" t="s">
        <v>37</v>
      </c>
      <c r="D2216">
        <v>2</v>
      </c>
      <c r="E2216">
        <v>94869000142</v>
      </c>
      <c r="F2216">
        <v>507</v>
      </c>
      <c r="G2216" s="10">
        <v>177705055135121</v>
      </c>
      <c r="H2216" t="s">
        <v>251</v>
      </c>
      <c r="I2216">
        <v>3003</v>
      </c>
      <c r="J2216" t="s">
        <v>22</v>
      </c>
      <c r="K2216" t="s">
        <v>23</v>
      </c>
      <c r="L2216" t="s">
        <v>31</v>
      </c>
      <c r="M2216" t="s">
        <v>636</v>
      </c>
      <c r="N2216" t="s">
        <v>53</v>
      </c>
      <c r="O2216">
        <v>147</v>
      </c>
      <c r="R2216" s="11">
        <v>8.1018518518518516E-5</v>
      </c>
      <c r="S2216" t="s">
        <v>37</v>
      </c>
      <c r="T2216" t="str">
        <f>IF(Tabela1[[#This Row],[STATUS_NEGOCIO]]="Enviar E-mail",1,"")</f>
        <v/>
      </c>
      <c r="U2216" t="str">
        <f>TEXT(Tabela1[[#This Row],[DATA]],"dd/mm/aaaa")</f>
        <v>24/04/2026</v>
      </c>
    </row>
    <row r="2217" spans="1:21" x14ac:dyDescent="0.25">
      <c r="A2217" s="9">
        <v>46136.58971064815</v>
      </c>
      <c r="B2217" t="s">
        <v>19</v>
      </c>
      <c r="C2217" t="s">
        <v>37</v>
      </c>
      <c r="D2217">
        <v>3</v>
      </c>
      <c r="E2217">
        <v>117961000180</v>
      </c>
      <c r="F2217">
        <v>508</v>
      </c>
      <c r="G2217" s="10">
        <v>177705055135131</v>
      </c>
      <c r="H2217" t="s">
        <v>252</v>
      </c>
      <c r="I2217">
        <v>3003</v>
      </c>
      <c r="J2217" t="s">
        <v>22</v>
      </c>
      <c r="K2217" t="s">
        <v>23</v>
      </c>
      <c r="L2217" t="s">
        <v>31</v>
      </c>
      <c r="M2217" t="s">
        <v>636</v>
      </c>
      <c r="N2217" t="s">
        <v>53</v>
      </c>
      <c r="O2217">
        <v>128</v>
      </c>
      <c r="R2217" s="11">
        <v>8.1018518518518516E-5</v>
      </c>
      <c r="S2217" t="s">
        <v>37</v>
      </c>
      <c r="T2217" t="str">
        <f>IF(Tabela1[[#This Row],[STATUS_NEGOCIO]]="Enviar E-mail",1,"")</f>
        <v/>
      </c>
      <c r="U2217" t="str">
        <f>TEXT(Tabela1[[#This Row],[DATA]],"dd/mm/aaaa")</f>
        <v>24/04/2026</v>
      </c>
    </row>
    <row r="2218" spans="1:21" x14ac:dyDescent="0.25">
      <c r="A2218" s="9">
        <v>46136.58971064815</v>
      </c>
      <c r="B2218" t="s">
        <v>19</v>
      </c>
      <c r="C2218" t="s">
        <v>37</v>
      </c>
      <c r="D2218">
        <v>4</v>
      </c>
      <c r="E2218">
        <v>175438000100</v>
      </c>
      <c r="F2218">
        <v>509</v>
      </c>
      <c r="G2218" s="10">
        <v>177705055135141</v>
      </c>
      <c r="H2218" t="s">
        <v>253</v>
      </c>
      <c r="I2218">
        <v>3003</v>
      </c>
      <c r="J2218" t="s">
        <v>22</v>
      </c>
      <c r="K2218" t="s">
        <v>23</v>
      </c>
      <c r="L2218" t="s">
        <v>31</v>
      </c>
      <c r="M2218" t="s">
        <v>636</v>
      </c>
      <c r="N2218" t="s">
        <v>53</v>
      </c>
      <c r="O2218">
        <v>128</v>
      </c>
      <c r="R2218" s="11">
        <v>8.1018518518518516E-5</v>
      </c>
      <c r="S2218" t="s">
        <v>37</v>
      </c>
      <c r="T2218" t="str">
        <f>IF(Tabela1[[#This Row],[STATUS_NEGOCIO]]="Enviar E-mail",1,"")</f>
        <v/>
      </c>
      <c r="U2218" t="str">
        <f>TEXT(Tabela1[[#This Row],[DATA]],"dd/mm/aaaa")</f>
        <v>24/04/2026</v>
      </c>
    </row>
    <row r="2219" spans="1:21" x14ac:dyDescent="0.25">
      <c r="A2219" s="9">
        <v>46136.589837962965</v>
      </c>
      <c r="B2219" t="s">
        <v>19</v>
      </c>
      <c r="C2219" t="s">
        <v>37</v>
      </c>
      <c r="D2219">
        <v>5</v>
      </c>
      <c r="E2219">
        <v>255310000157</v>
      </c>
      <c r="F2219">
        <v>510</v>
      </c>
      <c r="G2219" s="10">
        <v>177705056235161</v>
      </c>
      <c r="H2219" t="s">
        <v>109</v>
      </c>
      <c r="I2219">
        <v>3003</v>
      </c>
      <c r="J2219" t="s">
        <v>22</v>
      </c>
      <c r="K2219" t="s">
        <v>23</v>
      </c>
      <c r="L2219" t="s">
        <v>31</v>
      </c>
      <c r="M2219" t="s">
        <v>636</v>
      </c>
      <c r="N2219" t="s">
        <v>53</v>
      </c>
      <c r="O2219">
        <v>128</v>
      </c>
      <c r="R2219" s="11">
        <v>8.1018518518518516E-5</v>
      </c>
      <c r="S2219" t="s">
        <v>37</v>
      </c>
      <c r="T2219" t="str">
        <f>IF(Tabela1[[#This Row],[STATUS_NEGOCIO]]="Enviar E-mail",1,"")</f>
        <v/>
      </c>
      <c r="U2219" t="str">
        <f>TEXT(Tabela1[[#This Row],[DATA]],"dd/mm/aaaa")</f>
        <v>24/04/2026</v>
      </c>
    </row>
    <row r="2220" spans="1:21" x14ac:dyDescent="0.25">
      <c r="A2220" s="9">
        <v>46136.589872685188</v>
      </c>
      <c r="B2220" t="s">
        <v>19</v>
      </c>
      <c r="C2220" t="s">
        <v>37</v>
      </c>
      <c r="D2220">
        <v>6</v>
      </c>
      <c r="E2220">
        <v>420622000179</v>
      </c>
      <c r="F2220">
        <v>511</v>
      </c>
      <c r="G2220" s="10">
        <v>177705056535181</v>
      </c>
      <c r="H2220" t="s">
        <v>256</v>
      </c>
      <c r="I2220">
        <v>3003</v>
      </c>
      <c r="J2220" t="s">
        <v>22</v>
      </c>
      <c r="K2220" t="s">
        <v>23</v>
      </c>
      <c r="L2220" t="s">
        <v>31</v>
      </c>
      <c r="M2220" t="s">
        <v>636</v>
      </c>
      <c r="N2220" t="s">
        <v>53</v>
      </c>
      <c r="O2220">
        <v>128</v>
      </c>
      <c r="R2220" s="11">
        <v>8.1018518518518516E-5</v>
      </c>
      <c r="S2220" t="s">
        <v>37</v>
      </c>
      <c r="T2220" t="str">
        <f>IF(Tabela1[[#This Row],[STATUS_NEGOCIO]]="Enviar E-mail",1,"")</f>
        <v/>
      </c>
      <c r="U2220" t="str">
        <f>TEXT(Tabela1[[#This Row],[DATA]],"dd/mm/aaaa")</f>
        <v>24/04/2026</v>
      </c>
    </row>
    <row r="2221" spans="1:21" x14ac:dyDescent="0.25">
      <c r="A2221" s="9">
        <v>46136.589872685188</v>
      </c>
      <c r="B2221" t="s">
        <v>19</v>
      </c>
      <c r="C2221" t="s">
        <v>37</v>
      </c>
      <c r="D2221">
        <v>7</v>
      </c>
      <c r="E2221">
        <v>451332000192</v>
      </c>
      <c r="F2221">
        <v>512</v>
      </c>
      <c r="G2221" s="10">
        <v>177705056535231</v>
      </c>
      <c r="H2221" t="s">
        <v>257</v>
      </c>
      <c r="I2221">
        <v>3003</v>
      </c>
      <c r="J2221" t="s">
        <v>22</v>
      </c>
      <c r="K2221" t="s">
        <v>23</v>
      </c>
      <c r="L2221" t="s">
        <v>31</v>
      </c>
      <c r="M2221" t="s">
        <v>636</v>
      </c>
      <c r="N2221" t="s">
        <v>53</v>
      </c>
      <c r="O2221">
        <v>128</v>
      </c>
      <c r="R2221" s="11">
        <v>8.1018518518518516E-5</v>
      </c>
      <c r="S2221" t="s">
        <v>37</v>
      </c>
      <c r="T2221" t="str">
        <f>IF(Tabela1[[#This Row],[STATUS_NEGOCIO]]="Enviar E-mail",1,"")</f>
        <v/>
      </c>
      <c r="U2221" t="str">
        <f>TEXT(Tabela1[[#This Row],[DATA]],"dd/mm/aaaa")</f>
        <v>24/04/2026</v>
      </c>
    </row>
    <row r="2222" spans="1:21" x14ac:dyDescent="0.25">
      <c r="A2222" s="9">
        <v>46136.589953703704</v>
      </c>
      <c r="B2222" t="s">
        <v>19</v>
      </c>
      <c r="C2222" t="s">
        <v>37</v>
      </c>
      <c r="D2222">
        <v>8</v>
      </c>
      <c r="E2222">
        <v>550875000167</v>
      </c>
      <c r="F2222">
        <v>513</v>
      </c>
      <c r="G2222" s="10">
        <v>177705057235281</v>
      </c>
      <c r="H2222" t="s">
        <v>258</v>
      </c>
      <c r="I2222">
        <v>3003</v>
      </c>
      <c r="J2222" t="s">
        <v>22</v>
      </c>
      <c r="K2222" t="s">
        <v>23</v>
      </c>
      <c r="L2222" t="s">
        <v>31</v>
      </c>
      <c r="M2222" t="s">
        <v>636</v>
      </c>
      <c r="N2222" t="s">
        <v>53</v>
      </c>
      <c r="O2222">
        <v>128</v>
      </c>
      <c r="R2222" s="11">
        <v>8.1018518518518516E-5</v>
      </c>
      <c r="S2222" t="s">
        <v>37</v>
      </c>
      <c r="T2222" t="str">
        <f>IF(Tabela1[[#This Row],[STATUS_NEGOCIO]]="Enviar E-mail",1,"")</f>
        <v/>
      </c>
      <c r="U2222" t="str">
        <f>TEXT(Tabela1[[#This Row],[DATA]],"dd/mm/aaaa")</f>
        <v>24/04/2026</v>
      </c>
    </row>
    <row r="2223" spans="1:21" x14ac:dyDescent="0.25">
      <c r="A2223" s="9">
        <v>46136.59002314815</v>
      </c>
      <c r="B2223" t="s">
        <v>19</v>
      </c>
      <c r="C2223" t="s">
        <v>37</v>
      </c>
      <c r="D2223">
        <v>9</v>
      </c>
      <c r="E2223">
        <v>749145000190</v>
      </c>
      <c r="F2223">
        <v>514</v>
      </c>
      <c r="G2223" s="10">
        <v>177705057835341</v>
      </c>
      <c r="H2223" t="s">
        <v>260</v>
      </c>
      <c r="I2223">
        <v>3003</v>
      </c>
      <c r="J2223" t="s">
        <v>22</v>
      </c>
      <c r="K2223" t="s">
        <v>23</v>
      </c>
      <c r="L2223" t="s">
        <v>31</v>
      </c>
      <c r="M2223" t="s">
        <v>636</v>
      </c>
      <c r="N2223" t="s">
        <v>53</v>
      </c>
      <c r="O2223">
        <v>128</v>
      </c>
      <c r="R2223" s="11">
        <v>8.1018518518518516E-5</v>
      </c>
      <c r="S2223" t="s">
        <v>37</v>
      </c>
      <c r="T2223" t="str">
        <f>IF(Tabela1[[#This Row],[STATUS_NEGOCIO]]="Enviar E-mail",1,"")</f>
        <v/>
      </c>
      <c r="U2223" t="str">
        <f>TEXT(Tabela1[[#This Row],[DATA]],"dd/mm/aaaa")</f>
        <v>24/04/2026</v>
      </c>
    </row>
    <row r="2224" spans="1:21" x14ac:dyDescent="0.25">
      <c r="A2224" s="9">
        <v>46136.590057870373</v>
      </c>
      <c r="B2224" t="s">
        <v>19</v>
      </c>
      <c r="C2224" t="s">
        <v>37</v>
      </c>
      <c r="D2224">
        <v>10</v>
      </c>
      <c r="E2224">
        <v>837531000133</v>
      </c>
      <c r="F2224">
        <v>515</v>
      </c>
      <c r="G2224" s="10">
        <v>177705058135361</v>
      </c>
      <c r="H2224" t="s">
        <v>68</v>
      </c>
      <c r="I2224">
        <v>3003</v>
      </c>
      <c r="J2224" t="s">
        <v>22</v>
      </c>
      <c r="K2224" t="s">
        <v>23</v>
      </c>
      <c r="L2224" t="s">
        <v>31</v>
      </c>
      <c r="M2224" t="s">
        <v>636</v>
      </c>
      <c r="N2224" t="s">
        <v>53</v>
      </c>
      <c r="O2224">
        <v>147</v>
      </c>
      <c r="R2224" s="11">
        <v>8.1018518518518516E-5</v>
      </c>
      <c r="S2224" t="s">
        <v>37</v>
      </c>
      <c r="T2224" t="str">
        <f>IF(Tabela1[[#This Row],[STATUS_NEGOCIO]]="Enviar E-mail",1,"")</f>
        <v/>
      </c>
      <c r="U2224" t="str">
        <f>TEXT(Tabela1[[#This Row],[DATA]],"dd/mm/aaaa")</f>
        <v>24/04/2026</v>
      </c>
    </row>
    <row r="2225" spans="1:21" x14ac:dyDescent="0.25">
      <c r="A2225" s="9">
        <v>46136.590115740742</v>
      </c>
      <c r="B2225" t="s">
        <v>19</v>
      </c>
      <c r="C2225" t="s">
        <v>37</v>
      </c>
      <c r="D2225">
        <v>11</v>
      </c>
      <c r="E2225">
        <v>845384000143</v>
      </c>
      <c r="F2225">
        <v>516</v>
      </c>
      <c r="G2225" s="10">
        <v>177705058635381</v>
      </c>
      <c r="H2225" t="s">
        <v>261</v>
      </c>
      <c r="I2225">
        <v>3003</v>
      </c>
      <c r="J2225" t="s">
        <v>22</v>
      </c>
      <c r="K2225" t="s">
        <v>23</v>
      </c>
      <c r="L2225" t="s">
        <v>31</v>
      </c>
      <c r="M2225" t="s">
        <v>636</v>
      </c>
      <c r="N2225" t="s">
        <v>53</v>
      </c>
      <c r="O2225">
        <v>128</v>
      </c>
      <c r="R2225" s="11">
        <v>8.1018518518518516E-5</v>
      </c>
      <c r="S2225" t="s">
        <v>37</v>
      </c>
      <c r="T2225" t="str">
        <f>IF(Tabela1[[#This Row],[STATUS_NEGOCIO]]="Enviar E-mail",1,"")</f>
        <v/>
      </c>
      <c r="U2225" t="str">
        <f>TEXT(Tabela1[[#This Row],[DATA]],"dd/mm/aaaa")</f>
        <v>24/04/2026</v>
      </c>
    </row>
    <row r="2226" spans="1:21" x14ac:dyDescent="0.25">
      <c r="A2226" s="9">
        <v>46136.590231481481</v>
      </c>
      <c r="B2226" t="s">
        <v>19</v>
      </c>
      <c r="C2226" t="s">
        <v>37</v>
      </c>
      <c r="D2226">
        <v>12</v>
      </c>
      <c r="E2226">
        <v>863808000100</v>
      </c>
      <c r="F2226">
        <v>517</v>
      </c>
      <c r="G2226" s="10">
        <v>177705059635401</v>
      </c>
      <c r="H2226" t="s">
        <v>179</v>
      </c>
      <c r="I2226">
        <v>3003</v>
      </c>
      <c r="J2226" t="s">
        <v>22</v>
      </c>
      <c r="K2226" t="s">
        <v>23</v>
      </c>
      <c r="L2226" t="s">
        <v>31</v>
      </c>
      <c r="M2226" t="s">
        <v>636</v>
      </c>
      <c r="N2226" t="s">
        <v>53</v>
      </c>
      <c r="O2226">
        <v>128</v>
      </c>
      <c r="R2226" s="11">
        <v>8.1018518518518516E-5</v>
      </c>
      <c r="S2226" t="s">
        <v>37</v>
      </c>
      <c r="T2226" t="str">
        <f>IF(Tabela1[[#This Row],[STATUS_NEGOCIO]]="Enviar E-mail",1,"")</f>
        <v/>
      </c>
      <c r="U2226" t="str">
        <f>TEXT(Tabela1[[#This Row],[DATA]],"dd/mm/aaaa")</f>
        <v>24/04/2026</v>
      </c>
    </row>
    <row r="2227" spans="1:21" x14ac:dyDescent="0.25">
      <c r="A2227" s="9">
        <v>46136.590277777781</v>
      </c>
      <c r="B2227" t="s">
        <v>19</v>
      </c>
      <c r="C2227" t="s">
        <v>37</v>
      </c>
      <c r="D2227">
        <v>13</v>
      </c>
      <c r="E2227">
        <v>1056628000171</v>
      </c>
      <c r="F2227">
        <v>518</v>
      </c>
      <c r="G2227" s="10">
        <v>177705060035461</v>
      </c>
      <c r="H2227" t="s">
        <v>262</v>
      </c>
      <c r="I2227">
        <v>3003</v>
      </c>
      <c r="J2227" t="s">
        <v>22</v>
      </c>
      <c r="K2227" t="s">
        <v>23</v>
      </c>
      <c r="L2227" t="s">
        <v>31</v>
      </c>
      <c r="M2227" t="s">
        <v>636</v>
      </c>
      <c r="N2227" t="s">
        <v>53</v>
      </c>
      <c r="O2227">
        <v>128</v>
      </c>
      <c r="R2227" s="11">
        <v>5.7870370370370373E-5</v>
      </c>
      <c r="S2227" t="s">
        <v>37</v>
      </c>
      <c r="T2227" t="str">
        <f>IF(Tabela1[[#This Row],[STATUS_NEGOCIO]]="Enviar E-mail",1,"")</f>
        <v/>
      </c>
      <c r="U2227" t="str">
        <f>TEXT(Tabela1[[#This Row],[DATA]],"dd/mm/aaaa")</f>
        <v>24/04/2026</v>
      </c>
    </row>
    <row r="2228" spans="1:21" x14ac:dyDescent="0.25">
      <c r="A2228" s="9">
        <v>46136.590312499997</v>
      </c>
      <c r="B2228" t="s">
        <v>19</v>
      </c>
      <c r="C2228" t="s">
        <v>37</v>
      </c>
      <c r="D2228">
        <v>14</v>
      </c>
      <c r="E2228">
        <v>1062613000116</v>
      </c>
      <c r="F2228">
        <v>519</v>
      </c>
      <c r="G2228" s="10">
        <v>177705060335481</v>
      </c>
      <c r="H2228" t="s">
        <v>263</v>
      </c>
      <c r="I2228">
        <v>3003</v>
      </c>
      <c r="J2228" t="s">
        <v>22</v>
      </c>
      <c r="K2228" t="s">
        <v>23</v>
      </c>
      <c r="L2228" t="s">
        <v>31</v>
      </c>
      <c r="M2228" t="s">
        <v>636</v>
      </c>
      <c r="N2228" t="s">
        <v>53</v>
      </c>
      <c r="O2228">
        <v>131</v>
      </c>
      <c r="R2228" s="11">
        <v>1.1574074074074073E-5</v>
      </c>
      <c r="S2228" t="s">
        <v>37</v>
      </c>
      <c r="T2228" t="str">
        <f>IF(Tabela1[[#This Row],[STATUS_NEGOCIO]]="Enviar E-mail",1,"")</f>
        <v/>
      </c>
      <c r="U2228" t="str">
        <f>TEXT(Tabela1[[#This Row],[DATA]],"dd/mm/aaaa")</f>
        <v>24/04/2026</v>
      </c>
    </row>
    <row r="2229" spans="1:21" x14ac:dyDescent="0.25">
      <c r="A2229" s="9">
        <v>46136.590370370373</v>
      </c>
      <c r="B2229" t="s">
        <v>19</v>
      </c>
      <c r="C2229" t="s">
        <v>37</v>
      </c>
      <c r="D2229">
        <v>15</v>
      </c>
      <c r="E2229">
        <v>1104119000177</v>
      </c>
      <c r="F2229">
        <v>520</v>
      </c>
      <c r="G2229" s="10">
        <v>177705060835501</v>
      </c>
      <c r="H2229" t="s">
        <v>264</v>
      </c>
      <c r="I2229">
        <v>3003</v>
      </c>
      <c r="J2229" t="s">
        <v>22</v>
      </c>
      <c r="K2229" t="s">
        <v>23</v>
      </c>
      <c r="L2229" t="s">
        <v>31</v>
      </c>
      <c r="M2229" t="s">
        <v>636</v>
      </c>
      <c r="N2229" t="s">
        <v>53</v>
      </c>
      <c r="O2229">
        <v>128</v>
      </c>
      <c r="R2229" s="11">
        <v>6.9444444444444444E-5</v>
      </c>
      <c r="S2229" t="s">
        <v>37</v>
      </c>
      <c r="T2229" t="str">
        <f>IF(Tabela1[[#This Row],[STATUS_NEGOCIO]]="Enviar E-mail",1,"")</f>
        <v/>
      </c>
      <c r="U2229" t="str">
        <f>TEXT(Tabela1[[#This Row],[DATA]],"dd/mm/aaaa")</f>
        <v>24/04/2026</v>
      </c>
    </row>
    <row r="2230" spans="1:21" x14ac:dyDescent="0.25">
      <c r="A2230" s="9">
        <v>46136.590416666666</v>
      </c>
      <c r="B2230" t="s">
        <v>19</v>
      </c>
      <c r="C2230" t="s">
        <v>37</v>
      </c>
      <c r="D2230">
        <v>16</v>
      </c>
      <c r="E2230">
        <v>1209604000105</v>
      </c>
      <c r="F2230">
        <v>521</v>
      </c>
      <c r="G2230" s="10">
        <v>177705061235571</v>
      </c>
      <c r="H2230" t="s">
        <v>266</v>
      </c>
      <c r="I2230">
        <v>3003</v>
      </c>
      <c r="J2230" t="s">
        <v>22</v>
      </c>
      <c r="K2230" t="s">
        <v>23</v>
      </c>
      <c r="L2230" t="s">
        <v>31</v>
      </c>
      <c r="M2230" t="s">
        <v>636</v>
      </c>
      <c r="N2230" t="s">
        <v>53</v>
      </c>
      <c r="O2230">
        <v>128</v>
      </c>
      <c r="R2230" s="11">
        <v>6.9444444444444444E-5</v>
      </c>
      <c r="S2230" t="s">
        <v>37</v>
      </c>
      <c r="T2230" t="str">
        <f>IF(Tabela1[[#This Row],[STATUS_NEGOCIO]]="Enviar E-mail",1,"")</f>
        <v/>
      </c>
      <c r="U2230" t="str">
        <f>TEXT(Tabela1[[#This Row],[DATA]],"dd/mm/aaaa")</f>
        <v>24/04/2026</v>
      </c>
    </row>
    <row r="2231" spans="1:21" x14ac:dyDescent="0.25">
      <c r="A2231" s="9">
        <v>46136.590543981481</v>
      </c>
      <c r="B2231" t="s">
        <v>19</v>
      </c>
      <c r="C2231" t="s">
        <v>37</v>
      </c>
      <c r="D2231">
        <v>17</v>
      </c>
      <c r="E2231">
        <v>1340549000198</v>
      </c>
      <c r="F2231">
        <v>522</v>
      </c>
      <c r="G2231" s="10">
        <v>177705062335641</v>
      </c>
      <c r="H2231" t="s">
        <v>281</v>
      </c>
      <c r="I2231">
        <v>3003</v>
      </c>
      <c r="J2231" t="s">
        <v>22</v>
      </c>
      <c r="K2231" t="s">
        <v>23</v>
      </c>
      <c r="L2231" t="s">
        <v>31</v>
      </c>
      <c r="M2231" t="s">
        <v>636</v>
      </c>
      <c r="N2231" t="s">
        <v>53</v>
      </c>
      <c r="O2231">
        <v>128</v>
      </c>
      <c r="R2231" s="11">
        <v>8.1018518518518516E-5</v>
      </c>
      <c r="S2231" t="s">
        <v>37</v>
      </c>
      <c r="T2231" t="str">
        <f>IF(Tabela1[[#This Row],[STATUS_NEGOCIO]]="Enviar E-mail",1,"")</f>
        <v/>
      </c>
      <c r="U2231" t="str">
        <f>TEXT(Tabela1[[#This Row],[DATA]],"dd/mm/aaaa")</f>
        <v>24/04/2026</v>
      </c>
    </row>
    <row r="2232" spans="1:21" x14ac:dyDescent="0.25">
      <c r="A2232" s="9">
        <v>46136.590590277781</v>
      </c>
      <c r="B2232" t="s">
        <v>19</v>
      </c>
      <c r="C2232" t="s">
        <v>37</v>
      </c>
      <c r="D2232">
        <v>18</v>
      </c>
      <c r="E2232">
        <v>1387961000163</v>
      </c>
      <c r="F2232">
        <v>523</v>
      </c>
      <c r="G2232" s="10">
        <v>177705062735661</v>
      </c>
      <c r="H2232" t="s">
        <v>267</v>
      </c>
      <c r="I2232">
        <v>3003</v>
      </c>
      <c r="J2232" t="s">
        <v>22</v>
      </c>
      <c r="K2232" t="s">
        <v>23</v>
      </c>
      <c r="L2232" t="s">
        <v>31</v>
      </c>
      <c r="M2232" t="s">
        <v>636</v>
      </c>
      <c r="N2232" t="s">
        <v>53</v>
      </c>
      <c r="O2232">
        <v>128</v>
      </c>
      <c r="R2232" s="11">
        <v>8.1018518518518516E-5</v>
      </c>
      <c r="S2232" t="s">
        <v>37</v>
      </c>
      <c r="T2232" t="str">
        <f>IF(Tabela1[[#This Row],[STATUS_NEGOCIO]]="Enviar E-mail",1,"")</f>
        <v/>
      </c>
      <c r="U2232" t="str">
        <f>TEXT(Tabela1[[#This Row],[DATA]],"dd/mm/aaaa")</f>
        <v>24/04/2026</v>
      </c>
    </row>
    <row r="2233" spans="1:21" x14ac:dyDescent="0.25">
      <c r="A2233" s="9">
        <v>46136.590740740743</v>
      </c>
      <c r="B2233" t="s">
        <v>19</v>
      </c>
      <c r="C2233" t="s">
        <v>37</v>
      </c>
      <c r="D2233">
        <v>19</v>
      </c>
      <c r="E2233">
        <v>1399122000165</v>
      </c>
      <c r="F2233">
        <v>524</v>
      </c>
      <c r="G2233" s="10">
        <v>177705064035681</v>
      </c>
      <c r="H2233" t="s">
        <v>285</v>
      </c>
      <c r="I2233">
        <v>3003</v>
      </c>
      <c r="J2233" t="s">
        <v>22</v>
      </c>
      <c r="K2233" t="s">
        <v>23</v>
      </c>
      <c r="L2233" t="s">
        <v>31</v>
      </c>
      <c r="M2233" t="s">
        <v>636</v>
      </c>
      <c r="N2233" t="s">
        <v>53</v>
      </c>
      <c r="O2233">
        <v>128</v>
      </c>
      <c r="R2233" s="11">
        <v>8.1018518518518516E-5</v>
      </c>
      <c r="S2233" t="s">
        <v>37</v>
      </c>
      <c r="T2233" t="str">
        <f>IF(Tabela1[[#This Row],[STATUS_NEGOCIO]]="Enviar E-mail",1,"")</f>
        <v/>
      </c>
      <c r="U2233" t="str">
        <f>TEXT(Tabela1[[#This Row],[DATA]],"dd/mm/aaaa")</f>
        <v>24/04/2026</v>
      </c>
    </row>
    <row r="2234" spans="1:21" x14ac:dyDescent="0.25">
      <c r="A2234" s="9">
        <v>46136.590763888889</v>
      </c>
      <c r="B2234" t="s">
        <v>19</v>
      </c>
      <c r="C2234" t="s">
        <v>37</v>
      </c>
      <c r="D2234">
        <v>21</v>
      </c>
      <c r="E2234">
        <v>1485063000148</v>
      </c>
      <c r="F2234">
        <v>525</v>
      </c>
      <c r="G2234" s="10">
        <v>177705064235701</v>
      </c>
      <c r="H2234" t="s">
        <v>230</v>
      </c>
      <c r="I2234">
        <v>3003</v>
      </c>
      <c r="J2234" t="s">
        <v>22</v>
      </c>
      <c r="K2234" t="s">
        <v>23</v>
      </c>
      <c r="L2234" t="s">
        <v>31</v>
      </c>
      <c r="M2234" t="s">
        <v>636</v>
      </c>
      <c r="N2234" t="s">
        <v>53</v>
      </c>
      <c r="O2234">
        <v>131</v>
      </c>
      <c r="R2234" s="11">
        <v>3.4722222222222222E-5</v>
      </c>
      <c r="S2234" t="s">
        <v>37</v>
      </c>
      <c r="T2234" t="str">
        <f>IF(Tabela1[[#This Row],[STATUS_NEGOCIO]]="Enviar E-mail",1,"")</f>
        <v/>
      </c>
      <c r="U2234" t="str">
        <f>TEXT(Tabela1[[#This Row],[DATA]],"dd/mm/aaaa")</f>
        <v>24/04/2026</v>
      </c>
    </row>
    <row r="2235" spans="1:21" x14ac:dyDescent="0.25">
      <c r="A2235" s="9">
        <v>46136.590868055559</v>
      </c>
      <c r="B2235" t="s">
        <v>19</v>
      </c>
      <c r="C2235" t="s">
        <v>37</v>
      </c>
      <c r="D2235">
        <v>22</v>
      </c>
      <c r="E2235">
        <v>1632895000140</v>
      </c>
      <c r="F2235">
        <v>526</v>
      </c>
      <c r="G2235" s="10">
        <v>177705065135721</v>
      </c>
      <c r="H2235" t="s">
        <v>287</v>
      </c>
      <c r="I2235">
        <v>3003</v>
      </c>
      <c r="J2235" t="s">
        <v>22</v>
      </c>
      <c r="K2235" t="s">
        <v>23</v>
      </c>
      <c r="L2235" t="s">
        <v>31</v>
      </c>
      <c r="M2235" t="s">
        <v>636</v>
      </c>
      <c r="N2235" t="s">
        <v>53</v>
      </c>
      <c r="O2235">
        <v>128</v>
      </c>
      <c r="R2235" s="11">
        <v>8.1018518518518516E-5</v>
      </c>
      <c r="S2235" t="s">
        <v>37</v>
      </c>
      <c r="T2235" t="str">
        <f>IF(Tabela1[[#This Row],[STATUS_NEGOCIO]]="Enviar E-mail",1,"")</f>
        <v/>
      </c>
      <c r="U2235" t="str">
        <f>TEXT(Tabela1[[#This Row],[DATA]],"dd/mm/aaaa")</f>
        <v>24/04/2026</v>
      </c>
    </row>
    <row r="2236" spans="1:21" x14ac:dyDescent="0.25">
      <c r="A2236" s="9">
        <v>46136.590891203705</v>
      </c>
      <c r="B2236" t="s">
        <v>19</v>
      </c>
      <c r="C2236" t="s">
        <v>37</v>
      </c>
      <c r="D2236">
        <v>23</v>
      </c>
      <c r="E2236">
        <v>1721269000120</v>
      </c>
      <c r="F2236">
        <v>527</v>
      </c>
      <c r="G2236" s="10">
        <v>177705065335741</v>
      </c>
      <c r="H2236" t="s">
        <v>288</v>
      </c>
      <c r="I2236">
        <v>3003</v>
      </c>
      <c r="J2236" t="s">
        <v>22</v>
      </c>
      <c r="K2236" t="s">
        <v>23</v>
      </c>
      <c r="L2236" t="s">
        <v>31</v>
      </c>
      <c r="M2236" t="s">
        <v>636</v>
      </c>
      <c r="N2236" t="s">
        <v>53</v>
      </c>
      <c r="O2236">
        <v>128</v>
      </c>
      <c r="R2236" s="11">
        <v>8.1018518518518516E-5</v>
      </c>
      <c r="S2236" t="s">
        <v>37</v>
      </c>
      <c r="T2236" t="str">
        <f>IF(Tabela1[[#This Row],[STATUS_NEGOCIO]]="Enviar E-mail",1,"")</f>
        <v/>
      </c>
      <c r="U2236" t="str">
        <f>TEXT(Tabela1[[#This Row],[DATA]],"dd/mm/aaaa")</f>
        <v>24/04/2026</v>
      </c>
    </row>
    <row r="2237" spans="1:21" x14ac:dyDescent="0.25">
      <c r="A2237" s="9">
        <v>46136.590891203705</v>
      </c>
      <c r="B2237" t="s">
        <v>19</v>
      </c>
      <c r="C2237" t="s">
        <v>37</v>
      </c>
      <c r="D2237">
        <v>26</v>
      </c>
      <c r="E2237">
        <v>1879056000120</v>
      </c>
      <c r="F2237">
        <v>528</v>
      </c>
      <c r="G2237" s="10">
        <v>177705065335761</v>
      </c>
      <c r="H2237" t="s">
        <v>633</v>
      </c>
      <c r="I2237">
        <v>3003</v>
      </c>
      <c r="J2237" t="s">
        <v>22</v>
      </c>
      <c r="K2237" t="s">
        <v>23</v>
      </c>
      <c r="L2237" t="s">
        <v>31</v>
      </c>
      <c r="M2237" t="s">
        <v>636</v>
      </c>
      <c r="N2237" t="s">
        <v>53</v>
      </c>
      <c r="O2237">
        <v>128</v>
      </c>
      <c r="R2237" s="11">
        <v>8.1018518518518516E-5</v>
      </c>
      <c r="S2237" t="s">
        <v>37</v>
      </c>
      <c r="T2237" t="str">
        <f>IF(Tabela1[[#This Row],[STATUS_NEGOCIO]]="Enviar E-mail",1,"")</f>
        <v/>
      </c>
      <c r="U2237" t="str">
        <f>TEXT(Tabela1[[#This Row],[DATA]],"dd/mm/aaaa")</f>
        <v>24/04/2026</v>
      </c>
    </row>
    <row r="2238" spans="1:21" x14ac:dyDescent="0.25">
      <c r="A2238" s="9">
        <v>46136.59107638889</v>
      </c>
      <c r="B2238" t="s">
        <v>19</v>
      </c>
      <c r="C2238" t="s">
        <v>37</v>
      </c>
      <c r="D2238">
        <v>27</v>
      </c>
      <c r="E2238">
        <v>1959285000155</v>
      </c>
      <c r="F2238">
        <v>529</v>
      </c>
      <c r="G2238" s="10">
        <v>177705066935821</v>
      </c>
      <c r="H2238" t="s">
        <v>291</v>
      </c>
      <c r="I2238">
        <v>3003</v>
      </c>
      <c r="J2238" t="s">
        <v>22</v>
      </c>
      <c r="K2238" t="s">
        <v>23</v>
      </c>
      <c r="L2238" t="s">
        <v>31</v>
      </c>
      <c r="M2238" t="s">
        <v>636</v>
      </c>
      <c r="N2238" t="s">
        <v>53</v>
      </c>
      <c r="O2238">
        <v>128</v>
      </c>
      <c r="R2238" s="11">
        <v>8.1018518518518516E-5</v>
      </c>
      <c r="S2238" t="s">
        <v>37</v>
      </c>
      <c r="T2238" t="str">
        <f>IF(Tabela1[[#This Row],[STATUS_NEGOCIO]]="Enviar E-mail",1,"")</f>
        <v/>
      </c>
      <c r="U2238" t="str">
        <f>TEXT(Tabela1[[#This Row],[DATA]],"dd/mm/aaaa")</f>
        <v>24/04/2026</v>
      </c>
    </row>
    <row r="2239" spans="1:21" x14ac:dyDescent="0.25">
      <c r="A2239" s="9">
        <v>46136.591192129628</v>
      </c>
      <c r="B2239" t="s">
        <v>19</v>
      </c>
      <c r="C2239" t="s">
        <v>37</v>
      </c>
      <c r="D2239">
        <v>28</v>
      </c>
      <c r="E2239">
        <v>1978794000125</v>
      </c>
      <c r="F2239">
        <v>530</v>
      </c>
      <c r="G2239" s="10">
        <v>177705067935841</v>
      </c>
      <c r="H2239" t="s">
        <v>292</v>
      </c>
      <c r="I2239">
        <v>3003</v>
      </c>
      <c r="J2239" t="s">
        <v>22</v>
      </c>
      <c r="K2239" t="s">
        <v>23</v>
      </c>
      <c r="L2239" t="s">
        <v>31</v>
      </c>
      <c r="M2239" t="s">
        <v>636</v>
      </c>
      <c r="N2239" t="s">
        <v>53</v>
      </c>
      <c r="O2239">
        <v>128</v>
      </c>
      <c r="R2239" s="11">
        <v>8.1018518518518516E-5</v>
      </c>
      <c r="S2239" t="s">
        <v>37</v>
      </c>
      <c r="T2239" t="str">
        <f>IF(Tabela1[[#This Row],[STATUS_NEGOCIO]]="Enviar E-mail",1,"")</f>
        <v/>
      </c>
      <c r="U2239" t="str">
        <f>TEXT(Tabela1[[#This Row],[DATA]],"dd/mm/aaaa")</f>
        <v>24/04/2026</v>
      </c>
    </row>
    <row r="2240" spans="1:21" x14ac:dyDescent="0.25">
      <c r="A2240" s="9">
        <v>46136.591331018521</v>
      </c>
      <c r="B2240" t="s">
        <v>19</v>
      </c>
      <c r="C2240" t="s">
        <v>37</v>
      </c>
      <c r="D2240">
        <v>29</v>
      </c>
      <c r="E2240">
        <v>2047048000180</v>
      </c>
      <c r="F2240">
        <v>531</v>
      </c>
      <c r="G2240" s="10">
        <v>177705069135861</v>
      </c>
      <c r="H2240" t="s">
        <v>171</v>
      </c>
      <c r="I2240" t="s">
        <v>52</v>
      </c>
      <c r="J2240" t="s">
        <v>22</v>
      </c>
      <c r="K2240" t="s">
        <v>36</v>
      </c>
      <c r="L2240" t="s">
        <v>36</v>
      </c>
      <c r="M2240" t="s">
        <v>636</v>
      </c>
      <c r="N2240" t="s">
        <v>53</v>
      </c>
      <c r="O2240">
        <v>34</v>
      </c>
      <c r="R2240" s="11">
        <v>0</v>
      </c>
      <c r="S2240" t="s">
        <v>37</v>
      </c>
      <c r="T2240" t="str">
        <f>IF(Tabela1[[#This Row],[STATUS_NEGOCIO]]="Enviar E-mail",1,"")</f>
        <v/>
      </c>
      <c r="U2240" t="str">
        <f>TEXT(Tabela1[[#This Row],[DATA]],"dd/mm/aaaa")</f>
        <v>24/04/2026</v>
      </c>
    </row>
    <row r="2241" spans="1:21" x14ac:dyDescent="0.25">
      <c r="A2241" s="9">
        <v>46136.591377314813</v>
      </c>
      <c r="B2241" t="s">
        <v>19</v>
      </c>
      <c r="C2241" t="s">
        <v>37</v>
      </c>
      <c r="D2241">
        <v>30</v>
      </c>
      <c r="E2241">
        <v>2055500000156</v>
      </c>
      <c r="F2241">
        <v>532</v>
      </c>
      <c r="G2241" s="10">
        <v>177705069535881</v>
      </c>
      <c r="H2241" t="s">
        <v>293</v>
      </c>
      <c r="I2241">
        <v>3003</v>
      </c>
      <c r="J2241" t="s">
        <v>22</v>
      </c>
      <c r="K2241" t="s">
        <v>23</v>
      </c>
      <c r="L2241" t="s">
        <v>31</v>
      </c>
      <c r="M2241" t="s">
        <v>636</v>
      </c>
      <c r="N2241" t="s">
        <v>53</v>
      </c>
      <c r="O2241">
        <v>128</v>
      </c>
      <c r="R2241" s="11">
        <v>8.1018518518518516E-5</v>
      </c>
      <c r="S2241" t="s">
        <v>37</v>
      </c>
      <c r="T2241" t="str">
        <f>IF(Tabela1[[#This Row],[STATUS_NEGOCIO]]="Enviar E-mail",1,"")</f>
        <v/>
      </c>
      <c r="U2241" t="str">
        <f>TEXT(Tabela1[[#This Row],[DATA]],"dd/mm/aaaa")</f>
        <v>24/04/2026</v>
      </c>
    </row>
    <row r="2242" spans="1:21" x14ac:dyDescent="0.25">
      <c r="A2242" s="9">
        <v>46136.591412037036</v>
      </c>
      <c r="B2242" t="s">
        <v>19</v>
      </c>
      <c r="C2242" t="s">
        <v>37</v>
      </c>
      <c r="D2242">
        <v>31</v>
      </c>
      <c r="E2242">
        <v>2079896000171</v>
      </c>
      <c r="F2242">
        <v>533</v>
      </c>
      <c r="G2242" s="10">
        <v>177705069835891</v>
      </c>
      <c r="H2242" t="s">
        <v>272</v>
      </c>
      <c r="I2242">
        <v>3003</v>
      </c>
      <c r="J2242" t="s">
        <v>22</v>
      </c>
      <c r="K2242" t="s">
        <v>23</v>
      </c>
      <c r="L2242" t="s">
        <v>31</v>
      </c>
      <c r="M2242" t="s">
        <v>636</v>
      </c>
      <c r="N2242" t="s">
        <v>53</v>
      </c>
      <c r="O2242">
        <v>128</v>
      </c>
      <c r="R2242" s="11">
        <v>8.1018518518518516E-5</v>
      </c>
      <c r="S2242" t="s">
        <v>37</v>
      </c>
      <c r="T2242" t="str">
        <f>IF(Tabela1[[#This Row],[STATUS_NEGOCIO]]="Enviar E-mail",1,"")</f>
        <v/>
      </c>
      <c r="U2242" t="str">
        <f>TEXT(Tabela1[[#This Row],[DATA]],"dd/mm/aaaa")</f>
        <v>24/04/2026</v>
      </c>
    </row>
    <row r="2243" spans="1:21" x14ac:dyDescent="0.25">
      <c r="A2243" s="9">
        <v>46136.591574074075</v>
      </c>
      <c r="B2243" t="s">
        <v>19</v>
      </c>
      <c r="C2243" t="s">
        <v>37</v>
      </c>
      <c r="D2243">
        <v>32</v>
      </c>
      <c r="E2243">
        <v>2113776000143</v>
      </c>
      <c r="F2243">
        <v>534</v>
      </c>
      <c r="G2243" s="10">
        <v>177705071235911</v>
      </c>
      <c r="H2243" t="s">
        <v>294</v>
      </c>
      <c r="I2243">
        <v>3003</v>
      </c>
      <c r="J2243" t="s">
        <v>22</v>
      </c>
      <c r="K2243" t="s">
        <v>23</v>
      </c>
      <c r="L2243" t="s">
        <v>31</v>
      </c>
      <c r="M2243" t="s">
        <v>636</v>
      </c>
      <c r="N2243" t="s">
        <v>53</v>
      </c>
      <c r="O2243">
        <v>128</v>
      </c>
      <c r="R2243" s="11">
        <v>8.1018518518518516E-5</v>
      </c>
      <c r="S2243" t="s">
        <v>37</v>
      </c>
      <c r="T2243" t="str">
        <f>IF(Tabela1[[#This Row],[STATUS_NEGOCIO]]="Enviar E-mail",1,"")</f>
        <v/>
      </c>
      <c r="U2243" t="str">
        <f>TEXT(Tabela1[[#This Row],[DATA]],"dd/mm/aaaa")</f>
        <v>24/04/2026</v>
      </c>
    </row>
    <row r="2244" spans="1:21" x14ac:dyDescent="0.25">
      <c r="A2244" s="9">
        <v>46136.59170138889</v>
      </c>
      <c r="B2244" t="s">
        <v>19</v>
      </c>
      <c r="C2244" t="s">
        <v>37</v>
      </c>
      <c r="D2244">
        <v>33</v>
      </c>
      <c r="E2244">
        <v>2148473000166</v>
      </c>
      <c r="F2244">
        <v>535</v>
      </c>
      <c r="G2244" s="10">
        <v>177705072335991</v>
      </c>
      <c r="H2244" t="s">
        <v>283</v>
      </c>
      <c r="I2244">
        <v>3003</v>
      </c>
      <c r="J2244" t="s">
        <v>22</v>
      </c>
      <c r="K2244" t="s">
        <v>23</v>
      </c>
      <c r="L2244" t="s">
        <v>31</v>
      </c>
      <c r="M2244" t="s">
        <v>636</v>
      </c>
      <c r="N2244" t="s">
        <v>53</v>
      </c>
      <c r="O2244">
        <v>131</v>
      </c>
      <c r="R2244" s="11">
        <v>3.4722222222222222E-5</v>
      </c>
      <c r="S2244" t="s">
        <v>37</v>
      </c>
      <c r="T2244" t="str">
        <f>IF(Tabela1[[#This Row],[STATUS_NEGOCIO]]="Enviar E-mail",1,"")</f>
        <v/>
      </c>
      <c r="U2244" t="str">
        <f>TEXT(Tabela1[[#This Row],[DATA]],"dd/mm/aaaa")</f>
        <v>24/04/2026</v>
      </c>
    </row>
    <row r="2245" spans="1:21" x14ac:dyDescent="0.25">
      <c r="A2245" s="9">
        <v>46136.591724537036</v>
      </c>
      <c r="B2245" t="s">
        <v>19</v>
      </c>
      <c r="C2245" t="s">
        <v>37</v>
      </c>
      <c r="D2245">
        <v>34</v>
      </c>
      <c r="E2245">
        <v>2199015000156</v>
      </c>
      <c r="F2245">
        <v>536</v>
      </c>
      <c r="G2245" s="10">
        <v>177705072536021</v>
      </c>
      <c r="H2245" t="s">
        <v>634</v>
      </c>
      <c r="I2245" t="s">
        <v>52</v>
      </c>
      <c r="J2245" t="s">
        <v>22</v>
      </c>
      <c r="K2245" t="s">
        <v>36</v>
      </c>
      <c r="L2245" t="s">
        <v>36</v>
      </c>
      <c r="M2245" t="s">
        <v>636</v>
      </c>
      <c r="N2245" t="s">
        <v>53</v>
      </c>
      <c r="O2245">
        <v>19</v>
      </c>
      <c r="R2245" s="11">
        <v>0</v>
      </c>
      <c r="S2245" t="s">
        <v>37</v>
      </c>
      <c r="T2245" t="str">
        <f>IF(Tabela1[[#This Row],[STATUS_NEGOCIO]]="Enviar E-mail",1,"")</f>
        <v/>
      </c>
      <c r="U2245" t="str">
        <f>TEXT(Tabela1[[#This Row],[DATA]],"dd/mm/aaaa")</f>
        <v>24/04/2026</v>
      </c>
    </row>
    <row r="2246" spans="1:21" x14ac:dyDescent="0.25">
      <c r="A2246" s="9">
        <v>46136.591736111113</v>
      </c>
      <c r="B2246" t="s">
        <v>19</v>
      </c>
      <c r="C2246" t="s">
        <v>37</v>
      </c>
      <c r="D2246">
        <v>35</v>
      </c>
      <c r="E2246">
        <v>2326459000105</v>
      </c>
      <c r="F2246">
        <v>537</v>
      </c>
      <c r="G2246" s="10">
        <v>177705072636031</v>
      </c>
      <c r="H2246" t="s">
        <v>295</v>
      </c>
      <c r="I2246" t="s">
        <v>52</v>
      </c>
      <c r="J2246" t="s">
        <v>22</v>
      </c>
      <c r="K2246" t="s">
        <v>36</v>
      </c>
      <c r="L2246" t="s">
        <v>36</v>
      </c>
      <c r="M2246" t="s">
        <v>636</v>
      </c>
      <c r="N2246" t="s">
        <v>53</v>
      </c>
      <c r="O2246">
        <v>19</v>
      </c>
      <c r="R2246" s="11">
        <v>0</v>
      </c>
      <c r="S2246" t="s">
        <v>37</v>
      </c>
      <c r="T2246" t="str">
        <f>IF(Tabela1[[#This Row],[STATUS_NEGOCIO]]="Enviar E-mail",1,"")</f>
        <v/>
      </c>
      <c r="U2246" t="str">
        <f>TEXT(Tabela1[[#This Row],[DATA]],"dd/mm/aaaa")</f>
        <v>24/04/2026</v>
      </c>
    </row>
    <row r="2247" spans="1:21" x14ac:dyDescent="0.25">
      <c r="A2247" s="9">
        <v>46136.59175925926</v>
      </c>
      <c r="B2247" t="s">
        <v>19</v>
      </c>
      <c r="C2247" t="s">
        <v>37</v>
      </c>
      <c r="D2247">
        <v>36</v>
      </c>
      <c r="E2247">
        <v>2427859000107</v>
      </c>
      <c r="F2247">
        <v>538</v>
      </c>
      <c r="G2247" s="10">
        <v>177705072836051</v>
      </c>
      <c r="H2247" t="s">
        <v>296</v>
      </c>
      <c r="I2247">
        <v>3003</v>
      </c>
      <c r="J2247" t="s">
        <v>22</v>
      </c>
      <c r="K2247" t="s">
        <v>23</v>
      </c>
      <c r="L2247" t="s">
        <v>31</v>
      </c>
      <c r="M2247" t="s">
        <v>636</v>
      </c>
      <c r="N2247" t="s">
        <v>53</v>
      </c>
      <c r="O2247">
        <v>128</v>
      </c>
      <c r="R2247" s="11">
        <v>8.1018518518518516E-5</v>
      </c>
      <c r="S2247" t="s">
        <v>37</v>
      </c>
      <c r="T2247" t="str">
        <f>IF(Tabela1[[#This Row],[STATUS_NEGOCIO]]="Enviar E-mail",1,"")</f>
        <v/>
      </c>
      <c r="U2247" t="str">
        <f>TEXT(Tabela1[[#This Row],[DATA]],"dd/mm/aaaa")</f>
        <v>24/04/2026</v>
      </c>
    </row>
    <row r="2248" spans="1:21" x14ac:dyDescent="0.25">
      <c r="A2248" s="9">
        <v>46136.591932870368</v>
      </c>
      <c r="B2248" t="s">
        <v>19</v>
      </c>
      <c r="C2248" t="s">
        <v>37</v>
      </c>
      <c r="D2248">
        <v>37</v>
      </c>
      <c r="E2248">
        <v>2464189000107</v>
      </c>
      <c r="F2248">
        <v>539</v>
      </c>
      <c r="G2248" s="10">
        <v>177705074336071</v>
      </c>
      <c r="H2248" t="s">
        <v>297</v>
      </c>
      <c r="I2248">
        <v>3003</v>
      </c>
      <c r="J2248" t="s">
        <v>22</v>
      </c>
      <c r="K2248" t="s">
        <v>23</v>
      </c>
      <c r="L2248" t="s">
        <v>31</v>
      </c>
      <c r="M2248" t="s">
        <v>636</v>
      </c>
      <c r="N2248" t="s">
        <v>53</v>
      </c>
      <c r="O2248">
        <v>128</v>
      </c>
      <c r="R2248" s="11">
        <v>8.1018518518518516E-5</v>
      </c>
      <c r="S2248" t="s">
        <v>37</v>
      </c>
      <c r="T2248" t="str">
        <f>IF(Tabela1[[#This Row],[STATUS_NEGOCIO]]="Enviar E-mail",1,"")</f>
        <v/>
      </c>
      <c r="U2248" t="str">
        <f>TEXT(Tabela1[[#This Row],[DATA]],"dd/mm/aaaa")</f>
        <v>24/04/2026</v>
      </c>
    </row>
    <row r="2249" spans="1:21" x14ac:dyDescent="0.25">
      <c r="A2249" s="9">
        <v>46136.592037037037</v>
      </c>
      <c r="B2249" t="s">
        <v>19</v>
      </c>
      <c r="C2249" t="s">
        <v>37</v>
      </c>
      <c r="D2249">
        <v>39</v>
      </c>
      <c r="E2249">
        <v>2510074000101</v>
      </c>
      <c r="F2249">
        <v>540</v>
      </c>
      <c r="G2249" s="10">
        <v>177705075236091</v>
      </c>
      <c r="H2249" t="s">
        <v>299</v>
      </c>
      <c r="I2249">
        <v>3003</v>
      </c>
      <c r="J2249" t="s">
        <v>22</v>
      </c>
      <c r="K2249" t="s">
        <v>23</v>
      </c>
      <c r="L2249" t="s">
        <v>31</v>
      </c>
      <c r="M2249" t="s">
        <v>636</v>
      </c>
      <c r="N2249" t="s">
        <v>53</v>
      </c>
      <c r="O2249">
        <v>128</v>
      </c>
      <c r="R2249" s="11">
        <v>8.1018518518518516E-5</v>
      </c>
      <c r="S2249" t="s">
        <v>37</v>
      </c>
      <c r="T2249" t="str">
        <f>IF(Tabela1[[#This Row],[STATUS_NEGOCIO]]="Enviar E-mail",1,"")</f>
        <v/>
      </c>
      <c r="U2249" t="str">
        <f>TEXT(Tabela1[[#This Row],[DATA]],"dd/mm/aaaa")</f>
        <v>24/04/2026</v>
      </c>
    </row>
    <row r="2250" spans="1:21" x14ac:dyDescent="0.25">
      <c r="A2250" s="9">
        <v>46136.592291666668</v>
      </c>
      <c r="B2250" t="s">
        <v>19</v>
      </c>
      <c r="C2250" t="s">
        <v>37</v>
      </c>
      <c r="D2250">
        <v>40</v>
      </c>
      <c r="E2250">
        <v>2604580000151</v>
      </c>
      <c r="F2250">
        <v>541</v>
      </c>
      <c r="G2250" s="10">
        <v>177705077436161</v>
      </c>
      <c r="H2250" t="s">
        <v>300</v>
      </c>
      <c r="I2250" t="s">
        <v>52</v>
      </c>
      <c r="J2250" t="s">
        <v>22</v>
      </c>
      <c r="K2250" t="s">
        <v>36</v>
      </c>
      <c r="L2250" t="s">
        <v>36</v>
      </c>
      <c r="M2250" t="s">
        <v>636</v>
      </c>
      <c r="N2250" t="s">
        <v>53</v>
      </c>
      <c r="O2250">
        <v>19</v>
      </c>
      <c r="R2250" s="11">
        <v>0</v>
      </c>
      <c r="S2250" t="s">
        <v>37</v>
      </c>
      <c r="T2250" t="str">
        <f>IF(Tabela1[[#This Row],[STATUS_NEGOCIO]]="Enviar E-mail",1,"")</f>
        <v/>
      </c>
      <c r="U2250" t="str">
        <f>TEXT(Tabela1[[#This Row],[DATA]],"dd/mm/aaaa")</f>
        <v>24/04/2026</v>
      </c>
    </row>
    <row r="2251" spans="1:21" x14ac:dyDescent="0.25">
      <c r="A2251" s="9">
        <v>46136.592430555553</v>
      </c>
      <c r="B2251" t="s">
        <v>19</v>
      </c>
      <c r="C2251" t="s">
        <v>37</v>
      </c>
      <c r="D2251">
        <v>41</v>
      </c>
      <c r="E2251">
        <v>2605792000153</v>
      </c>
      <c r="F2251">
        <v>542</v>
      </c>
      <c r="G2251" s="10">
        <v>177705078636171</v>
      </c>
      <c r="H2251" t="s">
        <v>183</v>
      </c>
      <c r="I2251">
        <v>3003</v>
      </c>
      <c r="J2251" t="s">
        <v>22</v>
      </c>
      <c r="K2251" t="s">
        <v>23</v>
      </c>
      <c r="L2251" t="s">
        <v>31</v>
      </c>
      <c r="M2251" t="s">
        <v>636</v>
      </c>
      <c r="N2251" t="s">
        <v>53</v>
      </c>
      <c r="O2251">
        <v>128</v>
      </c>
      <c r="R2251" s="11">
        <v>6.9444444444444444E-5</v>
      </c>
      <c r="S2251" t="s">
        <v>37</v>
      </c>
      <c r="T2251" t="str">
        <f>IF(Tabela1[[#This Row],[STATUS_NEGOCIO]]="Enviar E-mail",1,"")</f>
        <v/>
      </c>
      <c r="U2251" t="str">
        <f>TEXT(Tabela1[[#This Row],[DATA]],"dd/mm/aaaa")</f>
        <v>24/04/2026</v>
      </c>
    </row>
    <row r="2252" spans="1:21" x14ac:dyDescent="0.25">
      <c r="A2252" s="9">
        <v>46136.592453703706</v>
      </c>
      <c r="B2252" t="s">
        <v>19</v>
      </c>
      <c r="C2252" t="s">
        <v>37</v>
      </c>
      <c r="D2252">
        <v>42</v>
      </c>
      <c r="E2252">
        <v>2746258000167</v>
      </c>
      <c r="F2252">
        <v>543</v>
      </c>
      <c r="G2252" s="10">
        <v>177705078836191</v>
      </c>
      <c r="H2252" t="s">
        <v>138</v>
      </c>
      <c r="I2252">
        <v>3003</v>
      </c>
      <c r="J2252" t="s">
        <v>22</v>
      </c>
      <c r="K2252" t="s">
        <v>23</v>
      </c>
      <c r="L2252" t="s">
        <v>31</v>
      </c>
      <c r="M2252" t="s">
        <v>636</v>
      </c>
      <c r="N2252" t="s">
        <v>53</v>
      </c>
      <c r="O2252">
        <v>131</v>
      </c>
      <c r="R2252" s="11">
        <v>0</v>
      </c>
      <c r="S2252" t="s">
        <v>37</v>
      </c>
      <c r="T2252" t="str">
        <f>IF(Tabela1[[#This Row],[STATUS_NEGOCIO]]="Enviar E-mail",1,"")</f>
        <v/>
      </c>
      <c r="U2252" t="str">
        <f>TEXT(Tabela1[[#This Row],[DATA]],"dd/mm/aaaa")</f>
        <v>24/04/2026</v>
      </c>
    </row>
    <row r="2253" spans="1:21" x14ac:dyDescent="0.25">
      <c r="A2253" s="9">
        <v>46136.592499999999</v>
      </c>
      <c r="B2253" t="s">
        <v>19</v>
      </c>
      <c r="C2253" t="s">
        <v>37</v>
      </c>
      <c r="D2253">
        <v>43</v>
      </c>
      <c r="E2253">
        <v>2755969000106</v>
      </c>
      <c r="F2253">
        <v>544</v>
      </c>
      <c r="G2253" s="10">
        <v>177705079236211</v>
      </c>
      <c r="H2253" t="s">
        <v>207</v>
      </c>
      <c r="I2253">
        <v>3003</v>
      </c>
      <c r="J2253" t="s">
        <v>22</v>
      </c>
      <c r="K2253" t="s">
        <v>23</v>
      </c>
      <c r="L2253" t="s">
        <v>31</v>
      </c>
      <c r="M2253" t="s">
        <v>636</v>
      </c>
      <c r="N2253" t="s">
        <v>53</v>
      </c>
      <c r="O2253">
        <v>128</v>
      </c>
      <c r="R2253" s="11">
        <v>8.1018518518518516E-5</v>
      </c>
      <c r="S2253" t="s">
        <v>37</v>
      </c>
      <c r="T2253" t="str">
        <f>IF(Tabela1[[#This Row],[STATUS_NEGOCIO]]="Enviar E-mail",1,"")</f>
        <v/>
      </c>
      <c r="U2253" t="str">
        <f>TEXT(Tabela1[[#This Row],[DATA]],"dd/mm/aaaa")</f>
        <v>24/04/2026</v>
      </c>
    </row>
    <row r="2254" spans="1:21" x14ac:dyDescent="0.25">
      <c r="A2254" s="9">
        <v>46136.592615740738</v>
      </c>
      <c r="B2254" t="s">
        <v>19</v>
      </c>
      <c r="C2254" t="s">
        <v>37</v>
      </c>
      <c r="D2254">
        <v>44</v>
      </c>
      <c r="E2254">
        <v>2823246000199</v>
      </c>
      <c r="F2254">
        <v>545</v>
      </c>
      <c r="G2254" s="10">
        <v>177705080236231</v>
      </c>
      <c r="H2254" t="s">
        <v>301</v>
      </c>
      <c r="I2254">
        <v>3003</v>
      </c>
      <c r="J2254" t="s">
        <v>22</v>
      </c>
      <c r="K2254" t="s">
        <v>23</v>
      </c>
      <c r="L2254" t="s">
        <v>31</v>
      </c>
      <c r="M2254" t="s">
        <v>636</v>
      </c>
      <c r="N2254" t="s">
        <v>53</v>
      </c>
      <c r="O2254">
        <v>128</v>
      </c>
      <c r="R2254" s="11">
        <v>8.1018518518518516E-5</v>
      </c>
      <c r="S2254" t="s">
        <v>37</v>
      </c>
      <c r="T2254" t="str">
        <f>IF(Tabela1[[#This Row],[STATUS_NEGOCIO]]="Enviar E-mail",1,"")</f>
        <v/>
      </c>
      <c r="U2254" t="str">
        <f>TEXT(Tabela1[[#This Row],[DATA]],"dd/mm/aaaa")</f>
        <v>24/04/2026</v>
      </c>
    </row>
    <row r="2255" spans="1:21" x14ac:dyDescent="0.25">
      <c r="A2255" s="9">
        <v>46136.592685185184</v>
      </c>
      <c r="B2255" t="s">
        <v>19</v>
      </c>
      <c r="C2255" t="s">
        <v>37</v>
      </c>
      <c r="D2255">
        <v>45</v>
      </c>
      <c r="E2255">
        <v>2918682000141</v>
      </c>
      <c r="F2255">
        <v>546</v>
      </c>
      <c r="G2255" s="10">
        <v>177705080836251</v>
      </c>
      <c r="H2255" t="s">
        <v>277</v>
      </c>
      <c r="I2255">
        <v>3003</v>
      </c>
      <c r="J2255" t="s">
        <v>22</v>
      </c>
      <c r="K2255" t="s">
        <v>23</v>
      </c>
      <c r="L2255" t="s">
        <v>31</v>
      </c>
      <c r="M2255" t="s">
        <v>636</v>
      </c>
      <c r="N2255" t="s">
        <v>53</v>
      </c>
      <c r="O2255">
        <v>128</v>
      </c>
      <c r="R2255" s="11">
        <v>8.1018518518518516E-5</v>
      </c>
      <c r="S2255" t="s">
        <v>37</v>
      </c>
      <c r="T2255" t="str">
        <f>IF(Tabela1[[#This Row],[STATUS_NEGOCIO]]="Enviar E-mail",1,"")</f>
        <v/>
      </c>
      <c r="U2255" t="str">
        <f>TEXT(Tabela1[[#This Row],[DATA]],"dd/mm/aaaa")</f>
        <v>24/04/2026</v>
      </c>
    </row>
    <row r="2256" spans="1:21" x14ac:dyDescent="0.25">
      <c r="A2256" s="9">
        <v>46136.59275462963</v>
      </c>
      <c r="B2256" t="s">
        <v>19</v>
      </c>
      <c r="C2256" t="s">
        <v>37</v>
      </c>
      <c r="D2256">
        <v>46</v>
      </c>
      <c r="E2256">
        <v>2961614000165</v>
      </c>
      <c r="F2256">
        <v>547</v>
      </c>
      <c r="G2256" s="10">
        <v>177705081436311</v>
      </c>
      <c r="H2256" t="s">
        <v>192</v>
      </c>
      <c r="I2256" t="s">
        <v>52</v>
      </c>
      <c r="J2256" t="s">
        <v>22</v>
      </c>
      <c r="K2256" t="s">
        <v>36</v>
      </c>
      <c r="L2256" t="s">
        <v>36</v>
      </c>
      <c r="M2256" t="s">
        <v>636</v>
      </c>
      <c r="N2256" t="s">
        <v>53</v>
      </c>
      <c r="O2256">
        <v>19</v>
      </c>
      <c r="R2256" s="11">
        <v>0</v>
      </c>
      <c r="S2256" t="s">
        <v>37</v>
      </c>
      <c r="T2256" t="str">
        <f>IF(Tabela1[[#This Row],[STATUS_NEGOCIO]]="Enviar E-mail",1,"")</f>
        <v/>
      </c>
      <c r="U2256" t="str">
        <f>TEXT(Tabela1[[#This Row],[DATA]],"dd/mm/aaaa")</f>
        <v>24/04/2026</v>
      </c>
    </row>
    <row r="2257" spans="1:21" x14ac:dyDescent="0.25">
      <c r="A2257" s="9">
        <v>46136.592847222222</v>
      </c>
      <c r="B2257" t="s">
        <v>19</v>
      </c>
      <c r="C2257" t="s">
        <v>37</v>
      </c>
      <c r="D2257">
        <v>47</v>
      </c>
      <c r="E2257">
        <v>3063053000140</v>
      </c>
      <c r="F2257">
        <v>548</v>
      </c>
      <c r="G2257" s="10">
        <v>177705082236331</v>
      </c>
      <c r="H2257" t="s">
        <v>302</v>
      </c>
      <c r="I2257">
        <v>3003</v>
      </c>
      <c r="J2257" t="s">
        <v>22</v>
      </c>
      <c r="K2257" t="s">
        <v>23</v>
      </c>
      <c r="L2257" t="s">
        <v>31</v>
      </c>
      <c r="M2257" t="s">
        <v>636</v>
      </c>
      <c r="N2257" t="s">
        <v>53</v>
      </c>
      <c r="O2257">
        <v>128</v>
      </c>
      <c r="R2257" s="11">
        <v>6.9444444444444444E-5</v>
      </c>
      <c r="S2257" t="s">
        <v>37</v>
      </c>
      <c r="T2257" t="str">
        <f>IF(Tabela1[[#This Row],[STATUS_NEGOCIO]]="Enviar E-mail",1,"")</f>
        <v/>
      </c>
      <c r="U2257" t="str">
        <f>TEXT(Tabela1[[#This Row],[DATA]],"dd/mm/aaaa")</f>
        <v>24/04/2026</v>
      </c>
    </row>
    <row r="2258" spans="1:21" x14ac:dyDescent="0.25">
      <c r="A2258" s="9">
        <v>46136.592870370368</v>
      </c>
      <c r="B2258" t="s">
        <v>19</v>
      </c>
      <c r="C2258" t="s">
        <v>37</v>
      </c>
      <c r="D2258">
        <v>48</v>
      </c>
      <c r="E2258">
        <v>3081396000137</v>
      </c>
      <c r="F2258">
        <v>549</v>
      </c>
      <c r="G2258" s="10">
        <v>177705082436341</v>
      </c>
      <c r="H2258" t="s">
        <v>635</v>
      </c>
      <c r="I2258">
        <v>3003</v>
      </c>
      <c r="J2258" t="s">
        <v>22</v>
      </c>
      <c r="K2258" t="s">
        <v>23</v>
      </c>
      <c r="L2258" t="s">
        <v>31</v>
      </c>
      <c r="M2258" t="s">
        <v>636</v>
      </c>
      <c r="N2258" t="s">
        <v>53</v>
      </c>
      <c r="O2258">
        <v>128</v>
      </c>
      <c r="R2258" s="11">
        <v>8.1018518518518516E-5</v>
      </c>
      <c r="S2258" t="s">
        <v>37</v>
      </c>
      <c r="T2258" t="str">
        <f>IF(Tabela1[[#This Row],[STATUS_NEGOCIO]]="Enviar E-mail",1,"")</f>
        <v/>
      </c>
      <c r="U2258" t="str">
        <f>TEXT(Tabela1[[#This Row],[DATA]],"dd/mm/aaaa")</f>
        <v>24/04/2026</v>
      </c>
    </row>
    <row r="2259" spans="1:21" x14ac:dyDescent="0.25">
      <c r="A2259" s="9">
        <v>46136.593113425923</v>
      </c>
      <c r="B2259" t="s">
        <v>19</v>
      </c>
      <c r="C2259" t="s">
        <v>37</v>
      </c>
      <c r="D2259">
        <v>49</v>
      </c>
      <c r="E2259">
        <v>3130917000107</v>
      </c>
      <c r="F2259">
        <v>550</v>
      </c>
      <c r="G2259" s="10">
        <v>177705084536361</v>
      </c>
      <c r="H2259" t="s">
        <v>303</v>
      </c>
      <c r="I2259">
        <v>3003</v>
      </c>
      <c r="J2259" t="s">
        <v>22</v>
      </c>
      <c r="K2259" t="s">
        <v>23</v>
      </c>
      <c r="L2259" t="s">
        <v>31</v>
      </c>
      <c r="M2259" t="s">
        <v>636</v>
      </c>
      <c r="N2259" t="s">
        <v>53</v>
      </c>
      <c r="O2259">
        <v>128</v>
      </c>
      <c r="R2259" s="11">
        <v>8.1018518518518516E-5</v>
      </c>
      <c r="S2259" t="s">
        <v>37</v>
      </c>
      <c r="T2259" t="str">
        <f>IF(Tabela1[[#This Row],[STATUS_NEGOCIO]]="Enviar E-mail",1,"")</f>
        <v/>
      </c>
      <c r="U2259" t="str">
        <f>TEXT(Tabela1[[#This Row],[DATA]],"dd/mm/aaaa")</f>
        <v>24/04/2026</v>
      </c>
    </row>
    <row r="2260" spans="1:21" x14ac:dyDescent="0.25">
      <c r="A2260" s="9">
        <v>46136.593148148146</v>
      </c>
      <c r="B2260" t="s">
        <v>19</v>
      </c>
      <c r="C2260" t="s">
        <v>37</v>
      </c>
      <c r="D2260">
        <v>50</v>
      </c>
      <c r="E2260">
        <v>3135802000105</v>
      </c>
      <c r="F2260">
        <v>551</v>
      </c>
      <c r="G2260" s="10">
        <v>177705084836381</v>
      </c>
      <c r="H2260" t="s">
        <v>304</v>
      </c>
      <c r="I2260">
        <v>3003</v>
      </c>
      <c r="J2260" t="s">
        <v>22</v>
      </c>
      <c r="K2260" t="s">
        <v>23</v>
      </c>
      <c r="L2260" t="s">
        <v>31</v>
      </c>
      <c r="M2260" t="s">
        <v>636</v>
      </c>
      <c r="N2260" t="s">
        <v>53</v>
      </c>
      <c r="O2260">
        <v>131</v>
      </c>
      <c r="R2260" s="11">
        <v>3.4722222222222222E-5</v>
      </c>
      <c r="S2260" t="s">
        <v>37</v>
      </c>
      <c r="T2260" t="str">
        <f>IF(Tabela1[[#This Row],[STATUS_NEGOCIO]]="Enviar E-mail",1,"")</f>
        <v/>
      </c>
      <c r="U2260" t="str">
        <f>TEXT(Tabela1[[#This Row],[DATA]],"dd/mm/aaaa")</f>
        <v>24/04/2026</v>
      </c>
    </row>
    <row r="2261" spans="1:21" x14ac:dyDescent="0.25">
      <c r="A2261" s="9">
        <v>46136.593298611115</v>
      </c>
      <c r="B2261" t="s">
        <v>19</v>
      </c>
      <c r="C2261" t="s">
        <v>37</v>
      </c>
      <c r="D2261">
        <v>51</v>
      </c>
      <c r="E2261">
        <v>3276131000194</v>
      </c>
      <c r="F2261">
        <v>552</v>
      </c>
      <c r="G2261" s="10">
        <v>177705086136401</v>
      </c>
      <c r="H2261" t="s">
        <v>210</v>
      </c>
      <c r="I2261">
        <v>3003</v>
      </c>
      <c r="J2261" t="s">
        <v>22</v>
      </c>
      <c r="K2261" t="s">
        <v>23</v>
      </c>
      <c r="L2261" t="s">
        <v>31</v>
      </c>
      <c r="M2261" t="s">
        <v>636</v>
      </c>
      <c r="N2261" t="s">
        <v>53</v>
      </c>
      <c r="O2261">
        <v>128</v>
      </c>
      <c r="R2261" s="11">
        <v>8.1018518518518516E-5</v>
      </c>
      <c r="S2261" t="s">
        <v>37</v>
      </c>
      <c r="T2261" t="str">
        <f>IF(Tabela1[[#This Row],[STATUS_NEGOCIO]]="Enviar E-mail",1,"")</f>
        <v/>
      </c>
      <c r="U2261" t="str">
        <f>TEXT(Tabela1[[#This Row],[DATA]],"dd/mm/aaaa")</f>
        <v>24/04/2026</v>
      </c>
    </row>
    <row r="2262" spans="1:21" x14ac:dyDescent="0.25">
      <c r="A2262" s="9">
        <v>46136.593310185184</v>
      </c>
      <c r="B2262" t="s">
        <v>19</v>
      </c>
      <c r="C2262" t="s">
        <v>37</v>
      </c>
      <c r="D2262">
        <v>52</v>
      </c>
      <c r="E2262">
        <v>3311811000100</v>
      </c>
      <c r="F2262">
        <v>553</v>
      </c>
      <c r="G2262" s="10">
        <v>177705086236411</v>
      </c>
      <c r="H2262" t="s">
        <v>305</v>
      </c>
      <c r="I2262">
        <v>3003</v>
      </c>
      <c r="J2262" t="s">
        <v>22</v>
      </c>
      <c r="K2262" t="s">
        <v>23</v>
      </c>
      <c r="L2262" t="s">
        <v>31</v>
      </c>
      <c r="M2262" t="s">
        <v>636</v>
      </c>
      <c r="N2262" t="s">
        <v>53</v>
      </c>
      <c r="O2262">
        <v>128</v>
      </c>
      <c r="R2262" s="11">
        <v>6.9444444444444444E-5</v>
      </c>
      <c r="S2262" t="s">
        <v>37</v>
      </c>
      <c r="T2262" t="str">
        <f>IF(Tabela1[[#This Row],[STATUS_NEGOCIO]]="Enviar E-mail",1,"")</f>
        <v/>
      </c>
      <c r="U2262" t="str">
        <f>TEXT(Tabela1[[#This Row],[DATA]],"dd/mm/aaaa")</f>
        <v>24/04/2026</v>
      </c>
    </row>
    <row r="2263" spans="1:21" x14ac:dyDescent="0.25">
      <c r="A2263" s="9">
        <v>46136.59337962963</v>
      </c>
      <c r="B2263" t="s">
        <v>19</v>
      </c>
      <c r="C2263" t="s">
        <v>37</v>
      </c>
      <c r="D2263">
        <v>53</v>
      </c>
      <c r="E2263">
        <v>3463826000185</v>
      </c>
      <c r="F2263">
        <v>554</v>
      </c>
      <c r="G2263" s="10">
        <v>177705086836431</v>
      </c>
      <c r="H2263" t="s">
        <v>306</v>
      </c>
      <c r="I2263">
        <v>3003</v>
      </c>
      <c r="J2263" t="s">
        <v>22</v>
      </c>
      <c r="K2263" t="s">
        <v>23</v>
      </c>
      <c r="L2263" t="s">
        <v>31</v>
      </c>
      <c r="M2263" t="s">
        <v>636</v>
      </c>
      <c r="N2263" t="s">
        <v>53</v>
      </c>
      <c r="O2263">
        <v>128</v>
      </c>
      <c r="R2263" s="11">
        <v>8.1018518518518516E-5</v>
      </c>
      <c r="S2263" t="s">
        <v>37</v>
      </c>
      <c r="T2263" t="str">
        <f>IF(Tabela1[[#This Row],[STATUS_NEGOCIO]]="Enviar E-mail",1,"")</f>
        <v/>
      </c>
      <c r="U2263" t="str">
        <f>TEXT(Tabela1[[#This Row],[DATA]],"dd/mm/aaaa")</f>
        <v>24/04/2026</v>
      </c>
    </row>
    <row r="2264" spans="1:21" x14ac:dyDescent="0.25">
      <c r="A2264" s="9">
        <v>46136.593402777777</v>
      </c>
      <c r="B2264" t="s">
        <v>19</v>
      </c>
      <c r="C2264" t="s">
        <v>37</v>
      </c>
      <c r="D2264">
        <v>54</v>
      </c>
      <c r="E2264">
        <v>3478949000190</v>
      </c>
      <c r="F2264">
        <v>555</v>
      </c>
      <c r="G2264" s="10">
        <v>177705087036451</v>
      </c>
      <c r="H2264" t="s">
        <v>307</v>
      </c>
      <c r="I2264">
        <v>3003</v>
      </c>
      <c r="J2264" t="s">
        <v>22</v>
      </c>
      <c r="K2264" t="s">
        <v>23</v>
      </c>
      <c r="L2264" t="s">
        <v>31</v>
      </c>
      <c r="M2264" t="s">
        <v>636</v>
      </c>
      <c r="N2264" t="s">
        <v>53</v>
      </c>
      <c r="O2264">
        <v>128</v>
      </c>
      <c r="R2264" s="11">
        <v>8.1018518518518516E-5</v>
      </c>
      <c r="S2264" t="s">
        <v>37</v>
      </c>
      <c r="T2264" t="str">
        <f>IF(Tabela1[[#This Row],[STATUS_NEGOCIO]]="Enviar E-mail",1,"")</f>
        <v/>
      </c>
      <c r="U2264" t="str">
        <f>TEXT(Tabela1[[#This Row],[DATA]],"dd/mm/aaaa")</f>
        <v>24/04/2026</v>
      </c>
    </row>
    <row r="2265" spans="1:21" x14ac:dyDescent="0.25">
      <c r="A2265" s="9">
        <v>46136.593425925923</v>
      </c>
      <c r="B2265" t="s">
        <v>19</v>
      </c>
      <c r="C2265" t="s">
        <v>37</v>
      </c>
      <c r="D2265">
        <v>55</v>
      </c>
      <c r="E2265">
        <v>3488597000153</v>
      </c>
      <c r="F2265">
        <v>556</v>
      </c>
      <c r="G2265" s="10">
        <v>177705087236471</v>
      </c>
      <c r="H2265" t="s">
        <v>308</v>
      </c>
      <c r="I2265">
        <v>3003</v>
      </c>
      <c r="J2265" t="s">
        <v>22</v>
      </c>
      <c r="K2265" t="s">
        <v>23</v>
      </c>
      <c r="L2265" t="s">
        <v>31</v>
      </c>
      <c r="M2265" t="s">
        <v>636</v>
      </c>
      <c r="N2265" t="s">
        <v>53</v>
      </c>
      <c r="O2265">
        <v>128</v>
      </c>
      <c r="R2265" s="11">
        <v>8.1018518518518516E-5</v>
      </c>
      <c r="S2265" t="s">
        <v>37</v>
      </c>
      <c r="T2265" t="str">
        <f>IF(Tabela1[[#This Row],[STATUS_NEGOCIO]]="Enviar E-mail",1,"")</f>
        <v/>
      </c>
      <c r="U2265" t="str">
        <f>TEXT(Tabela1[[#This Row],[DATA]],"dd/mm/aaaa")</f>
        <v>24/04/2026</v>
      </c>
    </row>
    <row r="2266" spans="1:21" x14ac:dyDescent="0.25">
      <c r="A2266" s="9">
        <v>46136.593541666669</v>
      </c>
      <c r="B2266" t="s">
        <v>19</v>
      </c>
      <c r="C2266" t="s">
        <v>37</v>
      </c>
      <c r="D2266">
        <v>59</v>
      </c>
      <c r="E2266">
        <v>3904574000182</v>
      </c>
      <c r="F2266">
        <v>557</v>
      </c>
      <c r="G2266" s="10">
        <v>177705088236531</v>
      </c>
      <c r="H2266" t="s">
        <v>312</v>
      </c>
      <c r="I2266">
        <v>3003</v>
      </c>
      <c r="J2266" t="s">
        <v>22</v>
      </c>
      <c r="K2266" t="s">
        <v>23</v>
      </c>
      <c r="L2266" t="s">
        <v>31</v>
      </c>
      <c r="M2266" t="s">
        <v>636</v>
      </c>
      <c r="N2266" t="s">
        <v>53</v>
      </c>
      <c r="O2266">
        <v>128</v>
      </c>
      <c r="R2266" s="11">
        <v>8.1018518518518516E-5</v>
      </c>
      <c r="S2266" t="s">
        <v>37</v>
      </c>
      <c r="T2266" t="str">
        <f>IF(Tabela1[[#This Row],[STATUS_NEGOCIO]]="Enviar E-mail",1,"")</f>
        <v/>
      </c>
      <c r="U2266" t="str">
        <f>TEXT(Tabela1[[#This Row],[DATA]],"dd/mm/aaaa")</f>
        <v>24/04/2026</v>
      </c>
    </row>
    <row r="2267" spans="1:21" x14ac:dyDescent="0.25">
      <c r="A2267" s="9">
        <v>46136.593738425923</v>
      </c>
      <c r="B2267" t="s">
        <v>19</v>
      </c>
      <c r="C2267" t="s">
        <v>37</v>
      </c>
      <c r="D2267">
        <v>60</v>
      </c>
      <c r="E2267">
        <v>3954733000153</v>
      </c>
      <c r="F2267">
        <v>558</v>
      </c>
      <c r="G2267" s="10">
        <v>177705089936551</v>
      </c>
      <c r="H2267" t="s">
        <v>313</v>
      </c>
      <c r="I2267">
        <v>3003</v>
      </c>
      <c r="J2267" t="s">
        <v>22</v>
      </c>
      <c r="K2267" t="s">
        <v>23</v>
      </c>
      <c r="L2267" t="s">
        <v>31</v>
      </c>
      <c r="M2267" t="s">
        <v>636</v>
      </c>
      <c r="N2267" t="s">
        <v>53</v>
      </c>
      <c r="O2267">
        <v>128</v>
      </c>
      <c r="R2267" s="11">
        <v>8.1018518518518516E-5</v>
      </c>
      <c r="S2267" t="s">
        <v>37</v>
      </c>
      <c r="T2267" t="str">
        <f>IF(Tabela1[[#This Row],[STATUS_NEGOCIO]]="Enviar E-mail",1,"")</f>
        <v/>
      </c>
      <c r="U2267" t="str">
        <f>TEXT(Tabela1[[#This Row],[DATA]],"dd/mm/aaaa")</f>
        <v>24/04/2026</v>
      </c>
    </row>
    <row r="2268" spans="1:21" x14ac:dyDescent="0.25">
      <c r="A2268" s="9">
        <v>46136.593807870369</v>
      </c>
      <c r="B2268" t="s">
        <v>19</v>
      </c>
      <c r="C2268" t="s">
        <v>37</v>
      </c>
      <c r="D2268">
        <v>61</v>
      </c>
      <c r="E2268">
        <v>3995747000115</v>
      </c>
      <c r="F2268">
        <v>559</v>
      </c>
      <c r="G2268" s="10">
        <v>177705090536571</v>
      </c>
      <c r="H2268" t="s">
        <v>314</v>
      </c>
      <c r="I2268">
        <v>3003</v>
      </c>
      <c r="J2268" t="s">
        <v>22</v>
      </c>
      <c r="K2268" t="s">
        <v>23</v>
      </c>
      <c r="L2268" t="s">
        <v>31</v>
      </c>
      <c r="M2268" t="s">
        <v>636</v>
      </c>
      <c r="N2268" t="s">
        <v>53</v>
      </c>
      <c r="O2268">
        <v>128</v>
      </c>
      <c r="R2268" s="11">
        <v>8.1018518518518516E-5</v>
      </c>
      <c r="S2268" t="s">
        <v>37</v>
      </c>
      <c r="T2268" t="str">
        <f>IF(Tabela1[[#This Row],[STATUS_NEGOCIO]]="Enviar E-mail",1,"")</f>
        <v/>
      </c>
      <c r="U2268" t="str">
        <f>TEXT(Tabela1[[#This Row],[DATA]],"dd/mm/aaaa")</f>
        <v>24/04/2026</v>
      </c>
    </row>
    <row r="2269" spans="1:21" x14ac:dyDescent="0.25">
      <c r="A2269" s="9">
        <v>46136.593946759262</v>
      </c>
      <c r="B2269" t="s">
        <v>19</v>
      </c>
      <c r="C2269" t="s">
        <v>37</v>
      </c>
      <c r="D2269">
        <v>62</v>
      </c>
      <c r="E2269">
        <v>4028062000162</v>
      </c>
      <c r="F2269">
        <v>560</v>
      </c>
      <c r="G2269" s="10">
        <v>177705091736591</v>
      </c>
      <c r="H2269" t="s">
        <v>315</v>
      </c>
      <c r="I2269">
        <v>3003</v>
      </c>
      <c r="J2269" t="s">
        <v>22</v>
      </c>
      <c r="K2269" t="s">
        <v>23</v>
      </c>
      <c r="L2269" t="s">
        <v>31</v>
      </c>
      <c r="M2269" t="s">
        <v>636</v>
      </c>
      <c r="N2269" t="s">
        <v>53</v>
      </c>
      <c r="O2269">
        <v>128</v>
      </c>
      <c r="R2269" s="11">
        <v>8.1018518518518516E-5</v>
      </c>
      <c r="S2269" t="s">
        <v>37</v>
      </c>
      <c r="T2269" t="str">
        <f>IF(Tabela1[[#This Row],[STATUS_NEGOCIO]]="Enviar E-mail",1,"")</f>
        <v/>
      </c>
      <c r="U2269" t="str">
        <f>TEXT(Tabela1[[#This Row],[DATA]],"dd/mm/aaaa")</f>
        <v>24/04/2026</v>
      </c>
    </row>
    <row r="2270" spans="1:21" x14ac:dyDescent="0.25">
      <c r="A2270" s="9">
        <v>46136.593981481485</v>
      </c>
      <c r="B2270" t="s">
        <v>19</v>
      </c>
      <c r="C2270" t="s">
        <v>37</v>
      </c>
      <c r="D2270">
        <v>63</v>
      </c>
      <c r="E2270">
        <v>4044746000158</v>
      </c>
      <c r="F2270">
        <v>561</v>
      </c>
      <c r="G2270" s="10">
        <v>177705092036611</v>
      </c>
      <c r="H2270" t="s">
        <v>110</v>
      </c>
      <c r="I2270">
        <v>3003</v>
      </c>
      <c r="J2270" t="s">
        <v>22</v>
      </c>
      <c r="K2270" t="s">
        <v>23</v>
      </c>
      <c r="L2270" t="s">
        <v>31</v>
      </c>
      <c r="M2270" t="s">
        <v>636</v>
      </c>
      <c r="N2270" t="s">
        <v>53</v>
      </c>
      <c r="O2270">
        <v>128</v>
      </c>
      <c r="R2270" s="11">
        <v>6.9444444444444444E-5</v>
      </c>
      <c r="S2270" t="s">
        <v>37</v>
      </c>
      <c r="T2270" t="str">
        <f>IF(Tabela1[[#This Row],[STATUS_NEGOCIO]]="Enviar E-mail",1,"")</f>
        <v/>
      </c>
      <c r="U2270" t="str">
        <f>TEXT(Tabela1[[#This Row],[DATA]],"dd/mm/aaaa")</f>
        <v>24/04/2026</v>
      </c>
    </row>
    <row r="2271" spans="1:21" x14ac:dyDescent="0.25">
      <c r="A2271" s="9">
        <v>46136.5940162037</v>
      </c>
      <c r="B2271" t="s">
        <v>19</v>
      </c>
      <c r="C2271" t="s">
        <v>37</v>
      </c>
      <c r="D2271">
        <v>64</v>
      </c>
      <c r="E2271">
        <v>4048649000133</v>
      </c>
      <c r="F2271">
        <v>562</v>
      </c>
      <c r="G2271" s="10">
        <v>177705092336631</v>
      </c>
      <c r="H2271" t="s">
        <v>137</v>
      </c>
      <c r="I2271">
        <v>3003</v>
      </c>
      <c r="J2271" t="s">
        <v>22</v>
      </c>
      <c r="K2271" t="s">
        <v>23</v>
      </c>
      <c r="L2271" t="s">
        <v>31</v>
      </c>
      <c r="M2271" t="s">
        <v>636</v>
      </c>
      <c r="N2271" t="s">
        <v>53</v>
      </c>
      <c r="O2271">
        <v>128</v>
      </c>
      <c r="R2271" s="11">
        <v>8.1018518518518516E-5</v>
      </c>
      <c r="S2271" t="s">
        <v>37</v>
      </c>
      <c r="T2271" t="str">
        <f>IF(Tabela1[[#This Row],[STATUS_NEGOCIO]]="Enviar E-mail",1,"")</f>
        <v/>
      </c>
      <c r="U2271" t="str">
        <f>TEXT(Tabela1[[#This Row],[DATA]],"dd/mm/aaaa")</f>
        <v>24/04/2026</v>
      </c>
    </row>
    <row r="2272" spans="1:21" x14ac:dyDescent="0.25">
      <c r="A2272" s="9">
        <v>46136.594074074077</v>
      </c>
      <c r="B2272" t="s">
        <v>19</v>
      </c>
      <c r="C2272" t="s">
        <v>37</v>
      </c>
      <c r="D2272">
        <v>66</v>
      </c>
      <c r="E2272">
        <v>4137354000133</v>
      </c>
      <c r="F2272">
        <v>563</v>
      </c>
      <c r="G2272" s="10">
        <v>177705092836651</v>
      </c>
      <c r="H2272" t="s">
        <v>136</v>
      </c>
      <c r="I2272">
        <v>3003</v>
      </c>
      <c r="J2272" t="s">
        <v>22</v>
      </c>
      <c r="K2272" t="s">
        <v>23</v>
      </c>
      <c r="L2272" t="s">
        <v>31</v>
      </c>
      <c r="M2272" t="s">
        <v>636</v>
      </c>
      <c r="N2272" t="s">
        <v>53</v>
      </c>
      <c r="O2272">
        <v>128</v>
      </c>
      <c r="R2272" s="11">
        <v>8.1018518518518516E-5</v>
      </c>
      <c r="S2272" t="s">
        <v>37</v>
      </c>
      <c r="T2272" t="str">
        <f>IF(Tabela1[[#This Row],[STATUS_NEGOCIO]]="Enviar E-mail",1,"")</f>
        <v/>
      </c>
      <c r="U2272" t="str">
        <f>TEXT(Tabela1[[#This Row],[DATA]],"dd/mm/aaaa")</f>
        <v>24/04/2026</v>
      </c>
    </row>
    <row r="2273" spans="1:21" x14ac:dyDescent="0.25">
      <c r="A2273" s="9">
        <v>46136.594131944446</v>
      </c>
      <c r="B2273" t="s">
        <v>19</v>
      </c>
      <c r="C2273" t="s">
        <v>37</v>
      </c>
      <c r="D2273">
        <v>67</v>
      </c>
      <c r="E2273">
        <v>4160599000181</v>
      </c>
      <c r="F2273">
        <v>564</v>
      </c>
      <c r="G2273" s="10">
        <v>177705093336671</v>
      </c>
      <c r="H2273" t="s">
        <v>238</v>
      </c>
      <c r="I2273">
        <v>3003</v>
      </c>
      <c r="J2273" t="s">
        <v>22</v>
      </c>
      <c r="K2273" t="s">
        <v>23</v>
      </c>
      <c r="L2273" t="s">
        <v>31</v>
      </c>
      <c r="M2273" t="s">
        <v>636</v>
      </c>
      <c r="N2273" t="s">
        <v>53</v>
      </c>
      <c r="O2273">
        <v>128</v>
      </c>
      <c r="R2273" s="11">
        <v>8.1018518518518516E-5</v>
      </c>
      <c r="S2273" t="s">
        <v>37</v>
      </c>
      <c r="T2273" t="str">
        <f>IF(Tabela1[[#This Row],[STATUS_NEGOCIO]]="Enviar E-mail",1,"")</f>
        <v/>
      </c>
      <c r="U2273" t="str">
        <f>TEXT(Tabela1[[#This Row],[DATA]],"dd/mm/aaaa")</f>
        <v>24/04/2026</v>
      </c>
    </row>
    <row r="2274" spans="1:21" x14ac:dyDescent="0.25">
      <c r="A2274" s="9">
        <v>46136.594155092593</v>
      </c>
      <c r="B2274" t="s">
        <v>19</v>
      </c>
      <c r="C2274" t="s">
        <v>37</v>
      </c>
      <c r="D2274">
        <v>68</v>
      </c>
      <c r="E2274">
        <v>4356149000169</v>
      </c>
      <c r="F2274">
        <v>565</v>
      </c>
      <c r="G2274" s="10">
        <v>177705093536691</v>
      </c>
      <c r="H2274" t="s">
        <v>317</v>
      </c>
      <c r="I2274">
        <v>3003</v>
      </c>
      <c r="J2274" t="s">
        <v>22</v>
      </c>
      <c r="K2274" t="s">
        <v>23</v>
      </c>
      <c r="L2274" t="s">
        <v>31</v>
      </c>
      <c r="M2274" t="s">
        <v>636</v>
      </c>
      <c r="N2274" t="s">
        <v>53</v>
      </c>
      <c r="O2274">
        <v>128</v>
      </c>
      <c r="R2274" s="11">
        <v>8.1018518518518516E-5</v>
      </c>
      <c r="S2274" t="s">
        <v>37</v>
      </c>
      <c r="T2274" t="str">
        <f>IF(Tabela1[[#This Row],[STATUS_NEGOCIO]]="Enviar E-mail",1,"")</f>
        <v/>
      </c>
      <c r="U2274" t="str">
        <f>TEXT(Tabela1[[#This Row],[DATA]],"dd/mm/aaaa")</f>
        <v>24/04/2026</v>
      </c>
    </row>
    <row r="2275" spans="1:21" x14ac:dyDescent="0.25">
      <c r="A2275" s="9">
        <v>46136.594178240739</v>
      </c>
      <c r="B2275" t="s">
        <v>19</v>
      </c>
      <c r="C2275" t="s">
        <v>37</v>
      </c>
      <c r="D2275">
        <v>69</v>
      </c>
      <c r="E2275">
        <v>4371864000170</v>
      </c>
      <c r="F2275">
        <v>566</v>
      </c>
      <c r="G2275" s="10">
        <v>177705093736711</v>
      </c>
      <c r="H2275" t="s">
        <v>318</v>
      </c>
      <c r="I2275">
        <v>3003</v>
      </c>
      <c r="J2275" t="s">
        <v>22</v>
      </c>
      <c r="K2275" t="s">
        <v>23</v>
      </c>
      <c r="L2275" t="s">
        <v>31</v>
      </c>
      <c r="M2275" t="s">
        <v>636</v>
      </c>
      <c r="N2275" t="s">
        <v>53</v>
      </c>
      <c r="O2275">
        <v>128</v>
      </c>
      <c r="R2275" s="11">
        <v>8.1018518518518516E-5</v>
      </c>
      <c r="S2275" t="s">
        <v>37</v>
      </c>
      <c r="T2275" t="str">
        <f>IF(Tabela1[[#This Row],[STATUS_NEGOCIO]]="Enviar E-mail",1,"")</f>
        <v/>
      </c>
      <c r="U2275" t="str">
        <f>TEXT(Tabela1[[#This Row],[DATA]],"dd/mm/aaaa")</f>
        <v>24/04/2026</v>
      </c>
    </row>
    <row r="2276" spans="1:21" x14ac:dyDescent="0.25">
      <c r="A2276" s="9">
        <v>46136.594305555554</v>
      </c>
      <c r="B2276" t="s">
        <v>19</v>
      </c>
      <c r="C2276" t="s">
        <v>37</v>
      </c>
      <c r="D2276">
        <v>71</v>
      </c>
      <c r="E2276">
        <v>4433625000106</v>
      </c>
      <c r="F2276">
        <v>567</v>
      </c>
      <c r="G2276" s="10">
        <v>177705094836731</v>
      </c>
      <c r="H2276" t="s">
        <v>320</v>
      </c>
      <c r="I2276">
        <v>3003</v>
      </c>
      <c r="J2276" t="s">
        <v>22</v>
      </c>
      <c r="K2276" t="s">
        <v>23</v>
      </c>
      <c r="L2276" t="s">
        <v>31</v>
      </c>
      <c r="M2276" t="s">
        <v>636</v>
      </c>
      <c r="N2276" t="s">
        <v>53</v>
      </c>
      <c r="O2276">
        <v>128</v>
      </c>
      <c r="R2276" s="11">
        <v>8.1018518518518516E-5</v>
      </c>
      <c r="S2276" t="s">
        <v>37</v>
      </c>
      <c r="T2276" t="str">
        <f>IF(Tabela1[[#This Row],[STATUS_NEGOCIO]]="Enviar E-mail",1,"")</f>
        <v/>
      </c>
      <c r="U2276" t="str">
        <f>TEXT(Tabela1[[#This Row],[DATA]],"dd/mm/aaaa")</f>
        <v>24/04/2026</v>
      </c>
    </row>
    <row r="2277" spans="1:21" x14ac:dyDescent="0.25">
      <c r="A2277" s="9">
        <v>46136.594456018516</v>
      </c>
      <c r="B2277" t="s">
        <v>19</v>
      </c>
      <c r="C2277" t="s">
        <v>37</v>
      </c>
      <c r="D2277">
        <v>73</v>
      </c>
      <c r="E2277">
        <v>4728735000197</v>
      </c>
      <c r="F2277">
        <v>568</v>
      </c>
      <c r="G2277" s="10">
        <v>177705096136751</v>
      </c>
      <c r="H2277" t="s">
        <v>321</v>
      </c>
      <c r="I2277">
        <v>3003</v>
      </c>
      <c r="J2277" t="s">
        <v>22</v>
      </c>
      <c r="K2277" t="s">
        <v>23</v>
      </c>
      <c r="L2277" t="s">
        <v>31</v>
      </c>
      <c r="M2277" t="s">
        <v>636</v>
      </c>
      <c r="N2277" t="s">
        <v>53</v>
      </c>
      <c r="O2277">
        <v>128</v>
      </c>
      <c r="R2277" s="11">
        <v>6.9444444444444444E-5</v>
      </c>
      <c r="S2277" t="s">
        <v>37</v>
      </c>
      <c r="T2277" t="str">
        <f>IF(Tabela1[[#This Row],[STATUS_NEGOCIO]]="Enviar E-mail",1,"")</f>
        <v/>
      </c>
      <c r="U2277" t="str">
        <f>TEXT(Tabela1[[#This Row],[DATA]],"dd/mm/aaaa")</f>
        <v>24/04/2026</v>
      </c>
    </row>
    <row r="2278" spans="1:21" x14ac:dyDescent="0.25">
      <c r="A2278" s="9">
        <v>46136.594560185185</v>
      </c>
      <c r="B2278" t="s">
        <v>19</v>
      </c>
      <c r="C2278" t="s">
        <v>37</v>
      </c>
      <c r="D2278">
        <v>74</v>
      </c>
      <c r="E2278">
        <v>4900076000124</v>
      </c>
      <c r="F2278">
        <v>569</v>
      </c>
      <c r="G2278" s="10">
        <v>177705097036771</v>
      </c>
      <c r="H2278" t="s">
        <v>322</v>
      </c>
      <c r="I2278">
        <v>3003</v>
      </c>
      <c r="J2278" t="s">
        <v>22</v>
      </c>
      <c r="K2278" t="s">
        <v>23</v>
      </c>
      <c r="L2278" t="s">
        <v>31</v>
      </c>
      <c r="M2278" t="s">
        <v>636</v>
      </c>
      <c r="N2278" t="s">
        <v>53</v>
      </c>
      <c r="O2278">
        <v>128</v>
      </c>
      <c r="R2278" s="11">
        <v>8.1018518518518516E-5</v>
      </c>
      <c r="S2278" t="s">
        <v>37</v>
      </c>
      <c r="T2278" t="str">
        <f>IF(Tabela1[[#This Row],[STATUS_NEGOCIO]]="Enviar E-mail",1,"")</f>
        <v/>
      </c>
      <c r="U2278" t="str">
        <f>TEXT(Tabela1[[#This Row],[DATA]],"dd/mm/aaaa")</f>
        <v>24/04/2026</v>
      </c>
    </row>
    <row r="2279" spans="1:21" x14ac:dyDescent="0.25">
      <c r="A2279" s="9">
        <v>46136.594675925924</v>
      </c>
      <c r="B2279" t="s">
        <v>19</v>
      </c>
      <c r="C2279" t="s">
        <v>37</v>
      </c>
      <c r="D2279">
        <v>75</v>
      </c>
      <c r="E2279">
        <v>4987252000107</v>
      </c>
      <c r="F2279">
        <v>570</v>
      </c>
      <c r="G2279" s="10">
        <v>177705098036801</v>
      </c>
      <c r="H2279" t="s">
        <v>323</v>
      </c>
      <c r="I2279">
        <v>3003</v>
      </c>
      <c r="J2279" t="s">
        <v>22</v>
      </c>
      <c r="K2279" t="s">
        <v>23</v>
      </c>
      <c r="L2279" t="s">
        <v>31</v>
      </c>
      <c r="M2279" t="s">
        <v>636</v>
      </c>
      <c r="N2279" t="s">
        <v>53</v>
      </c>
      <c r="O2279">
        <v>128</v>
      </c>
      <c r="R2279" s="11">
        <v>8.1018518518518516E-5</v>
      </c>
      <c r="S2279" t="s">
        <v>37</v>
      </c>
      <c r="T2279" t="str">
        <f>IF(Tabela1[[#This Row],[STATUS_NEGOCIO]]="Enviar E-mail",1,"")</f>
        <v/>
      </c>
      <c r="U2279" t="str">
        <f>TEXT(Tabela1[[#This Row],[DATA]],"dd/mm/aaaa")</f>
        <v>24/04/2026</v>
      </c>
    </row>
    <row r="2280" spans="1:21" x14ac:dyDescent="0.25">
      <c r="A2280" s="9">
        <v>46136.594675925924</v>
      </c>
      <c r="B2280" t="s">
        <v>19</v>
      </c>
      <c r="C2280" t="s">
        <v>37</v>
      </c>
      <c r="D2280">
        <v>76</v>
      </c>
      <c r="E2280">
        <v>5068583000106</v>
      </c>
      <c r="F2280">
        <v>571</v>
      </c>
      <c r="G2280" s="10">
        <v>177705098036811</v>
      </c>
      <c r="H2280" t="s">
        <v>174</v>
      </c>
      <c r="I2280">
        <v>3003</v>
      </c>
      <c r="J2280" t="s">
        <v>22</v>
      </c>
      <c r="K2280" t="s">
        <v>23</v>
      </c>
      <c r="L2280" t="s">
        <v>31</v>
      </c>
      <c r="M2280" t="s">
        <v>636</v>
      </c>
      <c r="N2280" t="s">
        <v>53</v>
      </c>
      <c r="O2280">
        <v>128</v>
      </c>
      <c r="R2280" s="11">
        <v>3.4722222222222222E-5</v>
      </c>
      <c r="S2280" t="s">
        <v>37</v>
      </c>
      <c r="T2280" t="str">
        <f>IF(Tabela1[[#This Row],[STATUS_NEGOCIO]]="Enviar E-mail",1,"")</f>
        <v/>
      </c>
      <c r="U2280" t="str">
        <f>TEXT(Tabela1[[#This Row],[DATA]],"dd/mm/aaaa")</f>
        <v>24/04/2026</v>
      </c>
    </row>
    <row r="2281" spans="1:21" x14ac:dyDescent="0.25">
      <c r="A2281" s="9">
        <v>46136.594699074078</v>
      </c>
      <c r="B2281" t="s">
        <v>19</v>
      </c>
      <c r="C2281" t="s">
        <v>37</v>
      </c>
      <c r="D2281">
        <v>77</v>
      </c>
      <c r="E2281">
        <v>5105470000133</v>
      </c>
      <c r="F2281">
        <v>572</v>
      </c>
      <c r="G2281" s="10">
        <v>177705098236831</v>
      </c>
      <c r="H2281" t="s">
        <v>274</v>
      </c>
      <c r="I2281">
        <v>3003</v>
      </c>
      <c r="J2281" t="s">
        <v>22</v>
      </c>
      <c r="K2281" t="s">
        <v>23</v>
      </c>
      <c r="L2281" t="s">
        <v>31</v>
      </c>
      <c r="M2281" t="s">
        <v>636</v>
      </c>
      <c r="N2281" t="s">
        <v>53</v>
      </c>
      <c r="O2281">
        <v>128</v>
      </c>
      <c r="R2281" s="11">
        <v>8.1018518518518516E-5</v>
      </c>
      <c r="S2281" t="s">
        <v>37</v>
      </c>
      <c r="T2281" t="str">
        <f>IF(Tabela1[[#This Row],[STATUS_NEGOCIO]]="Enviar E-mail",1,"")</f>
        <v/>
      </c>
      <c r="U2281" t="str">
        <f>TEXT(Tabela1[[#This Row],[DATA]],"dd/mm/aaaa")</f>
        <v>24/04/2026</v>
      </c>
    </row>
    <row r="2282" spans="1:21" x14ac:dyDescent="0.25">
      <c r="A2282" s="9">
        <v>46136.594849537039</v>
      </c>
      <c r="B2282" t="s">
        <v>19</v>
      </c>
      <c r="C2282" t="s">
        <v>37</v>
      </c>
      <c r="D2282">
        <v>78</v>
      </c>
      <c r="E2282">
        <v>5124020000198</v>
      </c>
      <c r="F2282">
        <v>573</v>
      </c>
      <c r="G2282" s="10">
        <v>177705099536911</v>
      </c>
      <c r="H2282" t="s">
        <v>268</v>
      </c>
      <c r="I2282">
        <v>3003</v>
      </c>
      <c r="J2282" t="s">
        <v>22</v>
      </c>
      <c r="K2282" t="s">
        <v>23</v>
      </c>
      <c r="L2282" t="s">
        <v>31</v>
      </c>
      <c r="M2282" t="s">
        <v>636</v>
      </c>
      <c r="N2282" t="s">
        <v>53</v>
      </c>
      <c r="O2282">
        <v>128</v>
      </c>
      <c r="R2282" s="11">
        <v>8.1018518518518516E-5</v>
      </c>
      <c r="S2282" t="s">
        <v>37</v>
      </c>
      <c r="T2282" t="str">
        <f>IF(Tabela1[[#This Row],[STATUS_NEGOCIO]]="Enviar E-mail",1,"")</f>
        <v/>
      </c>
      <c r="U2282" t="str">
        <f>TEXT(Tabela1[[#This Row],[DATA]],"dd/mm/aaaa")</f>
        <v>24/04/2026</v>
      </c>
    </row>
    <row r="2283" spans="1:21" x14ac:dyDescent="0.25">
      <c r="A2283" s="9">
        <v>46136.594872685186</v>
      </c>
      <c r="B2283" t="s">
        <v>19</v>
      </c>
      <c r="C2283" t="s">
        <v>37</v>
      </c>
      <c r="D2283">
        <v>79</v>
      </c>
      <c r="E2283">
        <v>5133369000196</v>
      </c>
      <c r="F2283">
        <v>574</v>
      </c>
      <c r="G2283" s="10">
        <v>177705099736931</v>
      </c>
      <c r="H2283" t="s">
        <v>103</v>
      </c>
      <c r="I2283">
        <v>3003</v>
      </c>
      <c r="J2283" t="s">
        <v>22</v>
      </c>
      <c r="K2283" t="s">
        <v>23</v>
      </c>
      <c r="L2283" t="s">
        <v>31</v>
      </c>
      <c r="M2283" t="s">
        <v>636</v>
      </c>
      <c r="N2283" t="s">
        <v>53</v>
      </c>
      <c r="O2283">
        <v>128</v>
      </c>
      <c r="R2283" s="11">
        <v>8.1018518518518516E-5</v>
      </c>
      <c r="S2283" t="s">
        <v>37</v>
      </c>
      <c r="T2283" t="str">
        <f>IF(Tabela1[[#This Row],[STATUS_NEGOCIO]]="Enviar E-mail",1,"")</f>
        <v/>
      </c>
      <c r="U2283" t="str">
        <f>TEXT(Tabela1[[#This Row],[DATA]],"dd/mm/aaaa")</f>
        <v>24/04/2026</v>
      </c>
    </row>
    <row r="2284" spans="1:21" x14ac:dyDescent="0.25">
      <c r="A2284" s="9">
        <v>46136.594953703701</v>
      </c>
      <c r="B2284" t="s">
        <v>19</v>
      </c>
      <c r="C2284" t="s">
        <v>37</v>
      </c>
      <c r="D2284">
        <v>80</v>
      </c>
      <c r="E2284">
        <v>5207886000162</v>
      </c>
      <c r="F2284">
        <v>575</v>
      </c>
      <c r="G2284" s="10">
        <v>177705100436951</v>
      </c>
      <c r="H2284" t="s">
        <v>190</v>
      </c>
      <c r="I2284">
        <v>3003</v>
      </c>
      <c r="J2284" t="s">
        <v>22</v>
      </c>
      <c r="K2284" t="s">
        <v>23</v>
      </c>
      <c r="L2284" t="s">
        <v>31</v>
      </c>
      <c r="M2284" t="s">
        <v>636</v>
      </c>
      <c r="N2284" t="s">
        <v>53</v>
      </c>
      <c r="O2284">
        <v>147</v>
      </c>
      <c r="R2284" s="11">
        <v>8.1018518518518516E-5</v>
      </c>
      <c r="S2284" t="s">
        <v>37</v>
      </c>
      <c r="T2284" t="str">
        <f>IF(Tabela1[[#This Row],[STATUS_NEGOCIO]]="Enviar E-mail",1,"")</f>
        <v/>
      </c>
      <c r="U2284" t="str">
        <f>TEXT(Tabela1[[#This Row],[DATA]],"dd/mm/aaaa")</f>
        <v>24/04/2026</v>
      </c>
    </row>
    <row r="2285" spans="1:21" x14ac:dyDescent="0.25">
      <c r="A2285" s="9">
        <v>46136.595011574071</v>
      </c>
      <c r="B2285" t="s">
        <v>19</v>
      </c>
      <c r="C2285" t="s">
        <v>37</v>
      </c>
      <c r="D2285">
        <v>81</v>
      </c>
      <c r="E2285">
        <v>5476516000120</v>
      </c>
      <c r="F2285">
        <v>576</v>
      </c>
      <c r="G2285" s="10">
        <v>177705100936961</v>
      </c>
      <c r="H2285" t="s">
        <v>324</v>
      </c>
      <c r="I2285">
        <v>3003</v>
      </c>
      <c r="J2285" t="s">
        <v>22</v>
      </c>
      <c r="K2285" t="s">
        <v>23</v>
      </c>
      <c r="L2285" t="s">
        <v>31</v>
      </c>
      <c r="M2285" t="s">
        <v>636</v>
      </c>
      <c r="N2285" t="s">
        <v>53</v>
      </c>
      <c r="O2285">
        <v>128</v>
      </c>
      <c r="R2285" s="11">
        <v>8.1018518518518516E-5</v>
      </c>
      <c r="S2285" t="s">
        <v>37</v>
      </c>
      <c r="T2285" t="str">
        <f>IF(Tabela1[[#This Row],[STATUS_NEGOCIO]]="Enviar E-mail",1,"")</f>
        <v/>
      </c>
      <c r="U2285" t="str">
        <f>TEXT(Tabela1[[#This Row],[DATA]],"dd/mm/aaaa")</f>
        <v>24/04/2026</v>
      </c>
    </row>
    <row r="2286" spans="1:21" x14ac:dyDescent="0.25">
      <c r="A2286" s="9">
        <v>46136.595011574071</v>
      </c>
      <c r="B2286" t="s">
        <v>19</v>
      </c>
      <c r="C2286" t="s">
        <v>37</v>
      </c>
      <c r="D2286">
        <v>82</v>
      </c>
      <c r="E2286">
        <v>5483497000160</v>
      </c>
      <c r="F2286">
        <v>577</v>
      </c>
      <c r="G2286" s="10">
        <v>177705100936971</v>
      </c>
      <c r="H2286" t="s">
        <v>58</v>
      </c>
      <c r="I2286">
        <v>3003</v>
      </c>
      <c r="J2286" t="s">
        <v>22</v>
      </c>
      <c r="K2286" t="s">
        <v>23</v>
      </c>
      <c r="L2286" t="s">
        <v>31</v>
      </c>
      <c r="M2286" t="s">
        <v>636</v>
      </c>
      <c r="N2286" t="s">
        <v>53</v>
      </c>
      <c r="O2286">
        <v>128</v>
      </c>
      <c r="R2286" s="11">
        <v>8.1018518518518516E-5</v>
      </c>
      <c r="S2286" t="s">
        <v>37</v>
      </c>
      <c r="T2286" t="str">
        <f>IF(Tabela1[[#This Row],[STATUS_NEGOCIO]]="Enviar E-mail",1,"")</f>
        <v/>
      </c>
      <c r="U2286" t="str">
        <f>TEXT(Tabela1[[#This Row],[DATA]],"dd/mm/aaaa")</f>
        <v>24/04/2026</v>
      </c>
    </row>
    <row r="2287" spans="1:21" x14ac:dyDescent="0.25">
      <c r="A2287" s="9">
        <v>46136.595011574071</v>
      </c>
      <c r="B2287" t="s">
        <v>19</v>
      </c>
      <c r="C2287" t="s">
        <v>37</v>
      </c>
      <c r="D2287">
        <v>83</v>
      </c>
      <c r="E2287">
        <v>5485452000124</v>
      </c>
      <c r="F2287">
        <v>578</v>
      </c>
      <c r="G2287" s="10">
        <v>177705100936981</v>
      </c>
      <c r="H2287" t="s">
        <v>325</v>
      </c>
      <c r="I2287" t="s">
        <v>52</v>
      </c>
      <c r="J2287" t="s">
        <v>22</v>
      </c>
      <c r="K2287" t="s">
        <v>62</v>
      </c>
      <c r="L2287" t="s">
        <v>62</v>
      </c>
      <c r="M2287" t="s">
        <v>636</v>
      </c>
      <c r="N2287" t="s">
        <v>53</v>
      </c>
      <c r="O2287">
        <v>17</v>
      </c>
      <c r="R2287" s="11">
        <v>0</v>
      </c>
      <c r="S2287" t="s">
        <v>37</v>
      </c>
      <c r="T2287" t="str">
        <f>IF(Tabela1[[#This Row],[STATUS_NEGOCIO]]="Enviar E-mail",1,"")</f>
        <v/>
      </c>
      <c r="U2287" t="str">
        <f>TEXT(Tabela1[[#This Row],[DATA]],"dd/mm/aaaa")</f>
        <v>24/04/2026</v>
      </c>
    </row>
    <row r="2288" spans="1:21" x14ac:dyDescent="0.25">
      <c r="A2288" s="9">
        <v>46136.595011574071</v>
      </c>
      <c r="B2288" t="s">
        <v>19</v>
      </c>
      <c r="C2288" t="s">
        <v>37</v>
      </c>
      <c r="D2288">
        <v>84</v>
      </c>
      <c r="E2288">
        <v>5487548000121</v>
      </c>
      <c r="F2288">
        <v>579</v>
      </c>
      <c r="G2288" s="10">
        <v>177705100936991</v>
      </c>
      <c r="H2288" t="s">
        <v>49</v>
      </c>
      <c r="I2288">
        <v>3003</v>
      </c>
      <c r="J2288" t="s">
        <v>22</v>
      </c>
      <c r="K2288" t="s">
        <v>23</v>
      </c>
      <c r="L2288" t="s">
        <v>31</v>
      </c>
      <c r="M2288" t="s">
        <v>636</v>
      </c>
      <c r="N2288" t="s">
        <v>53</v>
      </c>
      <c r="O2288">
        <v>128</v>
      </c>
      <c r="R2288" s="11">
        <v>8.1018518518518516E-5</v>
      </c>
      <c r="S2288" t="s">
        <v>37</v>
      </c>
      <c r="T2288" t="str">
        <f>IF(Tabela1[[#This Row],[STATUS_NEGOCIO]]="Enviar E-mail",1,"")</f>
        <v/>
      </c>
      <c r="U2288" t="str">
        <f>TEXT(Tabela1[[#This Row],[DATA]],"dd/mm/aaaa")</f>
        <v>24/04/2026</v>
      </c>
    </row>
    <row r="2289" spans="1:21" x14ac:dyDescent="0.25">
      <c r="A2289" s="9">
        <v>46136.595011574071</v>
      </c>
      <c r="B2289" t="s">
        <v>19</v>
      </c>
      <c r="C2289" t="s">
        <v>37</v>
      </c>
      <c r="D2289">
        <v>85</v>
      </c>
      <c r="E2289">
        <v>5587109000190</v>
      </c>
      <c r="F2289">
        <v>580</v>
      </c>
      <c r="G2289" s="10">
        <v>177705100937001</v>
      </c>
      <c r="H2289" t="s">
        <v>249</v>
      </c>
      <c r="I2289">
        <v>3003</v>
      </c>
      <c r="J2289" t="s">
        <v>22</v>
      </c>
      <c r="K2289" t="s">
        <v>23</v>
      </c>
      <c r="L2289" t="s">
        <v>31</v>
      </c>
      <c r="M2289" t="s">
        <v>636</v>
      </c>
      <c r="N2289" t="s">
        <v>53</v>
      </c>
      <c r="O2289">
        <v>128</v>
      </c>
      <c r="R2289" s="11">
        <v>8.1018518518518516E-5</v>
      </c>
      <c r="S2289" t="s">
        <v>37</v>
      </c>
      <c r="T2289" t="str">
        <f>IF(Tabela1[[#This Row],[STATUS_NEGOCIO]]="Enviar E-mail",1,"")</f>
        <v/>
      </c>
      <c r="U2289" t="str">
        <f>TEXT(Tabela1[[#This Row],[DATA]],"dd/mm/aaaa")</f>
        <v>24/04/2026</v>
      </c>
    </row>
    <row r="2290" spans="1:21" x14ac:dyDescent="0.25">
      <c r="A2290" s="9">
        <v>46136.595011574071</v>
      </c>
      <c r="B2290" t="s">
        <v>19</v>
      </c>
      <c r="C2290" t="s">
        <v>37</v>
      </c>
      <c r="D2290">
        <v>86</v>
      </c>
      <c r="E2290">
        <v>5600088000104</v>
      </c>
      <c r="F2290">
        <v>581</v>
      </c>
      <c r="G2290" s="10">
        <v>177705100937011</v>
      </c>
      <c r="H2290" t="s">
        <v>326</v>
      </c>
      <c r="I2290" t="s">
        <v>52</v>
      </c>
      <c r="J2290" t="s">
        <v>22</v>
      </c>
      <c r="K2290" t="s">
        <v>36</v>
      </c>
      <c r="L2290" t="s">
        <v>36</v>
      </c>
      <c r="M2290" t="s">
        <v>636</v>
      </c>
      <c r="N2290" t="s">
        <v>53</v>
      </c>
      <c r="O2290">
        <v>34</v>
      </c>
      <c r="R2290" s="11">
        <v>0</v>
      </c>
      <c r="S2290" t="s">
        <v>37</v>
      </c>
      <c r="T2290" t="str">
        <f>IF(Tabela1[[#This Row],[STATUS_NEGOCIO]]="Enviar E-mail",1,"")</f>
        <v/>
      </c>
      <c r="U2290" t="str">
        <f>TEXT(Tabela1[[#This Row],[DATA]],"dd/mm/aaaa")</f>
        <v>24/04/2026</v>
      </c>
    </row>
    <row r="2291" spans="1:21" x14ac:dyDescent="0.25">
      <c r="A2291" s="9">
        <v>46136.595011574071</v>
      </c>
      <c r="B2291" t="s">
        <v>19</v>
      </c>
      <c r="C2291" t="s">
        <v>37</v>
      </c>
      <c r="D2291">
        <v>88</v>
      </c>
      <c r="E2291">
        <v>5870198000188</v>
      </c>
      <c r="F2291">
        <v>582</v>
      </c>
      <c r="G2291" s="10">
        <v>177705100937021</v>
      </c>
      <c r="H2291" t="s">
        <v>135</v>
      </c>
      <c r="I2291" t="s">
        <v>52</v>
      </c>
      <c r="J2291" t="s">
        <v>22</v>
      </c>
      <c r="K2291" t="s">
        <v>36</v>
      </c>
      <c r="L2291" t="s">
        <v>36</v>
      </c>
      <c r="M2291" t="s">
        <v>636</v>
      </c>
      <c r="N2291" t="s">
        <v>53</v>
      </c>
      <c r="O2291">
        <v>34</v>
      </c>
      <c r="R2291" s="11">
        <v>0</v>
      </c>
      <c r="S2291" t="s">
        <v>37</v>
      </c>
      <c r="T2291" t="str">
        <f>IF(Tabela1[[#This Row],[STATUS_NEGOCIO]]="Enviar E-mail",1,"")</f>
        <v/>
      </c>
      <c r="U2291" t="str">
        <f>TEXT(Tabela1[[#This Row],[DATA]],"dd/mm/aaaa")</f>
        <v>24/04/2026</v>
      </c>
    </row>
    <row r="2292" spans="1:21" x14ac:dyDescent="0.25">
      <c r="A2292" s="9">
        <v>46136.595011574071</v>
      </c>
      <c r="B2292" t="s">
        <v>19</v>
      </c>
      <c r="C2292" t="s">
        <v>37</v>
      </c>
      <c r="D2292">
        <v>89</v>
      </c>
      <c r="E2292">
        <v>5887391000121</v>
      </c>
      <c r="F2292">
        <v>583</v>
      </c>
      <c r="G2292" s="10">
        <v>177705100937041</v>
      </c>
      <c r="H2292" t="s">
        <v>327</v>
      </c>
      <c r="I2292" t="s">
        <v>52</v>
      </c>
      <c r="J2292" t="s">
        <v>22</v>
      </c>
      <c r="K2292" t="s">
        <v>36</v>
      </c>
      <c r="L2292" t="s">
        <v>36</v>
      </c>
      <c r="M2292" t="s">
        <v>636</v>
      </c>
      <c r="N2292" t="s">
        <v>53</v>
      </c>
      <c r="O2292">
        <v>34</v>
      </c>
      <c r="R2292" s="11">
        <v>0</v>
      </c>
      <c r="S2292" t="s">
        <v>37</v>
      </c>
      <c r="T2292" t="str">
        <f>IF(Tabela1[[#This Row],[STATUS_NEGOCIO]]="Enviar E-mail",1,"")</f>
        <v/>
      </c>
      <c r="U2292" t="str">
        <f>TEXT(Tabela1[[#This Row],[DATA]],"dd/mm/aaaa")</f>
        <v>24/04/2026</v>
      </c>
    </row>
    <row r="2293" spans="1:21" x14ac:dyDescent="0.25">
      <c r="A2293" s="9">
        <v>46136.595011574071</v>
      </c>
      <c r="B2293" t="s">
        <v>19</v>
      </c>
      <c r="C2293" t="s">
        <v>37</v>
      </c>
      <c r="D2293">
        <v>90</v>
      </c>
      <c r="E2293">
        <v>5951912000162</v>
      </c>
      <c r="F2293">
        <v>584</v>
      </c>
      <c r="G2293" s="10">
        <v>177705100937051</v>
      </c>
      <c r="H2293" t="s">
        <v>328</v>
      </c>
      <c r="I2293" t="s">
        <v>52</v>
      </c>
      <c r="J2293" t="s">
        <v>22</v>
      </c>
      <c r="K2293" t="s">
        <v>36</v>
      </c>
      <c r="L2293" t="s">
        <v>36</v>
      </c>
      <c r="M2293" t="s">
        <v>636</v>
      </c>
      <c r="N2293" t="s">
        <v>53</v>
      </c>
      <c r="O2293">
        <v>34</v>
      </c>
      <c r="R2293" s="11">
        <v>0</v>
      </c>
      <c r="S2293" t="s">
        <v>37</v>
      </c>
      <c r="T2293" t="str">
        <f>IF(Tabela1[[#This Row],[STATUS_NEGOCIO]]="Enviar E-mail",1,"")</f>
        <v/>
      </c>
      <c r="U2293" t="str">
        <f>TEXT(Tabela1[[#This Row],[DATA]],"dd/mm/aaaa")</f>
        <v>24/04/2026</v>
      </c>
    </row>
    <row r="2294" spans="1:21" x14ac:dyDescent="0.25">
      <c r="A2294" s="9">
        <v>46136.595023148147</v>
      </c>
      <c r="B2294" t="s">
        <v>19</v>
      </c>
      <c r="C2294" t="s">
        <v>37</v>
      </c>
      <c r="D2294">
        <v>91</v>
      </c>
      <c r="E2294">
        <v>6058857000149</v>
      </c>
      <c r="F2294">
        <v>585</v>
      </c>
      <c r="G2294" s="10">
        <v>177705101037061</v>
      </c>
      <c r="H2294" t="s">
        <v>254</v>
      </c>
      <c r="I2294" t="s">
        <v>52</v>
      </c>
      <c r="J2294" t="s">
        <v>22</v>
      </c>
      <c r="K2294" t="s">
        <v>36</v>
      </c>
      <c r="L2294" t="s">
        <v>36</v>
      </c>
      <c r="M2294" t="s">
        <v>636</v>
      </c>
      <c r="N2294" t="s">
        <v>53</v>
      </c>
      <c r="O2294">
        <v>34</v>
      </c>
      <c r="R2294" s="11">
        <v>0</v>
      </c>
      <c r="S2294" t="s">
        <v>37</v>
      </c>
      <c r="T2294" t="str">
        <f>IF(Tabela1[[#This Row],[STATUS_NEGOCIO]]="Enviar E-mail",1,"")</f>
        <v/>
      </c>
      <c r="U2294" t="str">
        <f>TEXT(Tabela1[[#This Row],[DATA]],"dd/mm/aaaa")</f>
        <v>24/04/2026</v>
      </c>
    </row>
    <row r="2295" spans="1:21" x14ac:dyDescent="0.25">
      <c r="A2295" s="9">
        <v>46136.595023148147</v>
      </c>
      <c r="B2295" t="s">
        <v>19</v>
      </c>
      <c r="C2295" t="s">
        <v>37</v>
      </c>
      <c r="D2295">
        <v>92</v>
      </c>
      <c r="E2295">
        <v>6093542000132</v>
      </c>
      <c r="F2295">
        <v>586</v>
      </c>
      <c r="G2295" s="10">
        <v>177705101037071</v>
      </c>
      <c r="H2295" t="s">
        <v>329</v>
      </c>
      <c r="I2295">
        <v>3003</v>
      </c>
      <c r="J2295" t="s">
        <v>22</v>
      </c>
      <c r="K2295" t="s">
        <v>23</v>
      </c>
      <c r="L2295" t="s">
        <v>31</v>
      </c>
      <c r="M2295" t="s">
        <v>636</v>
      </c>
      <c r="N2295" t="s">
        <v>53</v>
      </c>
      <c r="O2295">
        <v>128</v>
      </c>
      <c r="R2295" s="11">
        <v>8.1018518518518516E-5</v>
      </c>
      <c r="S2295" t="s">
        <v>37</v>
      </c>
      <c r="T2295" t="str">
        <f>IF(Tabela1[[#This Row],[STATUS_NEGOCIO]]="Enviar E-mail",1,"")</f>
        <v/>
      </c>
      <c r="U2295" t="str">
        <f>TEXT(Tabela1[[#This Row],[DATA]],"dd/mm/aaaa")</f>
        <v>24/04/2026</v>
      </c>
    </row>
    <row r="2296" spans="1:21" x14ac:dyDescent="0.25">
      <c r="A2296" s="9">
        <v>46136.595023148147</v>
      </c>
      <c r="B2296" t="s">
        <v>19</v>
      </c>
      <c r="C2296" t="s">
        <v>37</v>
      </c>
      <c r="D2296">
        <v>93</v>
      </c>
      <c r="E2296">
        <v>6100968000176</v>
      </c>
      <c r="F2296">
        <v>587</v>
      </c>
      <c r="G2296" s="10">
        <v>177705101037081</v>
      </c>
      <c r="H2296" t="s">
        <v>330</v>
      </c>
      <c r="I2296" t="s">
        <v>52</v>
      </c>
      <c r="J2296" t="s">
        <v>22</v>
      </c>
      <c r="K2296" t="s">
        <v>36</v>
      </c>
      <c r="L2296" t="s">
        <v>36</v>
      </c>
      <c r="M2296" t="s">
        <v>636</v>
      </c>
      <c r="N2296" t="s">
        <v>53</v>
      </c>
      <c r="O2296">
        <v>1</v>
      </c>
      <c r="R2296" s="11">
        <v>0</v>
      </c>
      <c r="S2296" t="s">
        <v>37</v>
      </c>
      <c r="T2296" t="str">
        <f>IF(Tabela1[[#This Row],[STATUS_NEGOCIO]]="Enviar E-mail",1,"")</f>
        <v/>
      </c>
      <c r="U2296" t="str">
        <f>TEXT(Tabela1[[#This Row],[DATA]],"dd/mm/aaaa")</f>
        <v>24/04/2026</v>
      </c>
    </row>
    <row r="2297" spans="1:21" x14ac:dyDescent="0.25">
      <c r="A2297" s="9">
        <v>46136.595081018517</v>
      </c>
      <c r="B2297" t="s">
        <v>19</v>
      </c>
      <c r="C2297" t="s">
        <v>37</v>
      </c>
      <c r="D2297">
        <v>94</v>
      </c>
      <c r="E2297">
        <v>6215708000146</v>
      </c>
      <c r="F2297">
        <v>588</v>
      </c>
      <c r="G2297" s="10">
        <v>177705101537101</v>
      </c>
      <c r="H2297" t="s">
        <v>180</v>
      </c>
      <c r="I2297">
        <v>3003</v>
      </c>
      <c r="J2297" t="s">
        <v>22</v>
      </c>
      <c r="K2297" t="s">
        <v>23</v>
      </c>
      <c r="L2297" t="s">
        <v>31</v>
      </c>
      <c r="M2297" t="s">
        <v>636</v>
      </c>
      <c r="N2297" t="s">
        <v>53</v>
      </c>
      <c r="O2297">
        <v>128</v>
      </c>
      <c r="R2297" s="11">
        <v>8.1018518518518516E-5</v>
      </c>
      <c r="S2297" t="s">
        <v>37</v>
      </c>
      <c r="T2297" t="str">
        <f>IF(Tabela1[[#This Row],[STATUS_NEGOCIO]]="Enviar E-mail",1,"")</f>
        <v/>
      </c>
      <c r="U2297" t="str">
        <f>TEXT(Tabela1[[#This Row],[DATA]],"dd/mm/aaaa")</f>
        <v>24/04/2026</v>
      </c>
    </row>
    <row r="2298" spans="1:21" x14ac:dyDescent="0.25">
      <c r="A2298" s="9">
        <v>46136.59511574074</v>
      </c>
      <c r="B2298" t="s">
        <v>19</v>
      </c>
      <c r="C2298" t="s">
        <v>37</v>
      </c>
      <c r="D2298">
        <v>95</v>
      </c>
      <c r="E2298">
        <v>6236859000180</v>
      </c>
      <c r="F2298">
        <v>589</v>
      </c>
      <c r="G2298" s="10">
        <v>177705101837121</v>
      </c>
      <c r="H2298" t="s">
        <v>331</v>
      </c>
      <c r="I2298">
        <v>3003</v>
      </c>
      <c r="J2298" t="s">
        <v>22</v>
      </c>
      <c r="K2298" t="s">
        <v>23</v>
      </c>
      <c r="L2298" t="s">
        <v>31</v>
      </c>
      <c r="M2298" t="s">
        <v>636</v>
      </c>
      <c r="N2298" t="s">
        <v>53</v>
      </c>
      <c r="O2298">
        <v>128</v>
      </c>
      <c r="R2298" s="11">
        <v>8.1018518518518516E-5</v>
      </c>
      <c r="S2298" t="s">
        <v>37</v>
      </c>
      <c r="T2298" t="str">
        <f>IF(Tabela1[[#This Row],[STATUS_NEGOCIO]]="Enviar E-mail",1,"")</f>
        <v/>
      </c>
      <c r="U2298" t="str">
        <f>TEXT(Tabela1[[#This Row],[DATA]],"dd/mm/aaaa")</f>
        <v>24/04/2026</v>
      </c>
    </row>
    <row r="2299" spans="1:21" x14ac:dyDescent="0.25">
      <c r="A2299" s="9">
        <v>46136.595127314817</v>
      </c>
      <c r="B2299" t="s">
        <v>19</v>
      </c>
      <c r="C2299" t="s">
        <v>37</v>
      </c>
      <c r="D2299">
        <v>96</v>
      </c>
      <c r="E2299">
        <v>6276371000187</v>
      </c>
      <c r="F2299">
        <v>590</v>
      </c>
      <c r="G2299" s="10">
        <v>177705101937141</v>
      </c>
      <c r="H2299" t="s">
        <v>332</v>
      </c>
      <c r="I2299">
        <v>3003</v>
      </c>
      <c r="J2299" t="s">
        <v>22</v>
      </c>
      <c r="K2299" t="s">
        <v>23</v>
      </c>
      <c r="L2299" t="s">
        <v>31</v>
      </c>
      <c r="M2299" t="s">
        <v>636</v>
      </c>
      <c r="N2299" t="s">
        <v>53</v>
      </c>
      <c r="O2299">
        <v>128</v>
      </c>
      <c r="R2299" s="11">
        <v>8.1018518518518516E-5</v>
      </c>
      <c r="S2299" t="s">
        <v>37</v>
      </c>
      <c r="T2299" t="str">
        <f>IF(Tabela1[[#This Row],[STATUS_NEGOCIO]]="Enviar E-mail",1,"")</f>
        <v/>
      </c>
      <c r="U2299" t="str">
        <f>TEXT(Tabela1[[#This Row],[DATA]],"dd/mm/aaaa")</f>
        <v>24/04/2026</v>
      </c>
    </row>
    <row r="2300" spans="1:21" x14ac:dyDescent="0.25">
      <c r="A2300" s="9">
        <v>46136.595127314817</v>
      </c>
      <c r="B2300" t="s">
        <v>19</v>
      </c>
      <c r="C2300" t="s">
        <v>37</v>
      </c>
      <c r="D2300">
        <v>97</v>
      </c>
      <c r="E2300">
        <v>6326043000148</v>
      </c>
      <c r="F2300">
        <v>591</v>
      </c>
      <c r="G2300" s="10">
        <v>177705101937161</v>
      </c>
      <c r="H2300" t="s">
        <v>116</v>
      </c>
      <c r="I2300">
        <v>3003</v>
      </c>
      <c r="J2300" t="s">
        <v>22</v>
      </c>
      <c r="K2300" t="s">
        <v>23</v>
      </c>
      <c r="L2300" t="s">
        <v>31</v>
      </c>
      <c r="M2300" t="s">
        <v>636</v>
      </c>
      <c r="N2300" t="s">
        <v>53</v>
      </c>
      <c r="O2300">
        <v>128</v>
      </c>
      <c r="R2300" s="11">
        <v>8.1018518518518516E-5</v>
      </c>
      <c r="S2300" t="s">
        <v>37</v>
      </c>
      <c r="T2300" t="str">
        <f>IF(Tabela1[[#This Row],[STATUS_NEGOCIO]]="Enviar E-mail",1,"")</f>
        <v/>
      </c>
      <c r="U2300" t="str">
        <f>TEXT(Tabela1[[#This Row],[DATA]],"dd/mm/aaaa")</f>
        <v>24/04/2026</v>
      </c>
    </row>
    <row r="2301" spans="1:21" x14ac:dyDescent="0.25">
      <c r="A2301" s="9">
        <v>46136.59516203704</v>
      </c>
      <c r="B2301" t="s">
        <v>19</v>
      </c>
      <c r="C2301" t="s">
        <v>37</v>
      </c>
      <c r="D2301">
        <v>98</v>
      </c>
      <c r="E2301">
        <v>6652280000107</v>
      </c>
      <c r="F2301">
        <v>592</v>
      </c>
      <c r="G2301" s="10">
        <v>177705102237181</v>
      </c>
      <c r="H2301" t="s">
        <v>333</v>
      </c>
      <c r="I2301" t="s">
        <v>52</v>
      </c>
      <c r="J2301" t="s">
        <v>22</v>
      </c>
      <c r="K2301" t="s">
        <v>36</v>
      </c>
      <c r="L2301" t="s">
        <v>36</v>
      </c>
      <c r="M2301" t="s">
        <v>636</v>
      </c>
      <c r="N2301" t="s">
        <v>53</v>
      </c>
      <c r="O2301">
        <v>1</v>
      </c>
      <c r="R2301" s="11">
        <v>0</v>
      </c>
      <c r="S2301" t="s">
        <v>37</v>
      </c>
      <c r="T2301" t="str">
        <f>IF(Tabela1[[#This Row],[STATUS_NEGOCIO]]="Enviar E-mail",1,"")</f>
        <v/>
      </c>
      <c r="U2301" t="str">
        <f>TEXT(Tabela1[[#This Row],[DATA]],"dd/mm/aaaa")</f>
        <v>24/04/2026</v>
      </c>
    </row>
    <row r="2302" spans="1:21" x14ac:dyDescent="0.25">
      <c r="A2302" s="9">
        <v>46136.59516203704</v>
      </c>
      <c r="B2302" t="s">
        <v>19</v>
      </c>
      <c r="C2302" t="s">
        <v>37</v>
      </c>
      <c r="D2302">
        <v>99</v>
      </c>
      <c r="E2302">
        <v>6983876000181</v>
      </c>
      <c r="F2302">
        <v>593</v>
      </c>
      <c r="G2302" s="10">
        <v>177705102237191</v>
      </c>
      <c r="H2302" t="s">
        <v>334</v>
      </c>
      <c r="I2302">
        <v>3003</v>
      </c>
      <c r="J2302" t="s">
        <v>22</v>
      </c>
      <c r="K2302" t="s">
        <v>23</v>
      </c>
      <c r="L2302" t="s">
        <v>31</v>
      </c>
      <c r="M2302" t="s">
        <v>636</v>
      </c>
      <c r="N2302" t="s">
        <v>53</v>
      </c>
      <c r="O2302">
        <v>128</v>
      </c>
      <c r="R2302" s="11">
        <v>8.1018518518518516E-5</v>
      </c>
      <c r="S2302" t="s">
        <v>37</v>
      </c>
      <c r="T2302" t="str">
        <f>IF(Tabela1[[#This Row],[STATUS_NEGOCIO]]="Enviar E-mail",1,"")</f>
        <v/>
      </c>
      <c r="U2302" t="str">
        <f>TEXT(Tabela1[[#This Row],[DATA]],"dd/mm/aaaa")</f>
        <v>24/04/2026</v>
      </c>
    </row>
    <row r="2303" spans="1:21" x14ac:dyDescent="0.25">
      <c r="A2303" s="9">
        <v>46136.595173611109</v>
      </c>
      <c r="B2303" t="s">
        <v>19</v>
      </c>
      <c r="C2303" t="s">
        <v>37</v>
      </c>
      <c r="D2303">
        <v>100</v>
      </c>
      <c r="E2303">
        <v>7042642000364</v>
      </c>
      <c r="F2303">
        <v>594</v>
      </c>
      <c r="G2303" s="10">
        <v>177705102337211</v>
      </c>
      <c r="H2303" t="s">
        <v>335</v>
      </c>
      <c r="I2303">
        <v>3003</v>
      </c>
      <c r="J2303" t="s">
        <v>22</v>
      </c>
      <c r="K2303" t="s">
        <v>23</v>
      </c>
      <c r="L2303" t="s">
        <v>31</v>
      </c>
      <c r="M2303" t="s">
        <v>636</v>
      </c>
      <c r="N2303" t="s">
        <v>53</v>
      </c>
      <c r="O2303">
        <v>147</v>
      </c>
      <c r="R2303" s="11">
        <v>8.1018518518518516E-5</v>
      </c>
      <c r="S2303" t="s">
        <v>37</v>
      </c>
      <c r="T2303" t="str">
        <f>IF(Tabela1[[#This Row],[STATUS_NEGOCIO]]="Enviar E-mail",1,"")</f>
        <v/>
      </c>
      <c r="U2303" t="str">
        <f>TEXT(Tabela1[[#This Row],[DATA]],"dd/mm/aaaa")</f>
        <v>24/04/2026</v>
      </c>
    </row>
    <row r="2304" spans="1:21" x14ac:dyDescent="0.25">
      <c r="A2304" s="9">
        <v>46136.595266203702</v>
      </c>
      <c r="B2304" t="s">
        <v>19</v>
      </c>
      <c r="C2304" t="s">
        <v>37</v>
      </c>
      <c r="D2304">
        <v>102</v>
      </c>
      <c r="E2304">
        <v>7211888000150</v>
      </c>
      <c r="F2304">
        <v>595</v>
      </c>
      <c r="G2304" s="10">
        <v>177705103137241</v>
      </c>
      <c r="H2304" t="s">
        <v>337</v>
      </c>
      <c r="I2304">
        <v>3003</v>
      </c>
      <c r="J2304" t="s">
        <v>22</v>
      </c>
      <c r="K2304" t="s">
        <v>23</v>
      </c>
      <c r="L2304" t="s">
        <v>31</v>
      </c>
      <c r="M2304" t="s">
        <v>636</v>
      </c>
      <c r="N2304" t="s">
        <v>53</v>
      </c>
      <c r="O2304">
        <v>128</v>
      </c>
      <c r="R2304" s="11">
        <v>8.1018518518518516E-5</v>
      </c>
      <c r="S2304" t="s">
        <v>37</v>
      </c>
      <c r="T2304" t="str">
        <f>IF(Tabela1[[#This Row],[STATUS_NEGOCIO]]="Enviar E-mail",1,"")</f>
        <v/>
      </c>
      <c r="U2304" t="str">
        <f>TEXT(Tabela1[[#This Row],[DATA]],"dd/mm/aaaa")</f>
        <v>24/04/2026</v>
      </c>
    </row>
    <row r="2305" spans="1:21" x14ac:dyDescent="0.25">
      <c r="A2305" s="9">
        <v>46136.595277777778</v>
      </c>
      <c r="B2305" t="s">
        <v>19</v>
      </c>
      <c r="C2305" t="s">
        <v>37</v>
      </c>
      <c r="D2305">
        <v>103</v>
      </c>
      <c r="E2305">
        <v>7355123000194</v>
      </c>
      <c r="F2305">
        <v>596</v>
      </c>
      <c r="G2305" s="10">
        <v>177705103237251</v>
      </c>
      <c r="H2305" t="s">
        <v>161</v>
      </c>
      <c r="I2305" t="s">
        <v>52</v>
      </c>
      <c r="J2305" t="s">
        <v>22</v>
      </c>
      <c r="K2305" t="s">
        <v>36</v>
      </c>
      <c r="L2305" t="s">
        <v>36</v>
      </c>
      <c r="M2305" t="s">
        <v>636</v>
      </c>
      <c r="N2305" t="s">
        <v>53</v>
      </c>
      <c r="O2305">
        <v>19</v>
      </c>
      <c r="R2305" s="11">
        <v>0</v>
      </c>
      <c r="S2305" t="s">
        <v>37</v>
      </c>
      <c r="T2305" t="str">
        <f>IF(Tabela1[[#This Row],[STATUS_NEGOCIO]]="Enviar E-mail",1,"")</f>
        <v/>
      </c>
      <c r="U2305" t="str">
        <f>TEXT(Tabela1[[#This Row],[DATA]],"dd/mm/aaaa")</f>
        <v>24/04/2026</v>
      </c>
    </row>
    <row r="2306" spans="1:21" x14ac:dyDescent="0.25">
      <c r="A2306" s="9">
        <v>46136.595312500001</v>
      </c>
      <c r="B2306" t="s">
        <v>19</v>
      </c>
      <c r="C2306" t="s">
        <v>37</v>
      </c>
      <c r="D2306">
        <v>104</v>
      </c>
      <c r="E2306">
        <v>7368744000102</v>
      </c>
      <c r="F2306">
        <v>597</v>
      </c>
      <c r="G2306" s="10">
        <v>177705103537271</v>
      </c>
      <c r="H2306" t="s">
        <v>338</v>
      </c>
      <c r="I2306">
        <v>3003</v>
      </c>
      <c r="J2306" t="s">
        <v>22</v>
      </c>
      <c r="K2306" t="s">
        <v>23</v>
      </c>
      <c r="L2306" t="s">
        <v>31</v>
      </c>
      <c r="M2306" t="s">
        <v>636</v>
      </c>
      <c r="N2306" t="s">
        <v>53</v>
      </c>
      <c r="O2306">
        <v>128</v>
      </c>
      <c r="R2306" s="11">
        <v>8.1018518518518516E-5</v>
      </c>
      <c r="S2306" t="s">
        <v>37</v>
      </c>
      <c r="T2306" t="str">
        <f>IF(Tabela1[[#This Row],[STATUS_NEGOCIO]]="Enviar E-mail",1,"")</f>
        <v/>
      </c>
      <c r="U2306" t="str">
        <f>TEXT(Tabela1[[#This Row],[DATA]],"dd/mm/aaaa")</f>
        <v>24/04/2026</v>
      </c>
    </row>
    <row r="2307" spans="1:21" x14ac:dyDescent="0.25">
      <c r="A2307" s="9">
        <v>46136.595324074071</v>
      </c>
      <c r="B2307" t="s">
        <v>19</v>
      </c>
      <c r="C2307" t="s">
        <v>37</v>
      </c>
      <c r="D2307">
        <v>105</v>
      </c>
      <c r="E2307">
        <v>7477770000179</v>
      </c>
      <c r="F2307">
        <v>598</v>
      </c>
      <c r="G2307" s="10">
        <v>177705103637291</v>
      </c>
      <c r="H2307" t="s">
        <v>339</v>
      </c>
      <c r="I2307">
        <v>3003</v>
      </c>
      <c r="J2307" t="s">
        <v>22</v>
      </c>
      <c r="K2307" t="s">
        <v>23</v>
      </c>
      <c r="L2307" t="s">
        <v>31</v>
      </c>
      <c r="M2307" t="s">
        <v>636</v>
      </c>
      <c r="N2307" t="s">
        <v>53</v>
      </c>
      <c r="O2307">
        <v>128</v>
      </c>
      <c r="R2307" s="11">
        <v>8.1018518518518516E-5</v>
      </c>
      <c r="S2307" t="s">
        <v>37</v>
      </c>
      <c r="T2307" t="str">
        <f>IF(Tabela1[[#This Row],[STATUS_NEGOCIO]]="Enviar E-mail",1,"")</f>
        <v/>
      </c>
      <c r="U2307" t="str">
        <f>TEXT(Tabela1[[#This Row],[DATA]],"dd/mm/aaaa")</f>
        <v>24/04/2026</v>
      </c>
    </row>
    <row r="2308" spans="1:21" x14ac:dyDescent="0.25">
      <c r="A2308" s="9">
        <v>46136.595370370371</v>
      </c>
      <c r="B2308" t="s">
        <v>19</v>
      </c>
      <c r="C2308" t="s">
        <v>37</v>
      </c>
      <c r="D2308">
        <v>106</v>
      </c>
      <c r="E2308">
        <v>7485047000131</v>
      </c>
      <c r="F2308">
        <v>599</v>
      </c>
      <c r="G2308" s="10">
        <v>177705104037311</v>
      </c>
      <c r="H2308" t="s">
        <v>340</v>
      </c>
      <c r="I2308">
        <v>3003</v>
      </c>
      <c r="J2308" t="s">
        <v>22</v>
      </c>
      <c r="K2308" t="s">
        <v>23</v>
      </c>
      <c r="L2308" t="s">
        <v>31</v>
      </c>
      <c r="M2308" t="s">
        <v>636</v>
      </c>
      <c r="N2308" t="s">
        <v>53</v>
      </c>
      <c r="O2308">
        <v>128</v>
      </c>
      <c r="R2308" s="11">
        <v>8.1018518518518516E-5</v>
      </c>
      <c r="S2308" t="s">
        <v>37</v>
      </c>
      <c r="T2308" t="str">
        <f>IF(Tabela1[[#This Row],[STATUS_NEGOCIO]]="Enviar E-mail",1,"")</f>
        <v/>
      </c>
      <c r="U2308" t="str">
        <f>TEXT(Tabela1[[#This Row],[DATA]],"dd/mm/aaaa")</f>
        <v>24/04/2026</v>
      </c>
    </row>
    <row r="2309" spans="1:21" x14ac:dyDescent="0.25">
      <c r="A2309" s="9">
        <v>46136.595370370371</v>
      </c>
      <c r="B2309" t="s">
        <v>19</v>
      </c>
      <c r="C2309" t="s">
        <v>37</v>
      </c>
      <c r="D2309">
        <v>107</v>
      </c>
      <c r="E2309">
        <v>7525932000105</v>
      </c>
      <c r="F2309">
        <v>600</v>
      </c>
      <c r="G2309" s="10">
        <v>177705104037321</v>
      </c>
      <c r="H2309" t="s">
        <v>341</v>
      </c>
      <c r="I2309">
        <v>3003</v>
      </c>
      <c r="J2309" t="s">
        <v>22</v>
      </c>
      <c r="K2309" t="s">
        <v>23</v>
      </c>
      <c r="L2309" t="s">
        <v>31</v>
      </c>
      <c r="M2309" t="s">
        <v>636</v>
      </c>
      <c r="N2309" t="s">
        <v>53</v>
      </c>
      <c r="O2309">
        <v>128</v>
      </c>
      <c r="R2309" s="11">
        <v>8.1018518518518516E-5</v>
      </c>
      <c r="S2309" t="s">
        <v>37</v>
      </c>
      <c r="T2309" t="str">
        <f>IF(Tabela1[[#This Row],[STATUS_NEGOCIO]]="Enviar E-mail",1,"")</f>
        <v/>
      </c>
      <c r="U2309" t="str">
        <f>TEXT(Tabela1[[#This Row],[DATA]],"dd/mm/aaaa")</f>
        <v>24/04/2026</v>
      </c>
    </row>
    <row r="2310" spans="1:21" x14ac:dyDescent="0.25">
      <c r="A2310" s="9">
        <v>46136.595486111109</v>
      </c>
      <c r="B2310" t="s">
        <v>19</v>
      </c>
      <c r="C2310" t="s">
        <v>37</v>
      </c>
      <c r="D2310">
        <v>108</v>
      </c>
      <c r="E2310">
        <v>7560240000190</v>
      </c>
      <c r="F2310">
        <v>601</v>
      </c>
      <c r="G2310" s="10">
        <v>177705105037341</v>
      </c>
      <c r="H2310" t="s">
        <v>165</v>
      </c>
      <c r="I2310">
        <v>3003</v>
      </c>
      <c r="J2310" t="s">
        <v>22</v>
      </c>
      <c r="K2310" t="s">
        <v>23</v>
      </c>
      <c r="L2310" t="s">
        <v>31</v>
      </c>
      <c r="M2310" t="s">
        <v>636</v>
      </c>
      <c r="N2310" t="s">
        <v>53</v>
      </c>
      <c r="O2310">
        <v>128</v>
      </c>
      <c r="R2310" s="11">
        <v>8.1018518518518516E-5</v>
      </c>
      <c r="S2310" t="s">
        <v>37</v>
      </c>
      <c r="T2310" t="str">
        <f>IF(Tabela1[[#This Row],[STATUS_NEGOCIO]]="Enviar E-mail",1,"")</f>
        <v/>
      </c>
      <c r="U2310" t="str">
        <f>TEXT(Tabela1[[#This Row],[DATA]],"dd/mm/aaaa")</f>
        <v>24/04/2026</v>
      </c>
    </row>
    <row r="2311" spans="1:21" x14ac:dyDescent="0.25">
      <c r="A2311" s="9">
        <v>46136.595509259256</v>
      </c>
      <c r="B2311" t="s">
        <v>19</v>
      </c>
      <c r="C2311" t="s">
        <v>37</v>
      </c>
      <c r="D2311">
        <v>110</v>
      </c>
      <c r="E2311">
        <v>7585606000185</v>
      </c>
      <c r="F2311">
        <v>602</v>
      </c>
      <c r="G2311" s="10">
        <v>177705105237371</v>
      </c>
      <c r="H2311" t="s">
        <v>93</v>
      </c>
      <c r="I2311">
        <v>3003</v>
      </c>
      <c r="J2311" t="s">
        <v>22</v>
      </c>
      <c r="K2311" t="s">
        <v>23</v>
      </c>
      <c r="L2311" t="s">
        <v>31</v>
      </c>
      <c r="M2311" t="s">
        <v>636</v>
      </c>
      <c r="N2311" t="s">
        <v>53</v>
      </c>
      <c r="O2311">
        <v>128</v>
      </c>
      <c r="R2311" s="11">
        <v>8.1018518518518516E-5</v>
      </c>
      <c r="S2311" t="s">
        <v>37</v>
      </c>
      <c r="T2311" t="str">
        <f>IF(Tabela1[[#This Row],[STATUS_NEGOCIO]]="Enviar E-mail",1,"")</f>
        <v/>
      </c>
      <c r="U2311" t="str">
        <f>TEXT(Tabela1[[#This Row],[DATA]],"dd/mm/aaaa")</f>
        <v>24/04/2026</v>
      </c>
    </row>
    <row r="2312" spans="1:21" x14ac:dyDescent="0.25">
      <c r="A2312" s="9">
        <v>46136.595509259256</v>
      </c>
      <c r="B2312" t="s">
        <v>19</v>
      </c>
      <c r="C2312" t="s">
        <v>37</v>
      </c>
      <c r="D2312">
        <v>111</v>
      </c>
      <c r="E2312">
        <v>7638597000143</v>
      </c>
      <c r="F2312">
        <v>603</v>
      </c>
      <c r="G2312" s="10">
        <v>177705105237381</v>
      </c>
      <c r="H2312" t="s">
        <v>302</v>
      </c>
      <c r="I2312">
        <v>3003</v>
      </c>
      <c r="J2312" t="s">
        <v>22</v>
      </c>
      <c r="K2312" t="s">
        <v>23</v>
      </c>
      <c r="L2312" t="s">
        <v>31</v>
      </c>
      <c r="M2312" t="s">
        <v>636</v>
      </c>
      <c r="N2312" t="s">
        <v>53</v>
      </c>
      <c r="O2312">
        <v>128</v>
      </c>
      <c r="R2312" s="11">
        <v>8.1018518518518516E-5</v>
      </c>
      <c r="S2312" t="s">
        <v>37</v>
      </c>
      <c r="T2312" t="str">
        <f>IF(Tabela1[[#This Row],[STATUS_NEGOCIO]]="Enviar E-mail",1,"")</f>
        <v/>
      </c>
      <c r="U2312" t="str">
        <f>TEXT(Tabela1[[#This Row],[DATA]],"dd/mm/aaaa")</f>
        <v>24/04/2026</v>
      </c>
    </row>
    <row r="2313" spans="1:21" x14ac:dyDescent="0.25">
      <c r="A2313" s="9">
        <v>46136.595543981479</v>
      </c>
      <c r="B2313" t="s">
        <v>19</v>
      </c>
      <c r="C2313" t="s">
        <v>37</v>
      </c>
      <c r="D2313">
        <v>112</v>
      </c>
      <c r="E2313">
        <v>7762793000125</v>
      </c>
      <c r="F2313">
        <v>604</v>
      </c>
      <c r="G2313" s="10">
        <v>177705105537451</v>
      </c>
      <c r="H2313" t="s">
        <v>343</v>
      </c>
      <c r="I2313">
        <v>3003</v>
      </c>
      <c r="J2313" t="s">
        <v>22</v>
      </c>
      <c r="K2313" t="s">
        <v>23</v>
      </c>
      <c r="L2313" t="s">
        <v>31</v>
      </c>
      <c r="M2313" t="s">
        <v>636</v>
      </c>
      <c r="N2313" t="s">
        <v>53</v>
      </c>
      <c r="O2313">
        <v>128</v>
      </c>
      <c r="R2313" s="11">
        <v>8.1018518518518516E-5</v>
      </c>
      <c r="S2313" t="s">
        <v>37</v>
      </c>
      <c r="T2313" t="str">
        <f>IF(Tabela1[[#This Row],[STATUS_NEGOCIO]]="Enviar E-mail",1,"")</f>
        <v/>
      </c>
      <c r="U2313" t="str">
        <f>TEXT(Tabela1[[#This Row],[DATA]],"dd/mm/aaaa")</f>
        <v>24/04/2026</v>
      </c>
    </row>
    <row r="2314" spans="1:21" x14ac:dyDescent="0.25">
      <c r="A2314" s="9">
        <v>46136.595613425925</v>
      </c>
      <c r="B2314" t="s">
        <v>19</v>
      </c>
      <c r="C2314" t="s">
        <v>37</v>
      </c>
      <c r="D2314">
        <v>113</v>
      </c>
      <c r="E2314">
        <v>7783371000136</v>
      </c>
      <c r="F2314">
        <v>605</v>
      </c>
      <c r="G2314" s="10">
        <v>177705106137481</v>
      </c>
      <c r="H2314" t="s">
        <v>84</v>
      </c>
      <c r="I2314">
        <v>3003</v>
      </c>
      <c r="J2314" t="s">
        <v>22</v>
      </c>
      <c r="K2314" t="s">
        <v>23</v>
      </c>
      <c r="L2314" t="s">
        <v>31</v>
      </c>
      <c r="M2314" t="s">
        <v>636</v>
      </c>
      <c r="N2314" t="s">
        <v>53</v>
      </c>
      <c r="O2314">
        <v>128</v>
      </c>
      <c r="R2314" s="11">
        <v>8.1018518518518516E-5</v>
      </c>
      <c r="S2314" t="s">
        <v>37</v>
      </c>
      <c r="T2314" t="str">
        <f>IF(Tabela1[[#This Row],[STATUS_NEGOCIO]]="Enviar E-mail",1,"")</f>
        <v/>
      </c>
      <c r="U2314" t="str">
        <f>TEXT(Tabela1[[#This Row],[DATA]],"dd/mm/aaaa")</f>
        <v>24/04/2026</v>
      </c>
    </row>
    <row r="2315" spans="1:21" x14ac:dyDescent="0.25">
      <c r="A2315" s="9">
        <v>46136.595671296294</v>
      </c>
      <c r="B2315" t="s">
        <v>19</v>
      </c>
      <c r="C2315" t="s">
        <v>37</v>
      </c>
      <c r="D2315">
        <v>114</v>
      </c>
      <c r="E2315">
        <v>7876652000133</v>
      </c>
      <c r="F2315">
        <v>606</v>
      </c>
      <c r="G2315" s="10">
        <v>177705106637511</v>
      </c>
      <c r="H2315" t="s">
        <v>344</v>
      </c>
      <c r="I2315">
        <v>3003</v>
      </c>
      <c r="J2315" t="s">
        <v>22</v>
      </c>
      <c r="K2315" t="s">
        <v>23</v>
      </c>
      <c r="L2315" t="s">
        <v>31</v>
      </c>
      <c r="M2315" t="s">
        <v>636</v>
      </c>
      <c r="N2315" t="s">
        <v>53</v>
      </c>
      <c r="O2315">
        <v>147</v>
      </c>
      <c r="R2315" s="11">
        <v>8.1018518518518516E-5</v>
      </c>
      <c r="S2315" t="s">
        <v>37</v>
      </c>
      <c r="T2315" t="str">
        <f>IF(Tabela1[[#This Row],[STATUS_NEGOCIO]]="Enviar E-mail",1,"")</f>
        <v/>
      </c>
      <c r="U2315" t="str">
        <f>TEXT(Tabela1[[#This Row],[DATA]],"dd/mm/aaaa")</f>
        <v>24/04/2026</v>
      </c>
    </row>
    <row r="2316" spans="1:21" x14ac:dyDescent="0.25">
      <c r="A2316" s="9">
        <v>46136.595682870371</v>
      </c>
      <c r="B2316" t="s">
        <v>19</v>
      </c>
      <c r="C2316" t="s">
        <v>37</v>
      </c>
      <c r="D2316">
        <v>115</v>
      </c>
      <c r="E2316">
        <v>7955927000124</v>
      </c>
      <c r="F2316">
        <v>607</v>
      </c>
      <c r="G2316" s="10">
        <v>177705106737531</v>
      </c>
      <c r="H2316" t="s">
        <v>79</v>
      </c>
      <c r="I2316">
        <v>3003</v>
      </c>
      <c r="J2316" t="s">
        <v>22</v>
      </c>
      <c r="K2316" t="s">
        <v>23</v>
      </c>
      <c r="L2316" t="s">
        <v>31</v>
      </c>
      <c r="M2316" t="s">
        <v>636</v>
      </c>
      <c r="N2316" t="s">
        <v>53</v>
      </c>
      <c r="O2316">
        <v>128</v>
      </c>
      <c r="R2316" s="11">
        <v>8.1018518518518516E-5</v>
      </c>
      <c r="S2316" t="s">
        <v>37</v>
      </c>
      <c r="T2316" t="str">
        <f>IF(Tabela1[[#This Row],[STATUS_NEGOCIO]]="Enviar E-mail",1,"")</f>
        <v/>
      </c>
      <c r="U2316" t="str">
        <f>TEXT(Tabela1[[#This Row],[DATA]],"dd/mm/aaaa")</f>
        <v>24/04/2026</v>
      </c>
    </row>
    <row r="2317" spans="1:21" x14ac:dyDescent="0.25">
      <c r="A2317" s="9">
        <v>46136.595682870371</v>
      </c>
      <c r="B2317" t="s">
        <v>19</v>
      </c>
      <c r="C2317" t="s">
        <v>37</v>
      </c>
      <c r="D2317">
        <v>116</v>
      </c>
      <c r="E2317">
        <v>8083779000168</v>
      </c>
      <c r="F2317">
        <v>608</v>
      </c>
      <c r="G2317" s="10">
        <v>177705106737541</v>
      </c>
      <c r="H2317" t="s">
        <v>345</v>
      </c>
      <c r="I2317">
        <v>3003</v>
      </c>
      <c r="J2317" t="s">
        <v>22</v>
      </c>
      <c r="K2317" t="s">
        <v>23</v>
      </c>
      <c r="L2317" t="s">
        <v>31</v>
      </c>
      <c r="M2317" t="s">
        <v>636</v>
      </c>
      <c r="N2317" t="s">
        <v>53</v>
      </c>
      <c r="O2317">
        <v>128</v>
      </c>
      <c r="R2317" s="11">
        <v>8.1018518518518516E-5</v>
      </c>
      <c r="S2317" t="s">
        <v>37</v>
      </c>
      <c r="T2317" t="str">
        <f>IF(Tabela1[[#This Row],[STATUS_NEGOCIO]]="Enviar E-mail",1,"")</f>
        <v/>
      </c>
      <c r="U2317" t="str">
        <f>TEXT(Tabela1[[#This Row],[DATA]],"dd/mm/aaaa")</f>
        <v>24/04/2026</v>
      </c>
    </row>
    <row r="2318" spans="1:21" x14ac:dyDescent="0.25">
      <c r="A2318" s="9">
        <v>46136.595706018517</v>
      </c>
      <c r="B2318" t="s">
        <v>19</v>
      </c>
      <c r="C2318" t="s">
        <v>37</v>
      </c>
      <c r="D2318">
        <v>117</v>
      </c>
      <c r="E2318">
        <v>8117661000103</v>
      </c>
      <c r="F2318">
        <v>609</v>
      </c>
      <c r="G2318" s="10">
        <v>177705106937561</v>
      </c>
      <c r="H2318" t="s">
        <v>94</v>
      </c>
      <c r="I2318">
        <v>3003</v>
      </c>
      <c r="J2318" t="s">
        <v>22</v>
      </c>
      <c r="K2318" t="s">
        <v>23</v>
      </c>
      <c r="L2318" t="s">
        <v>31</v>
      </c>
      <c r="M2318" t="s">
        <v>636</v>
      </c>
      <c r="N2318" t="s">
        <v>53</v>
      </c>
      <c r="O2318">
        <v>128</v>
      </c>
      <c r="R2318" s="11">
        <v>6.9444444444444444E-5</v>
      </c>
      <c r="S2318" t="s">
        <v>37</v>
      </c>
      <c r="T2318" t="str">
        <f>IF(Tabela1[[#This Row],[STATUS_NEGOCIO]]="Enviar E-mail",1,"")</f>
        <v/>
      </c>
      <c r="U2318" t="str">
        <f>TEXT(Tabela1[[#This Row],[DATA]],"dd/mm/aaaa")</f>
        <v>24/04/2026</v>
      </c>
    </row>
    <row r="2319" spans="1:21" x14ac:dyDescent="0.25">
      <c r="A2319" s="9">
        <v>46136.595729166664</v>
      </c>
      <c r="B2319" t="s">
        <v>19</v>
      </c>
      <c r="C2319" t="s">
        <v>37</v>
      </c>
      <c r="D2319">
        <v>118</v>
      </c>
      <c r="E2319">
        <v>8144303000190</v>
      </c>
      <c r="F2319">
        <v>610</v>
      </c>
      <c r="G2319" s="10">
        <v>177705107137581</v>
      </c>
      <c r="H2319" t="s">
        <v>346</v>
      </c>
      <c r="I2319">
        <v>3003</v>
      </c>
      <c r="J2319" t="s">
        <v>22</v>
      </c>
      <c r="K2319" t="s">
        <v>23</v>
      </c>
      <c r="L2319" t="s">
        <v>31</v>
      </c>
      <c r="M2319" t="s">
        <v>636</v>
      </c>
      <c r="N2319" t="s">
        <v>53</v>
      </c>
      <c r="O2319">
        <v>128</v>
      </c>
      <c r="R2319" s="11">
        <v>8.1018518518518516E-5</v>
      </c>
      <c r="S2319" t="s">
        <v>37</v>
      </c>
      <c r="T2319" t="str">
        <f>IF(Tabela1[[#This Row],[STATUS_NEGOCIO]]="Enviar E-mail",1,"")</f>
        <v/>
      </c>
      <c r="U2319" t="str">
        <f>TEXT(Tabela1[[#This Row],[DATA]],"dd/mm/aaaa")</f>
        <v>24/04/2026</v>
      </c>
    </row>
    <row r="2320" spans="1:21" x14ac:dyDescent="0.25">
      <c r="A2320" s="9">
        <v>46136.59574074074</v>
      </c>
      <c r="B2320" t="s">
        <v>19</v>
      </c>
      <c r="C2320" t="s">
        <v>37</v>
      </c>
      <c r="D2320">
        <v>119</v>
      </c>
      <c r="E2320">
        <v>8174306000176</v>
      </c>
      <c r="F2320">
        <v>611</v>
      </c>
      <c r="G2320" s="10">
        <v>177705107237601</v>
      </c>
      <c r="H2320" t="s">
        <v>347</v>
      </c>
      <c r="I2320">
        <v>3003</v>
      </c>
      <c r="J2320" t="s">
        <v>22</v>
      </c>
      <c r="K2320" t="s">
        <v>23</v>
      </c>
      <c r="L2320" t="s">
        <v>31</v>
      </c>
      <c r="M2320" t="s">
        <v>636</v>
      </c>
      <c r="N2320" t="s">
        <v>53</v>
      </c>
      <c r="O2320">
        <v>128</v>
      </c>
      <c r="R2320" s="11">
        <v>8.1018518518518516E-5</v>
      </c>
      <c r="S2320" t="s">
        <v>37</v>
      </c>
      <c r="T2320" t="str">
        <f>IF(Tabela1[[#This Row],[STATUS_NEGOCIO]]="Enviar E-mail",1,"")</f>
        <v/>
      </c>
      <c r="U2320" t="str">
        <f>TEXT(Tabela1[[#This Row],[DATA]],"dd/mm/aaaa")</f>
        <v>24/04/2026</v>
      </c>
    </row>
    <row r="2321" spans="1:21" x14ac:dyDescent="0.25">
      <c r="A2321" s="9">
        <v>46136.595763888887</v>
      </c>
      <c r="B2321" t="s">
        <v>19</v>
      </c>
      <c r="C2321" t="s">
        <v>37</v>
      </c>
      <c r="D2321">
        <v>120</v>
      </c>
      <c r="E2321">
        <v>8226364000104</v>
      </c>
      <c r="F2321">
        <v>612</v>
      </c>
      <c r="G2321" s="10">
        <v>177705107437621</v>
      </c>
      <c r="H2321" t="s">
        <v>348</v>
      </c>
      <c r="I2321">
        <v>3003</v>
      </c>
      <c r="J2321" t="s">
        <v>22</v>
      </c>
      <c r="K2321" t="s">
        <v>23</v>
      </c>
      <c r="L2321" t="s">
        <v>31</v>
      </c>
      <c r="M2321" t="s">
        <v>636</v>
      </c>
      <c r="N2321" t="s">
        <v>53</v>
      </c>
      <c r="O2321">
        <v>128</v>
      </c>
      <c r="R2321" s="11">
        <v>8.1018518518518516E-5</v>
      </c>
      <c r="S2321" t="s">
        <v>37</v>
      </c>
      <c r="T2321" t="str">
        <f>IF(Tabela1[[#This Row],[STATUS_NEGOCIO]]="Enviar E-mail",1,"")</f>
        <v/>
      </c>
      <c r="U2321" t="str">
        <f>TEXT(Tabela1[[#This Row],[DATA]],"dd/mm/aaaa")</f>
        <v>24/04/2026</v>
      </c>
    </row>
    <row r="2322" spans="1:21" x14ac:dyDescent="0.25">
      <c r="A2322" s="9">
        <v>46136.59578703704</v>
      </c>
      <c r="B2322" t="s">
        <v>19</v>
      </c>
      <c r="C2322" t="s">
        <v>37</v>
      </c>
      <c r="D2322">
        <v>121</v>
      </c>
      <c r="E2322">
        <v>8311819000262</v>
      </c>
      <c r="F2322">
        <v>613</v>
      </c>
      <c r="G2322" s="10">
        <v>177705107637651</v>
      </c>
      <c r="H2322" t="s">
        <v>349</v>
      </c>
      <c r="I2322">
        <v>3003</v>
      </c>
      <c r="J2322" t="s">
        <v>22</v>
      </c>
      <c r="K2322" t="s">
        <v>23</v>
      </c>
      <c r="L2322" t="s">
        <v>31</v>
      </c>
      <c r="M2322" t="s">
        <v>636</v>
      </c>
      <c r="N2322" t="s">
        <v>53</v>
      </c>
      <c r="O2322">
        <v>128</v>
      </c>
      <c r="R2322" s="11">
        <v>8.1018518518518516E-5</v>
      </c>
      <c r="S2322" t="s">
        <v>37</v>
      </c>
      <c r="T2322" t="str">
        <f>IF(Tabela1[[#This Row],[STATUS_NEGOCIO]]="Enviar E-mail",1,"")</f>
        <v/>
      </c>
      <c r="U2322" t="str">
        <f>TEXT(Tabela1[[#This Row],[DATA]],"dd/mm/aaaa")</f>
        <v>24/04/2026</v>
      </c>
    </row>
    <row r="2323" spans="1:21" x14ac:dyDescent="0.25">
      <c r="A2323" s="9">
        <v>46136.59578703704</v>
      </c>
      <c r="B2323" t="s">
        <v>19</v>
      </c>
      <c r="C2323" t="s">
        <v>37</v>
      </c>
      <c r="D2323">
        <v>122</v>
      </c>
      <c r="E2323">
        <v>8518829000354</v>
      </c>
      <c r="F2323">
        <v>614</v>
      </c>
      <c r="G2323" s="10">
        <v>177705107637661</v>
      </c>
      <c r="H2323" t="s">
        <v>350</v>
      </c>
      <c r="I2323">
        <v>3003</v>
      </c>
      <c r="J2323" t="s">
        <v>22</v>
      </c>
      <c r="K2323" t="s">
        <v>23</v>
      </c>
      <c r="L2323" t="s">
        <v>31</v>
      </c>
      <c r="M2323" t="s">
        <v>636</v>
      </c>
      <c r="N2323" t="s">
        <v>53</v>
      </c>
      <c r="O2323">
        <v>128</v>
      </c>
      <c r="R2323" s="11">
        <v>8.1018518518518516E-5</v>
      </c>
      <c r="S2323" t="s">
        <v>37</v>
      </c>
      <c r="T2323" t="str">
        <f>IF(Tabela1[[#This Row],[STATUS_NEGOCIO]]="Enviar E-mail",1,"")</f>
        <v/>
      </c>
      <c r="U2323" t="str">
        <f>TEXT(Tabela1[[#This Row],[DATA]],"dd/mm/aaaa")</f>
        <v>24/04/2026</v>
      </c>
    </row>
    <row r="2324" spans="1:21" x14ac:dyDescent="0.25">
      <c r="A2324" s="9">
        <v>46136.59579861111</v>
      </c>
      <c r="B2324" t="s">
        <v>19</v>
      </c>
      <c r="C2324" t="s">
        <v>37</v>
      </c>
      <c r="D2324">
        <v>123</v>
      </c>
      <c r="E2324">
        <v>8537926000122</v>
      </c>
      <c r="F2324">
        <v>615</v>
      </c>
      <c r="G2324" s="10">
        <v>177705107737671</v>
      </c>
      <c r="H2324" t="s">
        <v>351</v>
      </c>
      <c r="I2324" t="s">
        <v>52</v>
      </c>
      <c r="J2324" t="s">
        <v>22</v>
      </c>
      <c r="K2324" t="s">
        <v>36</v>
      </c>
      <c r="L2324" t="s">
        <v>36</v>
      </c>
      <c r="M2324" t="s">
        <v>636</v>
      </c>
      <c r="N2324" t="s">
        <v>53</v>
      </c>
      <c r="O2324">
        <v>19</v>
      </c>
      <c r="R2324" s="11">
        <v>0</v>
      </c>
      <c r="S2324" t="s">
        <v>37</v>
      </c>
      <c r="T2324" t="str">
        <f>IF(Tabela1[[#This Row],[STATUS_NEGOCIO]]="Enviar E-mail",1,"")</f>
        <v/>
      </c>
      <c r="U2324" t="str">
        <f>TEXT(Tabela1[[#This Row],[DATA]],"dd/mm/aaaa")</f>
        <v>24/04/2026</v>
      </c>
    </row>
    <row r="2325" spans="1:21" x14ac:dyDescent="0.25">
      <c r="A2325" s="9">
        <v>46136.595902777779</v>
      </c>
      <c r="B2325" t="s">
        <v>19</v>
      </c>
      <c r="C2325" t="s">
        <v>37</v>
      </c>
      <c r="D2325">
        <v>124</v>
      </c>
      <c r="E2325">
        <v>8599024000110</v>
      </c>
      <c r="F2325">
        <v>616</v>
      </c>
      <c r="G2325" s="10">
        <v>177705108637691</v>
      </c>
      <c r="H2325" t="s">
        <v>352</v>
      </c>
      <c r="I2325">
        <v>3003</v>
      </c>
      <c r="J2325" t="s">
        <v>22</v>
      </c>
      <c r="K2325" t="s">
        <v>23</v>
      </c>
      <c r="L2325" t="s">
        <v>31</v>
      </c>
      <c r="M2325" t="s">
        <v>636</v>
      </c>
      <c r="N2325" t="s">
        <v>53</v>
      </c>
      <c r="O2325">
        <v>128</v>
      </c>
      <c r="R2325" s="11">
        <v>8.1018518518518516E-5</v>
      </c>
      <c r="S2325" t="s">
        <v>37</v>
      </c>
      <c r="T2325" t="str">
        <f>IF(Tabela1[[#This Row],[STATUS_NEGOCIO]]="Enviar E-mail",1,"")</f>
        <v/>
      </c>
      <c r="U2325" t="str">
        <f>TEXT(Tabela1[[#This Row],[DATA]],"dd/mm/aaaa")</f>
        <v>24/04/2026</v>
      </c>
    </row>
    <row r="2326" spans="1:21" x14ac:dyDescent="0.25">
      <c r="A2326" s="9">
        <v>46136.595949074072</v>
      </c>
      <c r="B2326" t="s">
        <v>19</v>
      </c>
      <c r="C2326" t="s">
        <v>20</v>
      </c>
      <c r="D2326">
        <v>125</v>
      </c>
      <c r="E2326">
        <v>8665134000133</v>
      </c>
      <c r="F2326">
        <v>617</v>
      </c>
      <c r="G2326" s="10">
        <v>177705109037711</v>
      </c>
      <c r="H2326" t="s">
        <v>353</v>
      </c>
      <c r="I2326">
        <v>3003</v>
      </c>
      <c r="J2326" t="s">
        <v>22</v>
      </c>
      <c r="K2326" t="s">
        <v>23</v>
      </c>
      <c r="L2326" t="s">
        <v>40</v>
      </c>
      <c r="M2326" t="s">
        <v>636</v>
      </c>
      <c r="N2326" t="s">
        <v>32</v>
      </c>
      <c r="O2326">
        <v>16</v>
      </c>
      <c r="R2326" s="11">
        <v>1.9560185185185184E-3</v>
      </c>
      <c r="S2326" s="11">
        <v>1.9097222222222222E-3</v>
      </c>
      <c r="T2326">
        <f>IF(Tabela1[[#This Row],[STATUS_NEGOCIO]]="Enviar E-mail",1,"")</f>
        <v>1</v>
      </c>
      <c r="U2326" t="str">
        <f>TEXT(Tabela1[[#This Row],[DATA]],"dd/mm/aaaa")</f>
        <v>24/04/2026</v>
      </c>
    </row>
    <row r="2327" spans="1:21" x14ac:dyDescent="0.25">
      <c r="A2327" s="9">
        <v>46136.595960648148</v>
      </c>
      <c r="B2327" t="s">
        <v>19</v>
      </c>
      <c r="C2327" t="s">
        <v>37</v>
      </c>
      <c r="D2327">
        <v>126</v>
      </c>
      <c r="E2327">
        <v>8764146000115</v>
      </c>
      <c r="F2327">
        <v>618</v>
      </c>
      <c r="G2327" s="10">
        <v>177705109137731</v>
      </c>
      <c r="H2327" t="s">
        <v>354</v>
      </c>
      <c r="I2327">
        <v>3003</v>
      </c>
      <c r="J2327" t="s">
        <v>22</v>
      </c>
      <c r="K2327" t="s">
        <v>23</v>
      </c>
      <c r="L2327" t="s">
        <v>31</v>
      </c>
      <c r="M2327" t="s">
        <v>636</v>
      </c>
      <c r="N2327" t="s">
        <v>53</v>
      </c>
      <c r="O2327">
        <v>128</v>
      </c>
      <c r="R2327" s="11">
        <v>6.9444444444444444E-5</v>
      </c>
      <c r="S2327" t="s">
        <v>37</v>
      </c>
      <c r="T2327" t="str">
        <f>IF(Tabela1[[#This Row],[STATUS_NEGOCIO]]="Enviar E-mail",1,"")</f>
        <v/>
      </c>
      <c r="U2327" t="str">
        <f>TEXT(Tabela1[[#This Row],[DATA]],"dd/mm/aaaa")</f>
        <v>24/04/2026</v>
      </c>
    </row>
    <row r="2328" spans="1:21" x14ac:dyDescent="0.25">
      <c r="A2328" s="9">
        <v>46136.595983796295</v>
      </c>
      <c r="B2328" t="s">
        <v>19</v>
      </c>
      <c r="C2328" t="s">
        <v>37</v>
      </c>
      <c r="D2328">
        <v>127</v>
      </c>
      <c r="E2328">
        <v>8879331000155</v>
      </c>
      <c r="F2328">
        <v>619</v>
      </c>
      <c r="G2328" s="10">
        <v>177705109337751</v>
      </c>
      <c r="H2328" t="s">
        <v>355</v>
      </c>
      <c r="I2328" t="s">
        <v>52</v>
      </c>
      <c r="J2328" t="s">
        <v>22</v>
      </c>
      <c r="K2328" t="s">
        <v>36</v>
      </c>
      <c r="L2328" t="s">
        <v>36</v>
      </c>
      <c r="M2328" t="s">
        <v>636</v>
      </c>
      <c r="N2328" t="s">
        <v>53</v>
      </c>
      <c r="O2328">
        <v>34</v>
      </c>
      <c r="R2328" s="11">
        <v>0</v>
      </c>
      <c r="S2328" t="s">
        <v>37</v>
      </c>
      <c r="T2328" t="str">
        <f>IF(Tabela1[[#This Row],[STATUS_NEGOCIO]]="Enviar E-mail",1,"")</f>
        <v/>
      </c>
      <c r="U2328" t="str">
        <f>TEXT(Tabela1[[#This Row],[DATA]],"dd/mm/aaaa")</f>
        <v>24/04/2026</v>
      </c>
    </row>
    <row r="2329" spans="1:21" x14ac:dyDescent="0.25">
      <c r="A2329" s="9">
        <v>46136.596053240741</v>
      </c>
      <c r="B2329" t="s">
        <v>19</v>
      </c>
      <c r="C2329" t="s">
        <v>37</v>
      </c>
      <c r="D2329">
        <v>128</v>
      </c>
      <c r="E2329">
        <v>8892204000196</v>
      </c>
      <c r="F2329">
        <v>620</v>
      </c>
      <c r="G2329" s="10">
        <v>177705109937771</v>
      </c>
      <c r="H2329" t="s">
        <v>356</v>
      </c>
      <c r="I2329">
        <v>3003</v>
      </c>
      <c r="J2329" t="s">
        <v>22</v>
      </c>
      <c r="K2329" t="s">
        <v>23</v>
      </c>
      <c r="L2329" t="s">
        <v>31</v>
      </c>
      <c r="M2329" t="s">
        <v>636</v>
      </c>
      <c r="N2329" t="s">
        <v>53</v>
      </c>
      <c r="O2329">
        <v>128</v>
      </c>
      <c r="R2329" s="11">
        <v>8.1018518518518516E-5</v>
      </c>
      <c r="S2329" t="s">
        <v>37</v>
      </c>
      <c r="T2329" t="str">
        <f>IF(Tabela1[[#This Row],[STATUS_NEGOCIO]]="Enviar E-mail",1,"")</f>
        <v/>
      </c>
      <c r="U2329" t="str">
        <f>TEXT(Tabela1[[#This Row],[DATA]],"dd/mm/aaaa")</f>
        <v>24/04/2026</v>
      </c>
    </row>
    <row r="2330" spans="1:21" x14ac:dyDescent="0.25">
      <c r="A2330" s="9">
        <v>46136.596064814818</v>
      </c>
      <c r="B2330" t="s">
        <v>19</v>
      </c>
      <c r="C2330" t="s">
        <v>37</v>
      </c>
      <c r="D2330">
        <v>129</v>
      </c>
      <c r="E2330">
        <v>8912389000153</v>
      </c>
      <c r="F2330">
        <v>621</v>
      </c>
      <c r="G2330" s="10">
        <v>177705110037781</v>
      </c>
      <c r="H2330" t="s">
        <v>357</v>
      </c>
      <c r="I2330">
        <v>3003</v>
      </c>
      <c r="J2330" t="s">
        <v>22</v>
      </c>
      <c r="K2330" t="s">
        <v>23</v>
      </c>
      <c r="L2330" t="s">
        <v>31</v>
      </c>
      <c r="M2330" t="s">
        <v>636</v>
      </c>
      <c r="N2330" t="s">
        <v>26</v>
      </c>
      <c r="O2330">
        <v>131</v>
      </c>
      <c r="R2330" s="11">
        <v>9.2592592592592596E-4</v>
      </c>
      <c r="S2330" t="s">
        <v>37</v>
      </c>
      <c r="T2330" t="str">
        <f>IF(Tabela1[[#This Row],[STATUS_NEGOCIO]]="Enviar E-mail",1,"")</f>
        <v/>
      </c>
      <c r="U2330" t="str">
        <f>TEXT(Tabela1[[#This Row],[DATA]],"dd/mm/aaaa")</f>
        <v>24/04/2026</v>
      </c>
    </row>
    <row r="2331" spans="1:21" x14ac:dyDescent="0.25">
      <c r="A2331" s="9">
        <v>46136.596145833333</v>
      </c>
      <c r="B2331" t="s">
        <v>19</v>
      </c>
      <c r="C2331" t="s">
        <v>37</v>
      </c>
      <c r="D2331">
        <v>130</v>
      </c>
      <c r="E2331">
        <v>8951936000100</v>
      </c>
      <c r="F2331">
        <v>622</v>
      </c>
      <c r="G2331" s="10">
        <v>177705110737811</v>
      </c>
      <c r="H2331" t="s">
        <v>358</v>
      </c>
      <c r="I2331" t="s">
        <v>52</v>
      </c>
      <c r="J2331" t="s">
        <v>22</v>
      </c>
      <c r="K2331" t="s">
        <v>36</v>
      </c>
      <c r="L2331" t="s">
        <v>36</v>
      </c>
      <c r="M2331" t="s">
        <v>636</v>
      </c>
      <c r="N2331" t="s">
        <v>53</v>
      </c>
      <c r="O2331">
        <v>19</v>
      </c>
      <c r="R2331" s="11">
        <v>0</v>
      </c>
      <c r="S2331" t="s">
        <v>37</v>
      </c>
      <c r="T2331" t="str">
        <f>IF(Tabela1[[#This Row],[STATUS_NEGOCIO]]="Enviar E-mail",1,"")</f>
        <v/>
      </c>
      <c r="U2331" t="str">
        <f>TEXT(Tabela1[[#This Row],[DATA]],"dd/mm/aaaa")</f>
        <v>24/04/2026</v>
      </c>
    </row>
    <row r="2332" spans="1:21" x14ac:dyDescent="0.25">
      <c r="A2332" s="9">
        <v>46136.596203703702</v>
      </c>
      <c r="B2332" t="s">
        <v>19</v>
      </c>
      <c r="C2332" t="s">
        <v>37</v>
      </c>
      <c r="D2332">
        <v>131</v>
      </c>
      <c r="E2332">
        <v>8973205000165</v>
      </c>
      <c r="F2332">
        <v>623</v>
      </c>
      <c r="G2332" s="10">
        <v>177705111237831</v>
      </c>
      <c r="H2332" t="s">
        <v>359</v>
      </c>
      <c r="I2332">
        <v>3003</v>
      </c>
      <c r="J2332" t="s">
        <v>22</v>
      </c>
      <c r="K2332" t="s">
        <v>23</v>
      </c>
      <c r="L2332" t="s">
        <v>31</v>
      </c>
      <c r="M2332" t="s">
        <v>636</v>
      </c>
      <c r="N2332" t="s">
        <v>53</v>
      </c>
      <c r="O2332">
        <v>128</v>
      </c>
      <c r="R2332" s="11">
        <v>8.1018518518518516E-5</v>
      </c>
      <c r="S2332" t="s">
        <v>37</v>
      </c>
      <c r="T2332" t="str">
        <f>IF(Tabela1[[#This Row],[STATUS_NEGOCIO]]="Enviar E-mail",1,"")</f>
        <v/>
      </c>
      <c r="U2332" t="str">
        <f>TEXT(Tabela1[[#This Row],[DATA]],"dd/mm/aaaa")</f>
        <v>24/04/2026</v>
      </c>
    </row>
    <row r="2333" spans="1:21" x14ac:dyDescent="0.25">
      <c r="A2333" s="9">
        <v>46136.596261574072</v>
      </c>
      <c r="B2333" t="s">
        <v>19</v>
      </c>
      <c r="C2333" t="s">
        <v>37</v>
      </c>
      <c r="D2333">
        <v>132</v>
      </c>
      <c r="E2333">
        <v>8996355000194</v>
      </c>
      <c r="F2333">
        <v>624</v>
      </c>
      <c r="G2333" s="10">
        <v>177705111737901</v>
      </c>
      <c r="H2333" t="s">
        <v>360</v>
      </c>
      <c r="I2333">
        <v>3003</v>
      </c>
      <c r="J2333" t="s">
        <v>22</v>
      </c>
      <c r="K2333" t="s">
        <v>23</v>
      </c>
      <c r="L2333" t="s">
        <v>31</v>
      </c>
      <c r="M2333" t="s">
        <v>636</v>
      </c>
      <c r="N2333" t="s">
        <v>53</v>
      </c>
      <c r="O2333">
        <v>128</v>
      </c>
      <c r="R2333" s="11">
        <v>8.1018518518518516E-5</v>
      </c>
      <c r="S2333" t="s">
        <v>37</v>
      </c>
      <c r="T2333" t="str">
        <f>IF(Tabela1[[#This Row],[STATUS_NEGOCIO]]="Enviar E-mail",1,"")</f>
        <v/>
      </c>
      <c r="U2333" t="str">
        <f>TEXT(Tabela1[[#This Row],[DATA]],"dd/mm/aaaa")</f>
        <v>24/04/2026</v>
      </c>
    </row>
    <row r="2334" spans="1:21" x14ac:dyDescent="0.25">
      <c r="A2334" s="9">
        <v>46136.596284722225</v>
      </c>
      <c r="B2334" t="s">
        <v>19</v>
      </c>
      <c r="C2334" t="s">
        <v>37</v>
      </c>
      <c r="D2334">
        <v>133</v>
      </c>
      <c r="E2334">
        <v>9082639000138</v>
      </c>
      <c r="F2334">
        <v>625</v>
      </c>
      <c r="G2334" s="10">
        <v>177705111937911</v>
      </c>
      <c r="H2334" t="s">
        <v>41</v>
      </c>
      <c r="I2334">
        <v>3003</v>
      </c>
      <c r="J2334" t="s">
        <v>22</v>
      </c>
      <c r="K2334" t="s">
        <v>23</v>
      </c>
      <c r="L2334" t="s">
        <v>31</v>
      </c>
      <c r="M2334" t="s">
        <v>636</v>
      </c>
      <c r="N2334" t="s">
        <v>53</v>
      </c>
      <c r="O2334">
        <v>128</v>
      </c>
      <c r="R2334" s="11">
        <v>8.1018518518518516E-5</v>
      </c>
      <c r="S2334" t="s">
        <v>37</v>
      </c>
      <c r="T2334" t="str">
        <f>IF(Tabela1[[#This Row],[STATUS_NEGOCIO]]="Enviar E-mail",1,"")</f>
        <v/>
      </c>
      <c r="U2334" t="str">
        <f>TEXT(Tabela1[[#This Row],[DATA]],"dd/mm/aaaa")</f>
        <v>24/04/2026</v>
      </c>
    </row>
    <row r="2335" spans="1:21" x14ac:dyDescent="0.25">
      <c r="A2335" s="9">
        <v>46136.596331018518</v>
      </c>
      <c r="B2335" t="s">
        <v>19</v>
      </c>
      <c r="C2335" t="s">
        <v>37</v>
      </c>
      <c r="D2335">
        <v>136</v>
      </c>
      <c r="E2335">
        <v>9232340000112</v>
      </c>
      <c r="F2335">
        <v>626</v>
      </c>
      <c r="G2335" s="10">
        <v>177705112337931</v>
      </c>
      <c r="H2335" t="s">
        <v>362</v>
      </c>
      <c r="I2335">
        <v>3003</v>
      </c>
      <c r="J2335" t="s">
        <v>22</v>
      </c>
      <c r="K2335" t="s">
        <v>23</v>
      </c>
      <c r="L2335" t="s">
        <v>31</v>
      </c>
      <c r="M2335" t="s">
        <v>636</v>
      </c>
      <c r="N2335" t="s">
        <v>53</v>
      </c>
      <c r="O2335">
        <v>128</v>
      </c>
      <c r="R2335" s="11">
        <v>3.4722222222222222E-5</v>
      </c>
      <c r="S2335" t="s">
        <v>37</v>
      </c>
      <c r="T2335" t="str">
        <f>IF(Tabela1[[#This Row],[STATUS_NEGOCIO]]="Enviar E-mail",1,"")</f>
        <v/>
      </c>
      <c r="U2335" t="str">
        <f>TEXT(Tabela1[[#This Row],[DATA]],"dd/mm/aaaa")</f>
        <v>24/04/2026</v>
      </c>
    </row>
    <row r="2336" spans="1:21" x14ac:dyDescent="0.25">
      <c r="A2336" s="9">
        <v>46136.596354166664</v>
      </c>
      <c r="B2336" t="s">
        <v>19</v>
      </c>
      <c r="C2336" t="s">
        <v>37</v>
      </c>
      <c r="D2336">
        <v>137</v>
      </c>
      <c r="E2336">
        <v>9243828000145</v>
      </c>
      <c r="F2336">
        <v>627</v>
      </c>
      <c r="G2336" s="10">
        <v>177705112537941</v>
      </c>
      <c r="H2336" t="s">
        <v>80</v>
      </c>
      <c r="I2336">
        <v>3003</v>
      </c>
      <c r="J2336" t="s">
        <v>22</v>
      </c>
      <c r="K2336" t="s">
        <v>23</v>
      </c>
      <c r="L2336" t="s">
        <v>31</v>
      </c>
      <c r="M2336" t="s">
        <v>636</v>
      </c>
      <c r="N2336" t="s">
        <v>53</v>
      </c>
      <c r="O2336">
        <v>128</v>
      </c>
      <c r="R2336" s="11">
        <v>8.1018518518518516E-5</v>
      </c>
      <c r="S2336" t="s">
        <v>37</v>
      </c>
      <c r="T2336" t="str">
        <f>IF(Tabela1[[#This Row],[STATUS_NEGOCIO]]="Enviar E-mail",1,"")</f>
        <v/>
      </c>
      <c r="U2336" t="str">
        <f>TEXT(Tabela1[[#This Row],[DATA]],"dd/mm/aaaa")</f>
        <v>24/04/2026</v>
      </c>
    </row>
    <row r="2337" spans="1:21" x14ac:dyDescent="0.25">
      <c r="A2337" s="9">
        <v>46136.596446759257</v>
      </c>
      <c r="B2337" t="s">
        <v>19</v>
      </c>
      <c r="C2337" t="s">
        <v>37</v>
      </c>
      <c r="D2337">
        <v>139</v>
      </c>
      <c r="E2337">
        <v>9445964000118</v>
      </c>
      <c r="F2337">
        <v>628</v>
      </c>
      <c r="G2337" s="10">
        <v>177705113338021</v>
      </c>
      <c r="H2337" t="s">
        <v>211</v>
      </c>
      <c r="I2337">
        <v>3003</v>
      </c>
      <c r="J2337" t="s">
        <v>22</v>
      </c>
      <c r="K2337" t="s">
        <v>23</v>
      </c>
      <c r="L2337" t="s">
        <v>31</v>
      </c>
      <c r="M2337" t="s">
        <v>636</v>
      </c>
      <c r="N2337" t="s">
        <v>53</v>
      </c>
      <c r="O2337">
        <v>128</v>
      </c>
      <c r="R2337" s="11">
        <v>8.1018518518518516E-5</v>
      </c>
      <c r="S2337" t="s">
        <v>37</v>
      </c>
      <c r="T2337" t="str">
        <f>IF(Tabela1[[#This Row],[STATUS_NEGOCIO]]="Enviar E-mail",1,"")</f>
        <v/>
      </c>
      <c r="U2337" t="str">
        <f>TEXT(Tabela1[[#This Row],[DATA]],"dd/mm/aaaa")</f>
        <v>24/04/2026</v>
      </c>
    </row>
    <row r="2338" spans="1:21" x14ac:dyDescent="0.25">
      <c r="A2338" s="9">
        <v>46136.59646990741</v>
      </c>
      <c r="B2338" t="s">
        <v>19</v>
      </c>
      <c r="C2338" t="s">
        <v>37</v>
      </c>
      <c r="D2338">
        <v>140</v>
      </c>
      <c r="E2338">
        <v>9450692000144</v>
      </c>
      <c r="F2338">
        <v>629</v>
      </c>
      <c r="G2338" s="10">
        <v>177705113538061</v>
      </c>
      <c r="H2338" t="s">
        <v>282</v>
      </c>
      <c r="I2338">
        <v>3003</v>
      </c>
      <c r="J2338" t="s">
        <v>22</v>
      </c>
      <c r="K2338" t="s">
        <v>23</v>
      </c>
      <c r="L2338" t="s">
        <v>31</v>
      </c>
      <c r="M2338" t="s">
        <v>636</v>
      </c>
      <c r="N2338" t="s">
        <v>53</v>
      </c>
      <c r="O2338">
        <v>128</v>
      </c>
      <c r="R2338" s="11">
        <v>8.1018518518518516E-5</v>
      </c>
      <c r="S2338" t="s">
        <v>37</v>
      </c>
      <c r="T2338" t="str">
        <f>IF(Tabela1[[#This Row],[STATUS_NEGOCIO]]="Enviar E-mail",1,"")</f>
        <v/>
      </c>
      <c r="U2338" t="str">
        <f>TEXT(Tabela1[[#This Row],[DATA]],"dd/mm/aaaa")</f>
        <v>24/04/2026</v>
      </c>
    </row>
    <row r="2339" spans="1:21" x14ac:dyDescent="0.25">
      <c r="A2339" s="9">
        <v>46136.596493055556</v>
      </c>
      <c r="B2339" t="s">
        <v>19</v>
      </c>
      <c r="C2339" t="s">
        <v>37</v>
      </c>
      <c r="D2339">
        <v>141</v>
      </c>
      <c r="E2339">
        <v>9477090000180</v>
      </c>
      <c r="F2339">
        <v>630</v>
      </c>
      <c r="G2339" s="10">
        <v>177705113738071</v>
      </c>
      <c r="H2339" t="s">
        <v>364</v>
      </c>
      <c r="I2339">
        <v>3003</v>
      </c>
      <c r="J2339" t="s">
        <v>22</v>
      </c>
      <c r="K2339" t="s">
        <v>23</v>
      </c>
      <c r="L2339" t="s">
        <v>31</v>
      </c>
      <c r="M2339" t="s">
        <v>636</v>
      </c>
      <c r="N2339" t="s">
        <v>53</v>
      </c>
      <c r="O2339">
        <v>128</v>
      </c>
      <c r="R2339" s="11">
        <v>8.1018518518518516E-5</v>
      </c>
      <c r="S2339" t="s">
        <v>37</v>
      </c>
      <c r="T2339" t="str">
        <f>IF(Tabela1[[#This Row],[STATUS_NEGOCIO]]="Enviar E-mail",1,"")</f>
        <v/>
      </c>
      <c r="U2339" t="str">
        <f>TEXT(Tabela1[[#This Row],[DATA]],"dd/mm/aaaa")</f>
        <v>24/04/2026</v>
      </c>
    </row>
    <row r="2340" spans="1:21" x14ac:dyDescent="0.25">
      <c r="A2340" s="9">
        <v>46136.596516203703</v>
      </c>
      <c r="B2340" t="s">
        <v>19</v>
      </c>
      <c r="C2340" t="s">
        <v>37</v>
      </c>
      <c r="D2340">
        <v>142</v>
      </c>
      <c r="E2340">
        <v>9524235000157</v>
      </c>
      <c r="F2340">
        <v>631</v>
      </c>
      <c r="G2340" s="10">
        <v>177705113938111</v>
      </c>
      <c r="H2340" t="s">
        <v>365</v>
      </c>
      <c r="I2340">
        <v>3003</v>
      </c>
      <c r="J2340" t="s">
        <v>22</v>
      </c>
      <c r="K2340" t="s">
        <v>23</v>
      </c>
      <c r="L2340" t="s">
        <v>31</v>
      </c>
      <c r="M2340" t="s">
        <v>636</v>
      </c>
      <c r="N2340" t="s">
        <v>26</v>
      </c>
      <c r="O2340">
        <v>131</v>
      </c>
      <c r="R2340" s="11">
        <v>1.9675925925925926E-4</v>
      </c>
      <c r="S2340" t="s">
        <v>37</v>
      </c>
      <c r="T2340" t="str">
        <f>IF(Tabela1[[#This Row],[STATUS_NEGOCIO]]="Enviar E-mail",1,"")</f>
        <v/>
      </c>
      <c r="U2340" t="str">
        <f>TEXT(Tabela1[[#This Row],[DATA]],"dd/mm/aaaa")</f>
        <v>24/04/2026</v>
      </c>
    </row>
    <row r="2341" spans="1:21" x14ac:dyDescent="0.25">
      <c r="A2341" s="9">
        <v>46136.596539351849</v>
      </c>
      <c r="B2341" t="s">
        <v>19</v>
      </c>
      <c r="C2341" t="s">
        <v>37</v>
      </c>
      <c r="D2341">
        <v>143</v>
      </c>
      <c r="E2341">
        <v>10199619000120</v>
      </c>
      <c r="F2341">
        <v>632</v>
      </c>
      <c r="G2341" s="10">
        <v>177705114138121</v>
      </c>
      <c r="H2341" t="s">
        <v>366</v>
      </c>
      <c r="I2341">
        <v>3003</v>
      </c>
      <c r="J2341" t="s">
        <v>22</v>
      </c>
      <c r="K2341" t="s">
        <v>23</v>
      </c>
      <c r="L2341" t="s">
        <v>31</v>
      </c>
      <c r="M2341" t="s">
        <v>636</v>
      </c>
      <c r="N2341" t="s">
        <v>53</v>
      </c>
      <c r="O2341">
        <v>128</v>
      </c>
      <c r="R2341" s="11">
        <v>6.9444444444444444E-5</v>
      </c>
      <c r="S2341" t="s">
        <v>37</v>
      </c>
      <c r="T2341" t="str">
        <f>IF(Tabela1[[#This Row],[STATUS_NEGOCIO]]="Enviar E-mail",1,"")</f>
        <v/>
      </c>
      <c r="U2341" t="str">
        <f>TEXT(Tabela1[[#This Row],[DATA]],"dd/mm/aaaa")</f>
        <v>24/04/2026</v>
      </c>
    </row>
    <row r="2342" spans="1:21" x14ac:dyDescent="0.25">
      <c r="A2342" s="9">
        <v>46136.596631944441</v>
      </c>
      <c r="B2342" t="s">
        <v>19</v>
      </c>
      <c r="C2342" t="s">
        <v>37</v>
      </c>
      <c r="D2342">
        <v>145</v>
      </c>
      <c r="E2342">
        <v>10320742000158</v>
      </c>
      <c r="F2342">
        <v>634</v>
      </c>
      <c r="G2342" s="10">
        <v>177705114938191</v>
      </c>
      <c r="H2342" t="s">
        <v>368</v>
      </c>
      <c r="I2342">
        <v>3003</v>
      </c>
      <c r="J2342" t="s">
        <v>22</v>
      </c>
      <c r="K2342" t="s">
        <v>23</v>
      </c>
      <c r="L2342" t="s">
        <v>31</v>
      </c>
      <c r="M2342" t="s">
        <v>636</v>
      </c>
      <c r="N2342" t="s">
        <v>53</v>
      </c>
      <c r="O2342">
        <v>131</v>
      </c>
      <c r="R2342" s="11">
        <v>3.4722222222222222E-5</v>
      </c>
      <c r="S2342" t="s">
        <v>37</v>
      </c>
      <c r="T2342" t="str">
        <f>IF(Tabela1[[#This Row],[STATUS_NEGOCIO]]="Enviar E-mail",1,"")</f>
        <v/>
      </c>
      <c r="U2342" t="str">
        <f>TEXT(Tabela1[[#This Row],[DATA]],"dd/mm/aaaa")</f>
        <v>24/04/2026</v>
      </c>
    </row>
    <row r="2343" spans="1:21" x14ac:dyDescent="0.25">
      <c r="A2343" s="9">
        <v>46136.596655092595</v>
      </c>
      <c r="B2343" t="s">
        <v>19</v>
      </c>
      <c r="C2343" t="s">
        <v>37</v>
      </c>
      <c r="D2343">
        <v>146</v>
      </c>
      <c r="E2343">
        <v>10335794000106</v>
      </c>
      <c r="F2343">
        <v>635</v>
      </c>
      <c r="G2343" s="10">
        <v>177705115138211</v>
      </c>
      <c r="H2343" t="s">
        <v>163</v>
      </c>
      <c r="I2343">
        <v>3003</v>
      </c>
      <c r="J2343" t="s">
        <v>22</v>
      </c>
      <c r="K2343" t="s">
        <v>23</v>
      </c>
      <c r="L2343" t="s">
        <v>31</v>
      </c>
      <c r="M2343" t="s">
        <v>636</v>
      </c>
      <c r="N2343" t="s">
        <v>53</v>
      </c>
      <c r="O2343">
        <v>128</v>
      </c>
      <c r="R2343" s="11">
        <v>8.1018518518518516E-5</v>
      </c>
      <c r="S2343" t="s">
        <v>37</v>
      </c>
      <c r="T2343" t="str">
        <f>IF(Tabela1[[#This Row],[STATUS_NEGOCIO]]="Enviar E-mail",1,"")</f>
        <v/>
      </c>
      <c r="U2343" t="str">
        <f>TEXT(Tabela1[[#This Row],[DATA]],"dd/mm/aaaa")</f>
        <v>24/04/2026</v>
      </c>
    </row>
    <row r="2344" spans="1:21" x14ac:dyDescent="0.25">
      <c r="A2344" s="9">
        <v>46136.596678240741</v>
      </c>
      <c r="B2344" t="s">
        <v>19</v>
      </c>
      <c r="C2344" t="s">
        <v>37</v>
      </c>
      <c r="D2344">
        <v>147</v>
      </c>
      <c r="E2344">
        <v>10364002000113</v>
      </c>
      <c r="F2344">
        <v>636</v>
      </c>
      <c r="G2344" s="10">
        <v>177705115338231</v>
      </c>
      <c r="H2344" t="s">
        <v>369</v>
      </c>
      <c r="I2344">
        <v>3003</v>
      </c>
      <c r="J2344" t="s">
        <v>22</v>
      </c>
      <c r="K2344" t="s">
        <v>23</v>
      </c>
      <c r="L2344" t="s">
        <v>31</v>
      </c>
      <c r="M2344" t="s">
        <v>636</v>
      </c>
      <c r="N2344" t="s">
        <v>53</v>
      </c>
      <c r="O2344">
        <v>128</v>
      </c>
      <c r="R2344" s="11">
        <v>8.1018518518518516E-5</v>
      </c>
      <c r="S2344" t="s">
        <v>37</v>
      </c>
      <c r="T2344" t="str">
        <f>IF(Tabela1[[#This Row],[STATUS_NEGOCIO]]="Enviar E-mail",1,"")</f>
        <v/>
      </c>
      <c r="U2344" t="str">
        <f>TEXT(Tabela1[[#This Row],[DATA]],"dd/mm/aaaa")</f>
        <v>24/04/2026</v>
      </c>
    </row>
    <row r="2345" spans="1:21" x14ac:dyDescent="0.25">
      <c r="A2345" s="9">
        <v>46136.596701388888</v>
      </c>
      <c r="B2345" t="s">
        <v>19</v>
      </c>
      <c r="C2345" t="s">
        <v>37</v>
      </c>
      <c r="D2345">
        <v>148</v>
      </c>
      <c r="E2345">
        <v>10379649000119</v>
      </c>
      <c r="F2345">
        <v>637</v>
      </c>
      <c r="G2345" s="10">
        <v>177705115538241</v>
      </c>
      <c r="H2345" t="s">
        <v>96</v>
      </c>
      <c r="I2345">
        <v>3003</v>
      </c>
      <c r="J2345" t="s">
        <v>22</v>
      </c>
      <c r="K2345" t="s">
        <v>23</v>
      </c>
      <c r="L2345" t="s">
        <v>31</v>
      </c>
      <c r="M2345" t="s">
        <v>636</v>
      </c>
      <c r="N2345" t="s">
        <v>53</v>
      </c>
      <c r="O2345">
        <v>128</v>
      </c>
      <c r="R2345" s="11">
        <v>8.1018518518518516E-5</v>
      </c>
      <c r="S2345" t="s">
        <v>37</v>
      </c>
      <c r="T2345" t="str">
        <f>IF(Tabela1[[#This Row],[STATUS_NEGOCIO]]="Enviar E-mail",1,"")</f>
        <v/>
      </c>
      <c r="U2345" t="str">
        <f>TEXT(Tabela1[[#This Row],[DATA]],"dd/mm/aaaa")</f>
        <v>24/04/2026</v>
      </c>
    </row>
    <row r="2346" spans="1:21" x14ac:dyDescent="0.25">
      <c r="A2346" s="9">
        <v>46136.596724537034</v>
      </c>
      <c r="B2346" t="s">
        <v>19</v>
      </c>
      <c r="C2346" t="s">
        <v>37</v>
      </c>
      <c r="D2346">
        <v>149</v>
      </c>
      <c r="E2346">
        <v>10433504000159</v>
      </c>
      <c r="F2346">
        <v>638</v>
      </c>
      <c r="G2346" s="10">
        <v>177705115738251</v>
      </c>
      <c r="H2346" t="s">
        <v>370</v>
      </c>
      <c r="I2346">
        <v>3003</v>
      </c>
      <c r="J2346" t="s">
        <v>22</v>
      </c>
      <c r="K2346" t="s">
        <v>23</v>
      </c>
      <c r="L2346" t="s">
        <v>31</v>
      </c>
      <c r="M2346" t="s">
        <v>636</v>
      </c>
      <c r="N2346" t="s">
        <v>53</v>
      </c>
      <c r="O2346">
        <v>128</v>
      </c>
      <c r="R2346" s="11">
        <v>8.1018518518518516E-5</v>
      </c>
      <c r="S2346" t="s">
        <v>37</v>
      </c>
      <c r="T2346" t="str">
        <f>IF(Tabela1[[#This Row],[STATUS_NEGOCIO]]="Enviar E-mail",1,"")</f>
        <v/>
      </c>
      <c r="U2346" t="str">
        <f>TEXT(Tabela1[[#This Row],[DATA]],"dd/mm/aaaa")</f>
        <v>24/04/2026</v>
      </c>
    </row>
    <row r="2347" spans="1:21" x14ac:dyDescent="0.25">
      <c r="A2347" s="9">
        <v>46136.596747685187</v>
      </c>
      <c r="B2347" t="s">
        <v>19</v>
      </c>
      <c r="C2347" t="s">
        <v>37</v>
      </c>
      <c r="D2347">
        <v>150</v>
      </c>
      <c r="E2347">
        <v>10443491000107</v>
      </c>
      <c r="F2347">
        <v>639</v>
      </c>
      <c r="G2347" s="10">
        <v>177705115938261</v>
      </c>
      <c r="H2347" t="s">
        <v>371</v>
      </c>
      <c r="I2347">
        <v>3003</v>
      </c>
      <c r="J2347" t="s">
        <v>22</v>
      </c>
      <c r="K2347" t="s">
        <v>23</v>
      </c>
      <c r="L2347" t="s">
        <v>31</v>
      </c>
      <c r="M2347" t="s">
        <v>636</v>
      </c>
      <c r="N2347" t="s">
        <v>53</v>
      </c>
      <c r="O2347">
        <v>128</v>
      </c>
      <c r="R2347" s="11">
        <v>8.1018518518518516E-5</v>
      </c>
      <c r="S2347" t="s">
        <v>37</v>
      </c>
      <c r="T2347" t="str">
        <f>IF(Tabela1[[#This Row],[STATUS_NEGOCIO]]="Enviar E-mail",1,"")</f>
        <v/>
      </c>
      <c r="U2347" t="str">
        <f>TEXT(Tabela1[[#This Row],[DATA]],"dd/mm/aaaa")</f>
        <v>24/04/2026</v>
      </c>
    </row>
    <row r="2348" spans="1:21" x14ac:dyDescent="0.25">
      <c r="A2348" s="9">
        <v>46136.596770833334</v>
      </c>
      <c r="B2348" t="s">
        <v>19</v>
      </c>
      <c r="C2348" t="s">
        <v>37</v>
      </c>
      <c r="D2348">
        <v>151</v>
      </c>
      <c r="E2348">
        <v>10479198000191</v>
      </c>
      <c r="F2348">
        <v>640</v>
      </c>
      <c r="G2348" s="10">
        <v>177705116138271</v>
      </c>
      <c r="H2348" t="s">
        <v>69</v>
      </c>
      <c r="I2348">
        <v>3003</v>
      </c>
      <c r="J2348" t="s">
        <v>22</v>
      </c>
      <c r="K2348" t="s">
        <v>23</v>
      </c>
      <c r="L2348" t="s">
        <v>31</v>
      </c>
      <c r="M2348" t="s">
        <v>636</v>
      </c>
      <c r="N2348" t="s">
        <v>53</v>
      </c>
      <c r="O2348">
        <v>128</v>
      </c>
      <c r="R2348" s="11">
        <v>8.1018518518518516E-5</v>
      </c>
      <c r="S2348" t="s">
        <v>37</v>
      </c>
      <c r="T2348" t="str">
        <f>IF(Tabela1[[#This Row],[STATUS_NEGOCIO]]="Enviar E-mail",1,"")</f>
        <v/>
      </c>
      <c r="U2348" t="str">
        <f>TEXT(Tabela1[[#This Row],[DATA]],"dd/mm/aaaa")</f>
        <v>24/04/2026</v>
      </c>
    </row>
    <row r="2349" spans="1:21" x14ac:dyDescent="0.25">
      <c r="A2349" s="9">
        <v>46136.59679398148</v>
      </c>
      <c r="B2349" t="s">
        <v>19</v>
      </c>
      <c r="C2349" t="s">
        <v>37</v>
      </c>
      <c r="D2349">
        <v>152</v>
      </c>
      <c r="E2349">
        <v>10480153000137</v>
      </c>
      <c r="F2349">
        <v>641</v>
      </c>
      <c r="G2349" s="10">
        <v>177705116338291</v>
      </c>
      <c r="H2349" t="s">
        <v>372</v>
      </c>
      <c r="I2349">
        <v>3003</v>
      </c>
      <c r="J2349" t="s">
        <v>22</v>
      </c>
      <c r="K2349" t="s">
        <v>23</v>
      </c>
      <c r="L2349" t="s">
        <v>31</v>
      </c>
      <c r="M2349" t="s">
        <v>636</v>
      </c>
      <c r="N2349" t="s">
        <v>26</v>
      </c>
      <c r="O2349">
        <v>131</v>
      </c>
      <c r="R2349" s="11">
        <v>6.9444444444444444E-5</v>
      </c>
      <c r="S2349" t="s">
        <v>37</v>
      </c>
      <c r="T2349" t="str">
        <f>IF(Tabela1[[#This Row],[STATUS_NEGOCIO]]="Enviar E-mail",1,"")</f>
        <v/>
      </c>
      <c r="U2349" t="str">
        <f>TEXT(Tabela1[[#This Row],[DATA]],"dd/mm/aaaa")</f>
        <v>24/04/2026</v>
      </c>
    </row>
    <row r="2350" spans="1:21" x14ac:dyDescent="0.25">
      <c r="A2350" s="9">
        <v>46136.596817129626</v>
      </c>
      <c r="B2350" t="s">
        <v>19</v>
      </c>
      <c r="C2350" t="s">
        <v>37</v>
      </c>
      <c r="D2350">
        <v>153</v>
      </c>
      <c r="E2350">
        <v>10594727000106</v>
      </c>
      <c r="F2350">
        <v>642</v>
      </c>
      <c r="G2350" s="10">
        <v>177705116538301</v>
      </c>
      <c r="H2350" t="s">
        <v>373</v>
      </c>
      <c r="I2350">
        <v>3003</v>
      </c>
      <c r="J2350" t="s">
        <v>22</v>
      </c>
      <c r="K2350" t="s">
        <v>23</v>
      </c>
      <c r="L2350" t="s">
        <v>31</v>
      </c>
      <c r="M2350" t="s">
        <v>636</v>
      </c>
      <c r="N2350" t="s">
        <v>53</v>
      </c>
      <c r="O2350">
        <v>128</v>
      </c>
      <c r="R2350" s="11">
        <v>4.6296296296296294E-5</v>
      </c>
      <c r="S2350" t="s">
        <v>37</v>
      </c>
      <c r="T2350" t="str">
        <f>IF(Tabela1[[#This Row],[STATUS_NEGOCIO]]="Enviar E-mail",1,"")</f>
        <v/>
      </c>
      <c r="U2350" t="str">
        <f>TEXT(Tabela1[[#This Row],[DATA]],"dd/mm/aaaa")</f>
        <v>24/04/2026</v>
      </c>
    </row>
    <row r="2351" spans="1:21" x14ac:dyDescent="0.25">
      <c r="A2351" s="9">
        <v>46136.59684027778</v>
      </c>
      <c r="B2351" t="s">
        <v>19</v>
      </c>
      <c r="C2351" t="s">
        <v>37</v>
      </c>
      <c r="D2351">
        <v>154</v>
      </c>
      <c r="E2351">
        <v>10737265000120</v>
      </c>
      <c r="F2351">
        <v>643</v>
      </c>
      <c r="G2351" s="10">
        <v>177705116738331</v>
      </c>
      <c r="H2351" t="s">
        <v>374</v>
      </c>
      <c r="I2351">
        <v>3003</v>
      </c>
      <c r="J2351" t="s">
        <v>22</v>
      </c>
      <c r="K2351" t="s">
        <v>23</v>
      </c>
      <c r="L2351" t="s">
        <v>31</v>
      </c>
      <c r="M2351" t="s">
        <v>636</v>
      </c>
      <c r="N2351" t="s">
        <v>53</v>
      </c>
      <c r="O2351">
        <v>128</v>
      </c>
      <c r="R2351" s="11">
        <v>6.9444444444444444E-5</v>
      </c>
      <c r="S2351" t="s">
        <v>37</v>
      </c>
      <c r="T2351" t="str">
        <f>IF(Tabela1[[#This Row],[STATUS_NEGOCIO]]="Enviar E-mail",1,"")</f>
        <v/>
      </c>
      <c r="U2351" t="str">
        <f>TEXT(Tabela1[[#This Row],[DATA]],"dd/mm/aaaa")</f>
        <v>24/04/2026</v>
      </c>
    </row>
    <row r="2352" spans="1:21" x14ac:dyDescent="0.25">
      <c r="A2352" s="9">
        <v>46136.597141203703</v>
      </c>
      <c r="B2352" t="s">
        <v>19</v>
      </c>
      <c r="C2352" t="s">
        <v>37</v>
      </c>
      <c r="D2352">
        <v>155</v>
      </c>
      <c r="E2352">
        <v>10745721000184</v>
      </c>
      <c r="F2352">
        <v>644</v>
      </c>
      <c r="G2352" s="10">
        <v>177705119338461</v>
      </c>
      <c r="H2352" t="s">
        <v>375</v>
      </c>
      <c r="I2352">
        <v>3003</v>
      </c>
      <c r="J2352" t="s">
        <v>22</v>
      </c>
      <c r="K2352" t="s">
        <v>23</v>
      </c>
      <c r="L2352" t="s">
        <v>31</v>
      </c>
      <c r="M2352" t="s">
        <v>636</v>
      </c>
      <c r="N2352" t="s">
        <v>53</v>
      </c>
      <c r="O2352">
        <v>128</v>
      </c>
      <c r="R2352" s="11">
        <v>8.1018518518518516E-5</v>
      </c>
      <c r="S2352" t="s">
        <v>37</v>
      </c>
      <c r="T2352" t="str">
        <f>IF(Tabela1[[#This Row],[STATUS_NEGOCIO]]="Enviar E-mail",1,"")</f>
        <v/>
      </c>
      <c r="U2352" t="str">
        <f>TEXT(Tabela1[[#This Row],[DATA]],"dd/mm/aaaa")</f>
        <v>24/04/2026</v>
      </c>
    </row>
    <row r="2353" spans="1:21" x14ac:dyDescent="0.25">
      <c r="A2353" s="9">
        <v>46136.59716435185</v>
      </c>
      <c r="B2353" t="s">
        <v>19</v>
      </c>
      <c r="C2353" t="s">
        <v>37</v>
      </c>
      <c r="D2353">
        <v>156</v>
      </c>
      <c r="E2353">
        <v>10746169000149</v>
      </c>
      <c r="F2353">
        <v>645</v>
      </c>
      <c r="G2353" s="10">
        <v>177705119538471</v>
      </c>
      <c r="H2353" t="s">
        <v>376</v>
      </c>
      <c r="I2353">
        <v>3003</v>
      </c>
      <c r="J2353" t="s">
        <v>22</v>
      </c>
      <c r="K2353" t="s">
        <v>23</v>
      </c>
      <c r="L2353" t="s">
        <v>31</v>
      </c>
      <c r="M2353" t="s">
        <v>636</v>
      </c>
      <c r="N2353" t="s">
        <v>53</v>
      </c>
      <c r="O2353">
        <v>128</v>
      </c>
      <c r="R2353" s="11">
        <v>8.1018518518518516E-5</v>
      </c>
      <c r="S2353" t="s">
        <v>37</v>
      </c>
      <c r="T2353" t="str">
        <f>IF(Tabela1[[#This Row],[STATUS_NEGOCIO]]="Enviar E-mail",1,"")</f>
        <v/>
      </c>
      <c r="U2353" t="str">
        <f>TEXT(Tabela1[[#This Row],[DATA]],"dd/mm/aaaa")</f>
        <v>24/04/2026</v>
      </c>
    </row>
    <row r="2354" spans="1:21" x14ac:dyDescent="0.25">
      <c r="A2354" s="9">
        <v>46136.597187500003</v>
      </c>
      <c r="B2354" t="s">
        <v>19</v>
      </c>
      <c r="C2354" t="s">
        <v>37</v>
      </c>
      <c r="D2354">
        <v>157</v>
      </c>
      <c r="E2354">
        <v>10790942000174</v>
      </c>
      <c r="F2354">
        <v>646</v>
      </c>
      <c r="G2354" s="10">
        <v>177705119738481</v>
      </c>
      <c r="H2354" t="s">
        <v>377</v>
      </c>
      <c r="I2354">
        <v>3003</v>
      </c>
      <c r="J2354" t="s">
        <v>22</v>
      </c>
      <c r="K2354" t="s">
        <v>23</v>
      </c>
      <c r="L2354" t="s">
        <v>31</v>
      </c>
      <c r="M2354" t="s">
        <v>636</v>
      </c>
      <c r="N2354" t="s">
        <v>53</v>
      </c>
      <c r="O2354">
        <v>147</v>
      </c>
      <c r="R2354" s="11">
        <v>8.1018518518518516E-5</v>
      </c>
      <c r="S2354" t="s">
        <v>37</v>
      </c>
      <c r="T2354" t="str">
        <f>IF(Tabela1[[#This Row],[STATUS_NEGOCIO]]="Enviar E-mail",1,"")</f>
        <v/>
      </c>
      <c r="U2354" t="str">
        <f>TEXT(Tabela1[[#This Row],[DATA]],"dd/mm/aaaa")</f>
        <v>24/04/2026</v>
      </c>
    </row>
    <row r="2355" spans="1:21" x14ac:dyDescent="0.25">
      <c r="A2355" s="9">
        <v>46136.597210648149</v>
      </c>
      <c r="B2355" t="s">
        <v>19</v>
      </c>
      <c r="C2355" t="s">
        <v>37</v>
      </c>
      <c r="D2355">
        <v>158</v>
      </c>
      <c r="E2355">
        <v>10888515000123</v>
      </c>
      <c r="F2355">
        <v>647</v>
      </c>
      <c r="G2355" s="10">
        <v>177705119938501</v>
      </c>
      <c r="H2355" t="s">
        <v>378</v>
      </c>
      <c r="I2355">
        <v>3003</v>
      </c>
      <c r="J2355" t="s">
        <v>22</v>
      </c>
      <c r="K2355" t="s">
        <v>23</v>
      </c>
      <c r="L2355" t="s">
        <v>31</v>
      </c>
      <c r="M2355" t="s">
        <v>636</v>
      </c>
      <c r="N2355" t="s">
        <v>53</v>
      </c>
      <c r="O2355">
        <v>128</v>
      </c>
      <c r="R2355" s="11">
        <v>8.1018518518518516E-5</v>
      </c>
      <c r="S2355" t="s">
        <v>37</v>
      </c>
      <c r="T2355" t="str">
        <f>IF(Tabela1[[#This Row],[STATUS_NEGOCIO]]="Enviar E-mail",1,"")</f>
        <v/>
      </c>
      <c r="U2355" t="str">
        <f>TEXT(Tabela1[[#This Row],[DATA]],"dd/mm/aaaa")</f>
        <v>24/04/2026</v>
      </c>
    </row>
    <row r="2356" spans="1:21" x14ac:dyDescent="0.25">
      <c r="A2356" s="9">
        <v>46136.597233796296</v>
      </c>
      <c r="B2356" t="s">
        <v>19</v>
      </c>
      <c r="C2356" t="s">
        <v>37</v>
      </c>
      <c r="D2356">
        <v>159</v>
      </c>
      <c r="E2356">
        <v>10984785000138</v>
      </c>
      <c r="F2356">
        <v>648</v>
      </c>
      <c r="G2356" s="10">
        <v>177705120138511</v>
      </c>
      <c r="H2356" t="s">
        <v>29</v>
      </c>
      <c r="I2356">
        <v>3003</v>
      </c>
      <c r="J2356" t="s">
        <v>22</v>
      </c>
      <c r="K2356" t="s">
        <v>23</v>
      </c>
      <c r="L2356" t="s">
        <v>31</v>
      </c>
      <c r="M2356" t="s">
        <v>636</v>
      </c>
      <c r="N2356" t="s">
        <v>53</v>
      </c>
      <c r="O2356">
        <v>128</v>
      </c>
      <c r="R2356" s="11">
        <v>8.1018518518518516E-5</v>
      </c>
      <c r="S2356" t="s">
        <v>37</v>
      </c>
      <c r="T2356" t="str">
        <f>IF(Tabela1[[#This Row],[STATUS_NEGOCIO]]="Enviar E-mail",1,"")</f>
        <v/>
      </c>
      <c r="U2356" t="str">
        <f>TEXT(Tabela1[[#This Row],[DATA]],"dd/mm/aaaa")</f>
        <v>24/04/2026</v>
      </c>
    </row>
    <row r="2357" spans="1:21" x14ac:dyDescent="0.25">
      <c r="A2357" s="9">
        <v>46136.597256944442</v>
      </c>
      <c r="B2357" t="s">
        <v>19</v>
      </c>
      <c r="C2357" t="s">
        <v>37</v>
      </c>
      <c r="D2357">
        <v>160</v>
      </c>
      <c r="E2357">
        <v>11013156000123</v>
      </c>
      <c r="F2357">
        <v>649</v>
      </c>
      <c r="G2357" s="10">
        <v>177705120338521</v>
      </c>
      <c r="H2357" t="s">
        <v>379</v>
      </c>
      <c r="I2357">
        <v>3003</v>
      </c>
      <c r="J2357" t="s">
        <v>22</v>
      </c>
      <c r="K2357" t="s">
        <v>23</v>
      </c>
      <c r="L2357" t="s">
        <v>31</v>
      </c>
      <c r="M2357" t="s">
        <v>636</v>
      </c>
      <c r="N2357" t="s">
        <v>53</v>
      </c>
      <c r="O2357">
        <v>128</v>
      </c>
      <c r="R2357" s="11">
        <v>8.1018518518518516E-5</v>
      </c>
      <c r="S2357" t="s">
        <v>37</v>
      </c>
      <c r="T2357" t="str">
        <f>IF(Tabela1[[#This Row],[STATUS_NEGOCIO]]="Enviar E-mail",1,"")</f>
        <v/>
      </c>
      <c r="U2357" t="str">
        <f>TEXT(Tabela1[[#This Row],[DATA]],"dd/mm/aaaa")</f>
        <v>24/04/2026</v>
      </c>
    </row>
    <row r="2358" spans="1:21" x14ac:dyDescent="0.25">
      <c r="A2358" s="9">
        <v>46136.597280092596</v>
      </c>
      <c r="B2358" t="s">
        <v>19</v>
      </c>
      <c r="C2358" t="s">
        <v>37</v>
      </c>
      <c r="D2358">
        <v>161</v>
      </c>
      <c r="E2358">
        <v>11117005000115</v>
      </c>
      <c r="F2358">
        <v>650</v>
      </c>
      <c r="G2358" s="10">
        <v>177705120538531</v>
      </c>
      <c r="H2358" t="s">
        <v>380</v>
      </c>
      <c r="I2358">
        <v>3003</v>
      </c>
      <c r="J2358" t="s">
        <v>22</v>
      </c>
      <c r="K2358" t="s">
        <v>23</v>
      </c>
      <c r="L2358" t="s">
        <v>31</v>
      </c>
      <c r="M2358" t="s">
        <v>636</v>
      </c>
      <c r="N2358" t="s">
        <v>53</v>
      </c>
      <c r="O2358">
        <v>128</v>
      </c>
      <c r="R2358" s="11">
        <v>8.1018518518518516E-5</v>
      </c>
      <c r="S2358" t="s">
        <v>37</v>
      </c>
      <c r="T2358" t="str">
        <f>IF(Tabela1[[#This Row],[STATUS_NEGOCIO]]="Enviar E-mail",1,"")</f>
        <v/>
      </c>
      <c r="U2358" t="str">
        <f>TEXT(Tabela1[[#This Row],[DATA]],"dd/mm/aaaa")</f>
        <v>24/04/2026</v>
      </c>
    </row>
    <row r="2359" spans="1:21" x14ac:dyDescent="0.25">
      <c r="A2359" s="9">
        <v>46136.597303240742</v>
      </c>
      <c r="B2359" t="s">
        <v>19</v>
      </c>
      <c r="C2359" t="s">
        <v>37</v>
      </c>
      <c r="D2359">
        <v>163</v>
      </c>
      <c r="E2359">
        <v>11360283000107</v>
      </c>
      <c r="F2359">
        <v>651</v>
      </c>
      <c r="G2359" s="10">
        <v>177705120738541</v>
      </c>
      <c r="H2359" t="s">
        <v>382</v>
      </c>
      <c r="I2359">
        <v>3003</v>
      </c>
      <c r="J2359" t="s">
        <v>22</v>
      </c>
      <c r="K2359" t="s">
        <v>23</v>
      </c>
      <c r="L2359" t="s">
        <v>31</v>
      </c>
      <c r="M2359" t="s">
        <v>636</v>
      </c>
      <c r="N2359" t="s">
        <v>53</v>
      </c>
      <c r="O2359">
        <v>128</v>
      </c>
      <c r="R2359" s="11">
        <v>6.9444444444444444E-5</v>
      </c>
      <c r="S2359" t="s">
        <v>37</v>
      </c>
      <c r="T2359" t="str">
        <f>IF(Tabela1[[#This Row],[STATUS_NEGOCIO]]="Enviar E-mail",1,"")</f>
        <v/>
      </c>
      <c r="U2359" t="str">
        <f>TEXT(Tabela1[[#This Row],[DATA]],"dd/mm/aaaa")</f>
        <v>24/04/2026</v>
      </c>
    </row>
    <row r="2360" spans="1:21" x14ac:dyDescent="0.25">
      <c r="A2360" s="9">
        <v>46136.597326388888</v>
      </c>
      <c r="B2360" t="s">
        <v>19</v>
      </c>
      <c r="C2360" t="s">
        <v>37</v>
      </c>
      <c r="D2360">
        <v>164</v>
      </c>
      <c r="E2360">
        <v>11642542000184</v>
      </c>
      <c r="F2360">
        <v>652</v>
      </c>
      <c r="G2360" s="10">
        <v>177705120938551</v>
      </c>
      <c r="H2360" t="s">
        <v>383</v>
      </c>
      <c r="I2360">
        <v>3003</v>
      </c>
      <c r="J2360" t="s">
        <v>22</v>
      </c>
      <c r="K2360" t="s">
        <v>23</v>
      </c>
      <c r="L2360" t="s">
        <v>31</v>
      </c>
      <c r="M2360" t="s">
        <v>636</v>
      </c>
      <c r="N2360" t="s">
        <v>53</v>
      </c>
      <c r="O2360">
        <v>128</v>
      </c>
      <c r="R2360" s="11">
        <v>8.1018518518518516E-5</v>
      </c>
      <c r="S2360" t="s">
        <v>37</v>
      </c>
      <c r="T2360" t="str">
        <f>IF(Tabela1[[#This Row],[STATUS_NEGOCIO]]="Enviar E-mail",1,"")</f>
        <v/>
      </c>
      <c r="U2360" t="str">
        <f>TEXT(Tabela1[[#This Row],[DATA]],"dd/mm/aaaa")</f>
        <v>24/04/2026</v>
      </c>
    </row>
    <row r="2361" spans="1:21" x14ac:dyDescent="0.25">
      <c r="A2361" s="9">
        <v>46136.597349537034</v>
      </c>
      <c r="B2361" t="s">
        <v>19</v>
      </c>
      <c r="C2361" t="s">
        <v>37</v>
      </c>
      <c r="D2361">
        <v>165</v>
      </c>
      <c r="E2361">
        <v>11649203000120</v>
      </c>
      <c r="F2361">
        <v>653</v>
      </c>
      <c r="G2361" s="10">
        <v>177705121138571</v>
      </c>
      <c r="H2361" t="s">
        <v>384</v>
      </c>
      <c r="I2361">
        <v>3003</v>
      </c>
      <c r="J2361" t="s">
        <v>22</v>
      </c>
      <c r="K2361" t="s">
        <v>23</v>
      </c>
      <c r="L2361" t="s">
        <v>31</v>
      </c>
      <c r="M2361" t="s">
        <v>636</v>
      </c>
      <c r="N2361" t="s">
        <v>53</v>
      </c>
      <c r="O2361">
        <v>128</v>
      </c>
      <c r="R2361" s="11">
        <v>8.1018518518518516E-5</v>
      </c>
      <c r="S2361" t="s">
        <v>37</v>
      </c>
      <c r="T2361" t="str">
        <f>IF(Tabela1[[#This Row],[STATUS_NEGOCIO]]="Enviar E-mail",1,"")</f>
        <v/>
      </c>
      <c r="U2361" t="str">
        <f>TEXT(Tabela1[[#This Row],[DATA]],"dd/mm/aaaa")</f>
        <v>24/04/2026</v>
      </c>
    </row>
    <row r="2362" spans="1:21" x14ac:dyDescent="0.25">
      <c r="A2362" s="9">
        <v>46136.597546296296</v>
      </c>
      <c r="B2362" t="s">
        <v>19</v>
      </c>
      <c r="C2362" t="s">
        <v>37</v>
      </c>
      <c r="D2362">
        <v>166</v>
      </c>
      <c r="E2362">
        <v>11661920000177</v>
      </c>
      <c r="F2362">
        <v>654</v>
      </c>
      <c r="G2362" s="10">
        <v>177705122838711</v>
      </c>
      <c r="H2362" t="s">
        <v>385</v>
      </c>
      <c r="I2362">
        <v>3003</v>
      </c>
      <c r="J2362" t="s">
        <v>22</v>
      </c>
      <c r="K2362" t="s">
        <v>23</v>
      </c>
      <c r="L2362" t="s">
        <v>31</v>
      </c>
      <c r="M2362" t="s">
        <v>636</v>
      </c>
      <c r="N2362" t="s">
        <v>53</v>
      </c>
      <c r="O2362">
        <v>128</v>
      </c>
      <c r="R2362" s="11">
        <v>8.1018518518518516E-5</v>
      </c>
      <c r="S2362" t="s">
        <v>37</v>
      </c>
      <c r="T2362" t="str">
        <f>IF(Tabela1[[#This Row],[STATUS_NEGOCIO]]="Enviar E-mail",1,"")</f>
        <v/>
      </c>
      <c r="U2362" t="str">
        <f>TEXT(Tabela1[[#This Row],[DATA]],"dd/mm/aaaa")</f>
        <v>24/04/2026</v>
      </c>
    </row>
    <row r="2363" spans="1:21" x14ac:dyDescent="0.25">
      <c r="A2363" s="9">
        <v>46136.597592592596</v>
      </c>
      <c r="B2363" t="s">
        <v>19</v>
      </c>
      <c r="C2363" t="s">
        <v>37</v>
      </c>
      <c r="D2363">
        <v>167</v>
      </c>
      <c r="E2363">
        <v>11701732000125</v>
      </c>
      <c r="F2363">
        <v>655</v>
      </c>
      <c r="G2363" s="10">
        <v>177705123238731</v>
      </c>
      <c r="H2363" t="s">
        <v>98</v>
      </c>
      <c r="I2363">
        <v>3003</v>
      </c>
      <c r="J2363" t="s">
        <v>22</v>
      </c>
      <c r="K2363" t="s">
        <v>23</v>
      </c>
      <c r="L2363" t="s">
        <v>31</v>
      </c>
      <c r="M2363" t="s">
        <v>636</v>
      </c>
      <c r="N2363" t="s">
        <v>53</v>
      </c>
      <c r="O2363">
        <v>128</v>
      </c>
      <c r="R2363" s="11">
        <v>8.1018518518518516E-5</v>
      </c>
      <c r="S2363" t="s">
        <v>37</v>
      </c>
      <c r="T2363" t="str">
        <f>IF(Tabela1[[#This Row],[STATUS_NEGOCIO]]="Enviar E-mail",1,"")</f>
        <v/>
      </c>
      <c r="U2363" t="str">
        <f>TEXT(Tabela1[[#This Row],[DATA]],"dd/mm/aaaa")</f>
        <v>24/04/2026</v>
      </c>
    </row>
    <row r="2364" spans="1:21" x14ac:dyDescent="0.25">
      <c r="A2364" s="9">
        <v>46136.597627314812</v>
      </c>
      <c r="B2364" t="s">
        <v>19</v>
      </c>
      <c r="C2364" t="s">
        <v>37</v>
      </c>
      <c r="D2364">
        <v>168</v>
      </c>
      <c r="E2364">
        <v>11720659000139</v>
      </c>
      <c r="F2364">
        <v>656</v>
      </c>
      <c r="G2364" s="10">
        <v>177705123538751</v>
      </c>
      <c r="H2364" t="s">
        <v>127</v>
      </c>
      <c r="I2364">
        <v>3003</v>
      </c>
      <c r="J2364" t="s">
        <v>22</v>
      </c>
      <c r="K2364" t="s">
        <v>23</v>
      </c>
      <c r="L2364" t="s">
        <v>31</v>
      </c>
      <c r="M2364" t="s">
        <v>636</v>
      </c>
      <c r="N2364" t="s">
        <v>26</v>
      </c>
      <c r="O2364">
        <v>131</v>
      </c>
      <c r="R2364" s="11">
        <v>1.7361111111111112E-4</v>
      </c>
      <c r="S2364" t="s">
        <v>37</v>
      </c>
      <c r="T2364" t="str">
        <f>IF(Tabela1[[#This Row],[STATUS_NEGOCIO]]="Enviar E-mail",1,"")</f>
        <v/>
      </c>
      <c r="U2364" t="str">
        <f>TEXT(Tabela1[[#This Row],[DATA]],"dd/mm/aaaa")</f>
        <v>24/04/2026</v>
      </c>
    </row>
    <row r="2365" spans="1:21" x14ac:dyDescent="0.25">
      <c r="A2365" s="9">
        <v>46136.597696759258</v>
      </c>
      <c r="B2365" t="s">
        <v>19</v>
      </c>
      <c r="C2365" t="s">
        <v>37</v>
      </c>
      <c r="D2365">
        <v>169</v>
      </c>
      <c r="E2365">
        <v>11750615000151</v>
      </c>
      <c r="F2365">
        <v>657</v>
      </c>
      <c r="G2365" s="10">
        <v>177705124138771</v>
      </c>
      <c r="H2365" t="s">
        <v>176</v>
      </c>
      <c r="I2365">
        <v>3003</v>
      </c>
      <c r="J2365" t="s">
        <v>22</v>
      </c>
      <c r="K2365" t="s">
        <v>23</v>
      </c>
      <c r="L2365" t="s">
        <v>31</v>
      </c>
      <c r="M2365" t="s">
        <v>636</v>
      </c>
      <c r="N2365" t="s">
        <v>53</v>
      </c>
      <c r="O2365">
        <v>128</v>
      </c>
      <c r="R2365" s="11">
        <v>8.1018518518518516E-5</v>
      </c>
      <c r="S2365" t="s">
        <v>37</v>
      </c>
      <c r="T2365" t="str">
        <f>IF(Tabela1[[#This Row],[STATUS_NEGOCIO]]="Enviar E-mail",1,"")</f>
        <v/>
      </c>
      <c r="U2365" t="str">
        <f>TEXT(Tabela1[[#This Row],[DATA]],"dd/mm/aaaa")</f>
        <v>24/04/2026</v>
      </c>
    </row>
    <row r="2366" spans="1:21" x14ac:dyDescent="0.25">
      <c r="A2366" s="9">
        <v>46136.597754629627</v>
      </c>
      <c r="B2366" t="s">
        <v>19</v>
      </c>
      <c r="C2366" t="s">
        <v>37</v>
      </c>
      <c r="D2366">
        <v>170</v>
      </c>
      <c r="E2366">
        <v>12022419000123</v>
      </c>
      <c r="F2366">
        <v>658</v>
      </c>
      <c r="G2366" s="10">
        <v>177705124638791</v>
      </c>
      <c r="H2366" t="s">
        <v>386</v>
      </c>
      <c r="I2366">
        <v>3003</v>
      </c>
      <c r="J2366" t="s">
        <v>22</v>
      </c>
      <c r="K2366" t="s">
        <v>23</v>
      </c>
      <c r="L2366" t="s">
        <v>31</v>
      </c>
      <c r="M2366" t="s">
        <v>636</v>
      </c>
      <c r="N2366" t="s">
        <v>53</v>
      </c>
      <c r="O2366">
        <v>128</v>
      </c>
      <c r="R2366" s="11">
        <v>6.9444444444444444E-5</v>
      </c>
      <c r="S2366" t="s">
        <v>37</v>
      </c>
      <c r="T2366" t="str">
        <f>IF(Tabela1[[#This Row],[STATUS_NEGOCIO]]="Enviar E-mail",1,"")</f>
        <v/>
      </c>
      <c r="U2366" t="str">
        <f>TEXT(Tabela1[[#This Row],[DATA]],"dd/mm/aaaa")</f>
        <v>24/04/2026</v>
      </c>
    </row>
    <row r="2367" spans="1:21" x14ac:dyDescent="0.25">
      <c r="A2367" s="9">
        <v>46136.597928240742</v>
      </c>
      <c r="B2367" t="s">
        <v>19</v>
      </c>
      <c r="C2367" t="s">
        <v>37</v>
      </c>
      <c r="D2367">
        <v>171</v>
      </c>
      <c r="E2367">
        <v>12072761000138</v>
      </c>
      <c r="F2367">
        <v>659</v>
      </c>
      <c r="G2367" s="10">
        <v>177705126138881</v>
      </c>
      <c r="H2367" t="s">
        <v>131</v>
      </c>
      <c r="I2367" t="s">
        <v>52</v>
      </c>
      <c r="J2367" t="s">
        <v>22</v>
      </c>
      <c r="K2367" t="s">
        <v>36</v>
      </c>
      <c r="L2367" t="s">
        <v>36</v>
      </c>
      <c r="M2367" t="s">
        <v>636</v>
      </c>
      <c r="N2367" t="s">
        <v>53</v>
      </c>
      <c r="O2367">
        <v>1</v>
      </c>
      <c r="R2367" s="11">
        <v>0</v>
      </c>
      <c r="S2367" t="s">
        <v>37</v>
      </c>
      <c r="T2367" t="str">
        <f>IF(Tabela1[[#This Row],[STATUS_NEGOCIO]]="Enviar E-mail",1,"")</f>
        <v/>
      </c>
      <c r="U2367" t="str">
        <f>TEXT(Tabela1[[#This Row],[DATA]],"dd/mm/aaaa")</f>
        <v>24/04/2026</v>
      </c>
    </row>
    <row r="2368" spans="1:21" x14ac:dyDescent="0.25">
      <c r="A2368" s="9">
        <v>46136.597951388889</v>
      </c>
      <c r="B2368" t="s">
        <v>19</v>
      </c>
      <c r="C2368" t="s">
        <v>37</v>
      </c>
      <c r="D2368">
        <v>173</v>
      </c>
      <c r="E2368">
        <v>12266091000190</v>
      </c>
      <c r="F2368">
        <v>660</v>
      </c>
      <c r="G2368" s="10">
        <v>177705126338891</v>
      </c>
      <c r="H2368" t="s">
        <v>144</v>
      </c>
      <c r="I2368">
        <v>3003</v>
      </c>
      <c r="J2368" t="s">
        <v>22</v>
      </c>
      <c r="K2368" t="s">
        <v>23</v>
      </c>
      <c r="L2368" t="s">
        <v>31</v>
      </c>
      <c r="M2368" t="s">
        <v>636</v>
      </c>
      <c r="N2368" t="s">
        <v>26</v>
      </c>
      <c r="O2368">
        <v>131</v>
      </c>
      <c r="R2368" s="11">
        <v>1.6203703703703703E-4</v>
      </c>
      <c r="S2368" t="s">
        <v>37</v>
      </c>
      <c r="T2368" t="str">
        <f>IF(Tabela1[[#This Row],[STATUS_NEGOCIO]]="Enviar E-mail",1,"")</f>
        <v/>
      </c>
      <c r="U2368" t="str">
        <f>TEXT(Tabela1[[#This Row],[DATA]],"dd/mm/aaaa")</f>
        <v>24/04/2026</v>
      </c>
    </row>
    <row r="2369" spans="1:21" x14ac:dyDescent="0.25">
      <c r="A2369" s="9">
        <v>46136.597974537035</v>
      </c>
      <c r="B2369" t="s">
        <v>19</v>
      </c>
      <c r="C2369" t="s">
        <v>37</v>
      </c>
      <c r="D2369">
        <v>174</v>
      </c>
      <c r="E2369">
        <v>12284895000112</v>
      </c>
      <c r="F2369">
        <v>661</v>
      </c>
      <c r="G2369" s="10">
        <v>177705126538911</v>
      </c>
      <c r="H2369" t="s">
        <v>388</v>
      </c>
      <c r="I2369">
        <v>3003</v>
      </c>
      <c r="J2369" t="s">
        <v>22</v>
      </c>
      <c r="K2369" t="s">
        <v>23</v>
      </c>
      <c r="L2369" t="s">
        <v>31</v>
      </c>
      <c r="M2369" t="s">
        <v>636</v>
      </c>
      <c r="N2369" t="s">
        <v>53</v>
      </c>
      <c r="O2369">
        <v>128</v>
      </c>
      <c r="R2369" s="11">
        <v>6.9444444444444444E-5</v>
      </c>
      <c r="S2369" t="s">
        <v>37</v>
      </c>
      <c r="T2369" t="str">
        <f>IF(Tabela1[[#This Row],[STATUS_NEGOCIO]]="Enviar E-mail",1,"")</f>
        <v/>
      </c>
      <c r="U2369" t="str">
        <f>TEXT(Tabela1[[#This Row],[DATA]],"dd/mm/aaaa")</f>
        <v>24/04/2026</v>
      </c>
    </row>
    <row r="2370" spans="1:21" x14ac:dyDescent="0.25">
      <c r="A2370" s="9">
        <v>46136.597997685189</v>
      </c>
      <c r="B2370" t="s">
        <v>19</v>
      </c>
      <c r="C2370" t="s">
        <v>37</v>
      </c>
      <c r="D2370">
        <v>175</v>
      </c>
      <c r="E2370">
        <v>12573708000110</v>
      </c>
      <c r="F2370">
        <v>662</v>
      </c>
      <c r="G2370" s="10">
        <v>177705126738931</v>
      </c>
      <c r="H2370" t="s">
        <v>389</v>
      </c>
      <c r="I2370">
        <v>3003</v>
      </c>
      <c r="J2370" t="s">
        <v>22</v>
      </c>
      <c r="K2370" t="s">
        <v>23</v>
      </c>
      <c r="L2370" t="s">
        <v>31</v>
      </c>
      <c r="M2370" t="s">
        <v>636</v>
      </c>
      <c r="N2370" t="s">
        <v>53</v>
      </c>
      <c r="O2370">
        <v>128</v>
      </c>
      <c r="R2370" s="11">
        <v>8.1018518518518516E-5</v>
      </c>
      <c r="S2370" t="s">
        <v>37</v>
      </c>
      <c r="T2370" t="str">
        <f>IF(Tabela1[[#This Row],[STATUS_NEGOCIO]]="Enviar E-mail",1,"")</f>
        <v/>
      </c>
      <c r="U2370" t="str">
        <f>TEXT(Tabela1[[#This Row],[DATA]],"dd/mm/aaaa")</f>
        <v>24/04/2026</v>
      </c>
    </row>
    <row r="2371" spans="1:21" x14ac:dyDescent="0.25">
      <c r="A2371" s="9">
        <v>46136.598020833335</v>
      </c>
      <c r="B2371" t="s">
        <v>19</v>
      </c>
      <c r="C2371" t="s">
        <v>37</v>
      </c>
      <c r="D2371">
        <v>176</v>
      </c>
      <c r="E2371">
        <v>12584713000129</v>
      </c>
      <c r="F2371">
        <v>663</v>
      </c>
      <c r="G2371" s="10">
        <v>177705126938941</v>
      </c>
      <c r="H2371" t="s">
        <v>390</v>
      </c>
      <c r="I2371">
        <v>3003</v>
      </c>
      <c r="J2371" t="s">
        <v>22</v>
      </c>
      <c r="K2371" t="s">
        <v>23</v>
      </c>
      <c r="L2371" t="s">
        <v>31</v>
      </c>
      <c r="M2371" t="s">
        <v>636</v>
      </c>
      <c r="N2371" t="s">
        <v>53</v>
      </c>
      <c r="O2371">
        <v>128</v>
      </c>
      <c r="R2371" s="11">
        <v>8.1018518518518516E-5</v>
      </c>
      <c r="S2371" t="s">
        <v>37</v>
      </c>
      <c r="T2371" t="str">
        <f>IF(Tabela1[[#This Row],[STATUS_NEGOCIO]]="Enviar E-mail",1,"")</f>
        <v/>
      </c>
      <c r="U2371" t="str">
        <f>TEXT(Tabela1[[#This Row],[DATA]],"dd/mm/aaaa")</f>
        <v>24/04/2026</v>
      </c>
    </row>
    <row r="2372" spans="1:21" x14ac:dyDescent="0.25">
      <c r="A2372" s="9">
        <v>46136.59884259259</v>
      </c>
      <c r="B2372" t="s">
        <v>19</v>
      </c>
      <c r="C2372" t="s">
        <v>37</v>
      </c>
      <c r="D2372">
        <v>144</v>
      </c>
      <c r="E2372">
        <v>10312430000100</v>
      </c>
      <c r="F2372">
        <v>633</v>
      </c>
      <c r="G2372" s="10">
        <v>177705114338131</v>
      </c>
      <c r="H2372" t="s">
        <v>367</v>
      </c>
      <c r="I2372">
        <v>3003</v>
      </c>
      <c r="J2372" t="s">
        <v>22</v>
      </c>
      <c r="K2372" t="s">
        <v>23</v>
      </c>
      <c r="L2372" t="s">
        <v>31</v>
      </c>
      <c r="M2372" t="s">
        <v>636</v>
      </c>
      <c r="N2372" t="s">
        <v>26</v>
      </c>
      <c r="O2372">
        <v>131</v>
      </c>
      <c r="R2372" s="11">
        <v>2.1296296296296298E-3</v>
      </c>
      <c r="S2372" t="s">
        <v>37</v>
      </c>
      <c r="T2372" t="str">
        <f>IF(Tabela1[[#This Row],[STATUS_NEGOCIO]]="Enviar E-mail",1,"")</f>
        <v/>
      </c>
      <c r="U2372" t="str">
        <f>TEXT(Tabela1[[#This Row],[DATA]],"dd/mm/aaaa")</f>
        <v>24/04/2026</v>
      </c>
    </row>
    <row r="2373" spans="1:21" x14ac:dyDescent="0.25">
      <c r="A2373" s="9">
        <v>46136.599039351851</v>
      </c>
      <c r="B2373" t="s">
        <v>19</v>
      </c>
      <c r="C2373" t="s">
        <v>37</v>
      </c>
      <c r="D2373">
        <v>177</v>
      </c>
      <c r="E2373">
        <v>12710766000149</v>
      </c>
      <c r="F2373">
        <v>664</v>
      </c>
      <c r="G2373" s="10">
        <v>177705135739251</v>
      </c>
      <c r="H2373" t="s">
        <v>181</v>
      </c>
      <c r="I2373">
        <v>3003</v>
      </c>
      <c r="J2373" t="s">
        <v>22</v>
      </c>
      <c r="K2373" t="s">
        <v>23</v>
      </c>
      <c r="L2373" t="s">
        <v>31</v>
      </c>
      <c r="M2373" t="s">
        <v>636</v>
      </c>
      <c r="N2373" t="s">
        <v>53</v>
      </c>
      <c r="O2373">
        <v>128</v>
      </c>
      <c r="R2373" s="11">
        <v>8.1018518518518516E-5</v>
      </c>
      <c r="S2373" t="s">
        <v>37</v>
      </c>
      <c r="T2373" t="str">
        <f>IF(Tabela1[[#This Row],[STATUS_NEGOCIO]]="Enviar E-mail",1,"")</f>
        <v/>
      </c>
      <c r="U2373" t="str">
        <f>TEXT(Tabela1[[#This Row],[DATA]],"dd/mm/aaaa")</f>
        <v>24/04/2026</v>
      </c>
    </row>
    <row r="2374" spans="1:21" x14ac:dyDescent="0.25">
      <c r="A2374" s="9">
        <v>46136.599039351851</v>
      </c>
      <c r="B2374" t="s">
        <v>19</v>
      </c>
      <c r="C2374" t="s">
        <v>37</v>
      </c>
      <c r="D2374">
        <v>178</v>
      </c>
      <c r="E2374">
        <v>12959066000192</v>
      </c>
      <c r="F2374">
        <v>665</v>
      </c>
      <c r="G2374" s="10">
        <v>177705135739261</v>
      </c>
      <c r="H2374" t="s">
        <v>391</v>
      </c>
      <c r="I2374">
        <v>3003</v>
      </c>
      <c r="J2374" t="s">
        <v>22</v>
      </c>
      <c r="K2374" t="s">
        <v>23</v>
      </c>
      <c r="L2374" t="s">
        <v>31</v>
      </c>
      <c r="M2374" t="s">
        <v>636</v>
      </c>
      <c r="N2374" t="s">
        <v>53</v>
      </c>
      <c r="O2374">
        <v>128</v>
      </c>
      <c r="R2374" s="11">
        <v>6.9444444444444444E-5</v>
      </c>
      <c r="S2374" t="s">
        <v>37</v>
      </c>
      <c r="T2374" t="str">
        <f>IF(Tabela1[[#This Row],[STATUS_NEGOCIO]]="Enviar E-mail",1,"")</f>
        <v/>
      </c>
      <c r="U2374" t="str">
        <f>TEXT(Tabela1[[#This Row],[DATA]],"dd/mm/aaaa")</f>
        <v>24/04/2026</v>
      </c>
    </row>
    <row r="2375" spans="1:21" x14ac:dyDescent="0.25">
      <c r="A2375" s="9">
        <v>46136.599178240744</v>
      </c>
      <c r="B2375" t="s">
        <v>19</v>
      </c>
      <c r="C2375" t="s">
        <v>37</v>
      </c>
      <c r="D2375">
        <v>179</v>
      </c>
      <c r="E2375">
        <v>12995318000139</v>
      </c>
      <c r="F2375">
        <v>666</v>
      </c>
      <c r="G2375" s="10">
        <v>177705136939281</v>
      </c>
      <c r="H2375" t="s">
        <v>392</v>
      </c>
      <c r="I2375" t="s">
        <v>52</v>
      </c>
      <c r="J2375" t="s">
        <v>22</v>
      </c>
      <c r="K2375" t="s">
        <v>36</v>
      </c>
      <c r="L2375" t="s">
        <v>36</v>
      </c>
      <c r="M2375" t="s">
        <v>636</v>
      </c>
      <c r="N2375" t="s">
        <v>53</v>
      </c>
      <c r="O2375">
        <v>21</v>
      </c>
      <c r="R2375" s="11">
        <v>0</v>
      </c>
      <c r="S2375" t="s">
        <v>37</v>
      </c>
      <c r="T2375" t="str">
        <f>IF(Tabela1[[#This Row],[STATUS_NEGOCIO]]="Enviar E-mail",1,"")</f>
        <v/>
      </c>
      <c r="U2375" t="str">
        <f>TEXT(Tabela1[[#This Row],[DATA]],"dd/mm/aaaa")</f>
        <v>24/04/2026</v>
      </c>
    </row>
    <row r="2376" spans="1:21" x14ac:dyDescent="0.25">
      <c r="A2376" s="9">
        <v>46136.599305555559</v>
      </c>
      <c r="B2376" t="s">
        <v>19</v>
      </c>
      <c r="C2376" t="s">
        <v>37</v>
      </c>
      <c r="D2376">
        <v>180</v>
      </c>
      <c r="E2376">
        <v>13065020000192</v>
      </c>
      <c r="F2376">
        <v>667</v>
      </c>
      <c r="G2376" s="10">
        <v>177705138039361</v>
      </c>
      <c r="H2376" t="s">
        <v>393</v>
      </c>
      <c r="I2376">
        <v>3003</v>
      </c>
      <c r="J2376" t="s">
        <v>22</v>
      </c>
      <c r="K2376" t="s">
        <v>23</v>
      </c>
      <c r="L2376" t="s">
        <v>31</v>
      </c>
      <c r="M2376" t="s">
        <v>636</v>
      </c>
      <c r="N2376" t="s">
        <v>53</v>
      </c>
      <c r="O2376">
        <v>128</v>
      </c>
      <c r="R2376" s="11">
        <v>8.1018518518518516E-5</v>
      </c>
      <c r="S2376" t="s">
        <v>37</v>
      </c>
      <c r="T2376" t="str">
        <f>IF(Tabela1[[#This Row],[STATUS_NEGOCIO]]="Enviar E-mail",1,"")</f>
        <v/>
      </c>
      <c r="U2376" t="str">
        <f>TEXT(Tabela1[[#This Row],[DATA]],"dd/mm/aaaa")</f>
        <v>24/04/2026</v>
      </c>
    </row>
    <row r="2377" spans="1:21" x14ac:dyDescent="0.25">
      <c r="A2377" s="9">
        <v>46136.599502314813</v>
      </c>
      <c r="B2377" t="s">
        <v>19</v>
      </c>
      <c r="C2377" t="s">
        <v>37</v>
      </c>
      <c r="D2377">
        <v>181</v>
      </c>
      <c r="E2377">
        <v>13262186000107</v>
      </c>
      <c r="F2377">
        <v>668</v>
      </c>
      <c r="G2377" s="10">
        <v>177705139739381</v>
      </c>
      <c r="H2377" t="s">
        <v>394</v>
      </c>
      <c r="I2377">
        <v>3003</v>
      </c>
      <c r="J2377" t="s">
        <v>22</v>
      </c>
      <c r="K2377" t="s">
        <v>23</v>
      </c>
      <c r="L2377" t="s">
        <v>31</v>
      </c>
      <c r="M2377" t="s">
        <v>636</v>
      </c>
      <c r="N2377" t="s">
        <v>53</v>
      </c>
      <c r="O2377">
        <v>128</v>
      </c>
      <c r="R2377" s="11">
        <v>8.1018518518518516E-5</v>
      </c>
      <c r="S2377" t="s">
        <v>37</v>
      </c>
      <c r="T2377" t="str">
        <f>IF(Tabela1[[#This Row],[STATUS_NEGOCIO]]="Enviar E-mail",1,"")</f>
        <v/>
      </c>
      <c r="U2377" t="str">
        <f>TEXT(Tabela1[[#This Row],[DATA]],"dd/mm/aaaa")</f>
        <v>24/04/2026</v>
      </c>
    </row>
    <row r="2378" spans="1:21" x14ac:dyDescent="0.25">
      <c r="A2378" s="9">
        <v>46136.599548611113</v>
      </c>
      <c r="B2378" t="s">
        <v>19</v>
      </c>
      <c r="C2378" t="s">
        <v>37</v>
      </c>
      <c r="D2378">
        <v>183</v>
      </c>
      <c r="E2378">
        <v>13385694000174</v>
      </c>
      <c r="F2378">
        <v>669</v>
      </c>
      <c r="G2378" s="10">
        <v>177705140139391</v>
      </c>
      <c r="H2378" t="s">
        <v>396</v>
      </c>
      <c r="I2378">
        <v>3003</v>
      </c>
      <c r="J2378" t="s">
        <v>22</v>
      </c>
      <c r="K2378" t="s">
        <v>23</v>
      </c>
      <c r="L2378" t="s">
        <v>31</v>
      </c>
      <c r="M2378" t="s">
        <v>636</v>
      </c>
      <c r="N2378" t="s">
        <v>53</v>
      </c>
      <c r="O2378">
        <v>128</v>
      </c>
      <c r="R2378" s="11">
        <v>6.9444444444444444E-5</v>
      </c>
      <c r="S2378" t="s">
        <v>37</v>
      </c>
      <c r="T2378" t="str">
        <f>IF(Tabela1[[#This Row],[STATUS_NEGOCIO]]="Enviar E-mail",1,"")</f>
        <v/>
      </c>
      <c r="U2378" t="str">
        <f>TEXT(Tabela1[[#This Row],[DATA]],"dd/mm/aaaa")</f>
        <v>24/04/2026</v>
      </c>
    </row>
    <row r="2379" spans="1:21" x14ac:dyDescent="0.25">
      <c r="A2379" s="9">
        <v>46136.599641203706</v>
      </c>
      <c r="B2379" t="s">
        <v>19</v>
      </c>
      <c r="C2379" t="s">
        <v>37</v>
      </c>
      <c r="D2379">
        <v>184</v>
      </c>
      <c r="E2379">
        <v>13410313000160</v>
      </c>
      <c r="F2379">
        <v>670</v>
      </c>
      <c r="G2379" s="10">
        <v>177705140939411</v>
      </c>
      <c r="H2379" t="s">
        <v>397</v>
      </c>
      <c r="I2379" t="s">
        <v>52</v>
      </c>
      <c r="J2379" t="s">
        <v>22</v>
      </c>
      <c r="K2379" t="s">
        <v>36</v>
      </c>
      <c r="L2379" t="s">
        <v>36</v>
      </c>
      <c r="M2379" t="s">
        <v>636</v>
      </c>
      <c r="N2379" t="s">
        <v>53</v>
      </c>
      <c r="O2379">
        <v>19</v>
      </c>
      <c r="R2379" s="11">
        <v>0</v>
      </c>
      <c r="S2379" t="s">
        <v>37</v>
      </c>
      <c r="T2379" t="str">
        <f>IF(Tabela1[[#This Row],[STATUS_NEGOCIO]]="Enviar E-mail",1,"")</f>
        <v/>
      </c>
      <c r="U2379" t="str">
        <f>TEXT(Tabela1[[#This Row],[DATA]],"dd/mm/aaaa")</f>
        <v>24/04/2026</v>
      </c>
    </row>
    <row r="2380" spans="1:21" x14ac:dyDescent="0.25">
      <c r="A2380" s="9">
        <v>46136.599687499998</v>
      </c>
      <c r="B2380" t="s">
        <v>19</v>
      </c>
      <c r="C2380" t="s">
        <v>37</v>
      </c>
      <c r="D2380">
        <v>187</v>
      </c>
      <c r="E2380">
        <v>13464960000154</v>
      </c>
      <c r="F2380">
        <v>671</v>
      </c>
      <c r="G2380" s="10">
        <v>177705141339431</v>
      </c>
      <c r="H2380" t="s">
        <v>399</v>
      </c>
      <c r="I2380">
        <v>3003</v>
      </c>
      <c r="J2380" t="s">
        <v>22</v>
      </c>
      <c r="K2380" t="s">
        <v>23</v>
      </c>
      <c r="L2380" t="s">
        <v>31</v>
      </c>
      <c r="M2380" t="s">
        <v>636</v>
      </c>
      <c r="N2380" t="s">
        <v>53</v>
      </c>
      <c r="O2380">
        <v>128</v>
      </c>
      <c r="R2380" s="11">
        <v>6.9444444444444444E-5</v>
      </c>
      <c r="S2380" t="s">
        <v>37</v>
      </c>
      <c r="T2380" t="str">
        <f>IF(Tabela1[[#This Row],[STATUS_NEGOCIO]]="Enviar E-mail",1,"")</f>
        <v/>
      </c>
      <c r="U2380" t="str">
        <f>TEXT(Tabela1[[#This Row],[DATA]],"dd/mm/aaaa")</f>
        <v>24/04/2026</v>
      </c>
    </row>
    <row r="2381" spans="1:21" x14ac:dyDescent="0.25">
      <c r="A2381" s="9">
        <v>46136.599930555552</v>
      </c>
      <c r="B2381" t="s">
        <v>19</v>
      </c>
      <c r="C2381" t="s">
        <v>20</v>
      </c>
      <c r="D2381">
        <v>189</v>
      </c>
      <c r="E2381">
        <v>13721695000142</v>
      </c>
      <c r="F2381">
        <v>672</v>
      </c>
      <c r="G2381" s="10">
        <v>177705143439511</v>
      </c>
      <c r="H2381" t="s">
        <v>400</v>
      </c>
      <c r="I2381">
        <v>3003</v>
      </c>
      <c r="J2381" t="s">
        <v>22</v>
      </c>
      <c r="K2381" t="s">
        <v>23</v>
      </c>
      <c r="L2381" t="s">
        <v>40</v>
      </c>
      <c r="M2381" t="s">
        <v>636</v>
      </c>
      <c r="N2381" t="s">
        <v>32</v>
      </c>
      <c r="O2381">
        <v>16</v>
      </c>
      <c r="R2381" s="11">
        <v>2.1064814814814813E-3</v>
      </c>
      <c r="S2381" s="11">
        <v>2.0601851851851853E-3</v>
      </c>
      <c r="T2381">
        <f>IF(Tabela1[[#This Row],[STATUS_NEGOCIO]]="Enviar E-mail",1,"")</f>
        <v>1</v>
      </c>
      <c r="U2381" t="str">
        <f>TEXT(Tabela1[[#This Row],[DATA]],"dd/mm/aaaa")</f>
        <v>24/04/2026</v>
      </c>
    </row>
    <row r="2382" spans="1:21" x14ac:dyDescent="0.25">
      <c r="A2382" s="9">
        <v>46136.600185185183</v>
      </c>
      <c r="B2382" t="s">
        <v>19</v>
      </c>
      <c r="C2382" t="s">
        <v>37</v>
      </c>
      <c r="D2382">
        <v>190</v>
      </c>
      <c r="E2382">
        <v>13744177000144</v>
      </c>
      <c r="F2382">
        <v>673</v>
      </c>
      <c r="G2382" s="10">
        <v>177705145639541</v>
      </c>
      <c r="H2382" t="s">
        <v>401</v>
      </c>
      <c r="I2382">
        <v>3003</v>
      </c>
      <c r="J2382" t="s">
        <v>22</v>
      </c>
      <c r="K2382" t="s">
        <v>23</v>
      </c>
      <c r="L2382" t="s">
        <v>31</v>
      </c>
      <c r="M2382" t="s">
        <v>636</v>
      </c>
      <c r="N2382" t="s">
        <v>53</v>
      </c>
      <c r="O2382">
        <v>128</v>
      </c>
      <c r="R2382" s="11">
        <v>8.1018518518518516E-5</v>
      </c>
      <c r="S2382" t="s">
        <v>37</v>
      </c>
      <c r="T2382" t="str">
        <f>IF(Tabela1[[#This Row],[STATUS_NEGOCIO]]="Enviar E-mail",1,"")</f>
        <v/>
      </c>
      <c r="U2382" t="str">
        <f>TEXT(Tabela1[[#This Row],[DATA]],"dd/mm/aaaa")</f>
        <v>24/04/2026</v>
      </c>
    </row>
    <row r="2383" spans="1:21" x14ac:dyDescent="0.25">
      <c r="A2383" s="9">
        <v>46136.600439814814</v>
      </c>
      <c r="B2383" t="s">
        <v>19</v>
      </c>
      <c r="C2383" t="s">
        <v>37</v>
      </c>
      <c r="D2383">
        <v>192</v>
      </c>
      <c r="E2383">
        <v>14059527000104</v>
      </c>
      <c r="F2383">
        <v>674</v>
      </c>
      <c r="G2383" s="10">
        <v>177705147839561</v>
      </c>
      <c r="H2383" t="s">
        <v>402</v>
      </c>
      <c r="I2383">
        <v>3003</v>
      </c>
      <c r="J2383" t="s">
        <v>22</v>
      </c>
      <c r="K2383" t="s">
        <v>23</v>
      </c>
      <c r="L2383" t="s">
        <v>31</v>
      </c>
      <c r="M2383" t="s">
        <v>636</v>
      </c>
      <c r="N2383" t="s">
        <v>53</v>
      </c>
      <c r="O2383">
        <v>128</v>
      </c>
      <c r="R2383" s="11">
        <v>8.1018518518518516E-5</v>
      </c>
      <c r="S2383" t="s">
        <v>37</v>
      </c>
      <c r="T2383" t="str">
        <f>IF(Tabela1[[#This Row],[STATUS_NEGOCIO]]="Enviar E-mail",1,"")</f>
        <v/>
      </c>
      <c r="U2383" t="str">
        <f>TEXT(Tabela1[[#This Row],[DATA]],"dd/mm/aaaa")</f>
        <v>24/04/2026</v>
      </c>
    </row>
    <row r="2384" spans="1:21" x14ac:dyDescent="0.25">
      <c r="A2384" s="9">
        <v>46136.600798611114</v>
      </c>
      <c r="B2384" t="s">
        <v>19</v>
      </c>
      <c r="C2384" t="s">
        <v>37</v>
      </c>
      <c r="D2384">
        <v>193</v>
      </c>
      <c r="E2384">
        <v>14370573000111</v>
      </c>
      <c r="F2384">
        <v>675</v>
      </c>
      <c r="G2384" s="10">
        <v>177705150939631</v>
      </c>
      <c r="H2384" t="s">
        <v>86</v>
      </c>
      <c r="I2384" t="s">
        <v>52</v>
      </c>
      <c r="J2384" t="s">
        <v>22</v>
      </c>
      <c r="K2384" t="s">
        <v>36</v>
      </c>
      <c r="L2384" t="s">
        <v>36</v>
      </c>
      <c r="M2384" t="s">
        <v>636</v>
      </c>
      <c r="N2384" t="s">
        <v>53</v>
      </c>
      <c r="O2384">
        <v>1</v>
      </c>
      <c r="R2384" s="11">
        <v>0</v>
      </c>
      <c r="S2384" t="s">
        <v>37</v>
      </c>
      <c r="T2384" t="str">
        <f>IF(Tabela1[[#This Row],[STATUS_NEGOCIO]]="Enviar E-mail",1,"")</f>
        <v/>
      </c>
      <c r="U2384" t="str">
        <f>TEXT(Tabela1[[#This Row],[DATA]],"dd/mm/aaaa")</f>
        <v>24/04/2026</v>
      </c>
    </row>
    <row r="2385" spans="1:21" x14ac:dyDescent="0.25">
      <c r="A2385" s="9">
        <v>46136.600798611114</v>
      </c>
      <c r="B2385" t="s">
        <v>19</v>
      </c>
      <c r="C2385" t="s">
        <v>37</v>
      </c>
      <c r="D2385">
        <v>194</v>
      </c>
      <c r="E2385">
        <v>14440968000143</v>
      </c>
      <c r="F2385">
        <v>676</v>
      </c>
      <c r="G2385" s="10">
        <v>177705150939641</v>
      </c>
      <c r="H2385" t="s">
        <v>403</v>
      </c>
      <c r="I2385">
        <v>3003</v>
      </c>
      <c r="J2385" t="s">
        <v>22</v>
      </c>
      <c r="K2385" t="s">
        <v>23</v>
      </c>
      <c r="L2385" t="s">
        <v>31</v>
      </c>
      <c r="M2385" t="s">
        <v>636</v>
      </c>
      <c r="N2385" t="s">
        <v>53</v>
      </c>
      <c r="O2385">
        <v>128</v>
      </c>
      <c r="R2385" s="11">
        <v>8.1018518518518516E-5</v>
      </c>
      <c r="S2385" t="s">
        <v>37</v>
      </c>
      <c r="T2385" t="str">
        <f>IF(Tabela1[[#This Row],[STATUS_NEGOCIO]]="Enviar E-mail",1,"")</f>
        <v/>
      </c>
      <c r="U2385" t="str">
        <f>TEXT(Tabela1[[#This Row],[DATA]],"dd/mm/aaaa")</f>
        <v>24/04/2026</v>
      </c>
    </row>
    <row r="2386" spans="1:21" x14ac:dyDescent="0.25">
      <c r="A2386" s="9">
        <v>46136.600995370369</v>
      </c>
      <c r="B2386" t="s">
        <v>19</v>
      </c>
      <c r="C2386" t="s">
        <v>37</v>
      </c>
      <c r="D2386">
        <v>195</v>
      </c>
      <c r="E2386">
        <v>14450781000120</v>
      </c>
      <c r="F2386">
        <v>677</v>
      </c>
      <c r="G2386" s="10">
        <v>177705152639661</v>
      </c>
      <c r="H2386" t="s">
        <v>145</v>
      </c>
      <c r="I2386" t="s">
        <v>52</v>
      </c>
      <c r="J2386" t="s">
        <v>22</v>
      </c>
      <c r="K2386" t="s">
        <v>36</v>
      </c>
      <c r="L2386" t="s">
        <v>36</v>
      </c>
      <c r="M2386" t="s">
        <v>636</v>
      </c>
      <c r="N2386" t="s">
        <v>53</v>
      </c>
      <c r="O2386">
        <v>19</v>
      </c>
      <c r="R2386" s="11">
        <v>0</v>
      </c>
      <c r="S2386" t="s">
        <v>37</v>
      </c>
      <c r="T2386" t="str">
        <f>IF(Tabela1[[#This Row],[STATUS_NEGOCIO]]="Enviar E-mail",1,"")</f>
        <v/>
      </c>
      <c r="U2386" t="str">
        <f>TEXT(Tabela1[[#This Row],[DATA]],"dd/mm/aaaa")</f>
        <v>24/04/2026</v>
      </c>
    </row>
    <row r="2387" spans="1:21" x14ac:dyDescent="0.25">
      <c r="A2387" s="9">
        <v>46136.6015625</v>
      </c>
      <c r="B2387" t="s">
        <v>19</v>
      </c>
      <c r="C2387" t="s">
        <v>37</v>
      </c>
      <c r="D2387">
        <v>196</v>
      </c>
      <c r="E2387">
        <v>14565807000186</v>
      </c>
      <c r="F2387">
        <v>678</v>
      </c>
      <c r="G2387" s="10">
        <v>177705157539671</v>
      </c>
      <c r="H2387" t="s">
        <v>226</v>
      </c>
      <c r="I2387">
        <v>3003</v>
      </c>
      <c r="J2387" t="s">
        <v>22</v>
      </c>
      <c r="K2387" t="s">
        <v>23</v>
      </c>
      <c r="L2387" t="s">
        <v>31</v>
      </c>
      <c r="M2387" t="s">
        <v>636</v>
      </c>
      <c r="N2387" t="s">
        <v>53</v>
      </c>
      <c r="O2387">
        <v>128</v>
      </c>
      <c r="R2387" s="11">
        <v>8.1018518518518516E-5</v>
      </c>
      <c r="S2387" t="s">
        <v>37</v>
      </c>
      <c r="T2387" t="str">
        <f>IF(Tabela1[[#This Row],[STATUS_NEGOCIO]]="Enviar E-mail",1,"")</f>
        <v/>
      </c>
      <c r="U2387" t="str">
        <f>TEXT(Tabela1[[#This Row],[DATA]],"dd/mm/aaaa")</f>
        <v>24/04/2026</v>
      </c>
    </row>
    <row r="2388" spans="1:21" x14ac:dyDescent="0.25">
      <c r="A2388" s="9">
        <v>46136.601712962962</v>
      </c>
      <c r="B2388" t="s">
        <v>19</v>
      </c>
      <c r="C2388" t="s">
        <v>37</v>
      </c>
      <c r="D2388">
        <v>197</v>
      </c>
      <c r="E2388">
        <v>14766966000149</v>
      </c>
      <c r="F2388">
        <v>679</v>
      </c>
      <c r="G2388" s="10">
        <v>177705158839691</v>
      </c>
      <c r="H2388" t="s">
        <v>142</v>
      </c>
      <c r="I2388">
        <v>3003</v>
      </c>
      <c r="J2388" t="s">
        <v>22</v>
      </c>
      <c r="K2388" t="s">
        <v>23</v>
      </c>
      <c r="L2388" t="s">
        <v>31</v>
      </c>
      <c r="M2388" t="s">
        <v>636</v>
      </c>
      <c r="N2388" t="s">
        <v>53</v>
      </c>
      <c r="O2388">
        <v>128</v>
      </c>
      <c r="R2388" s="11">
        <v>6.9444444444444444E-5</v>
      </c>
      <c r="S2388" t="s">
        <v>37</v>
      </c>
      <c r="T2388" t="str">
        <f>IF(Tabela1[[#This Row],[STATUS_NEGOCIO]]="Enviar E-mail",1,"")</f>
        <v/>
      </c>
      <c r="U2388" t="str">
        <f>TEXT(Tabela1[[#This Row],[DATA]],"dd/mm/aaaa")</f>
        <v>24/04/2026</v>
      </c>
    </row>
    <row r="2389" spans="1:21" x14ac:dyDescent="0.25">
      <c r="A2389" s="9">
        <v>46136.602164351854</v>
      </c>
      <c r="B2389" t="s">
        <v>19</v>
      </c>
      <c r="C2389" t="s">
        <v>37</v>
      </c>
      <c r="D2389">
        <v>198</v>
      </c>
      <c r="E2389">
        <v>14811950000100</v>
      </c>
      <c r="F2389">
        <v>680</v>
      </c>
      <c r="G2389" s="10">
        <v>177705162739711</v>
      </c>
      <c r="H2389" t="s">
        <v>404</v>
      </c>
      <c r="I2389">
        <v>3003</v>
      </c>
      <c r="J2389" t="s">
        <v>22</v>
      </c>
      <c r="K2389" t="s">
        <v>23</v>
      </c>
      <c r="L2389" t="s">
        <v>31</v>
      </c>
      <c r="M2389" t="s">
        <v>636</v>
      </c>
      <c r="N2389" t="s">
        <v>53</v>
      </c>
      <c r="O2389">
        <v>128</v>
      </c>
      <c r="R2389" s="11">
        <v>8.1018518518518516E-5</v>
      </c>
      <c r="S2389" t="s">
        <v>37</v>
      </c>
      <c r="T2389" t="str">
        <f>IF(Tabela1[[#This Row],[STATUS_NEGOCIO]]="Enviar E-mail",1,"")</f>
        <v/>
      </c>
      <c r="U2389" t="str">
        <f>TEXT(Tabela1[[#This Row],[DATA]],"dd/mm/aaaa")</f>
        <v>24/04/2026</v>
      </c>
    </row>
    <row r="2390" spans="1:21" x14ac:dyDescent="0.25">
      <c r="A2390" s="9">
        <v>46136.602187500001</v>
      </c>
      <c r="B2390" t="s">
        <v>19</v>
      </c>
      <c r="C2390" t="s">
        <v>37</v>
      </c>
      <c r="D2390">
        <v>199</v>
      </c>
      <c r="E2390">
        <v>14965593000135</v>
      </c>
      <c r="F2390">
        <v>681</v>
      </c>
      <c r="G2390" s="10">
        <v>177705162939731</v>
      </c>
      <c r="H2390" t="s">
        <v>405</v>
      </c>
      <c r="I2390">
        <v>3003</v>
      </c>
      <c r="J2390" t="s">
        <v>22</v>
      </c>
      <c r="K2390" t="s">
        <v>23</v>
      </c>
      <c r="L2390" t="s">
        <v>31</v>
      </c>
      <c r="M2390" t="s">
        <v>636</v>
      </c>
      <c r="N2390" t="s">
        <v>53</v>
      </c>
      <c r="O2390">
        <v>147</v>
      </c>
      <c r="R2390" s="11">
        <v>8.1018518518518516E-5</v>
      </c>
      <c r="S2390" t="s">
        <v>37</v>
      </c>
      <c r="T2390" t="str">
        <f>IF(Tabela1[[#This Row],[STATUS_NEGOCIO]]="Enviar E-mail",1,"")</f>
        <v/>
      </c>
      <c r="U2390" t="str">
        <f>TEXT(Tabela1[[#This Row],[DATA]],"dd/mm/aaaa")</f>
        <v>24/04/2026</v>
      </c>
    </row>
    <row r="2391" spans="1:21" x14ac:dyDescent="0.25">
      <c r="A2391" s="9">
        <v>46136.607743055552</v>
      </c>
      <c r="B2391" t="s">
        <v>19</v>
      </c>
      <c r="C2391" t="s">
        <v>37</v>
      </c>
      <c r="D2391">
        <v>202</v>
      </c>
      <c r="E2391">
        <v>16385008000153</v>
      </c>
      <c r="F2391">
        <v>683</v>
      </c>
      <c r="G2391" s="10">
        <v>177705210940361</v>
      </c>
      <c r="H2391" t="s">
        <v>408</v>
      </c>
      <c r="I2391">
        <v>3003</v>
      </c>
      <c r="J2391" t="s">
        <v>22</v>
      </c>
      <c r="K2391" t="s">
        <v>23</v>
      </c>
      <c r="L2391" t="s">
        <v>31</v>
      </c>
      <c r="M2391" t="s">
        <v>636</v>
      </c>
      <c r="N2391" t="s">
        <v>53</v>
      </c>
      <c r="O2391">
        <v>128</v>
      </c>
      <c r="R2391" s="11">
        <v>8.1018518518518516E-5</v>
      </c>
      <c r="S2391" t="s">
        <v>37</v>
      </c>
      <c r="T2391" t="str">
        <f>IF(Tabela1[[#This Row],[STATUS_NEGOCIO]]="Enviar E-mail",1,"")</f>
        <v/>
      </c>
      <c r="U2391" t="str">
        <f>TEXT(Tabela1[[#This Row],[DATA]],"dd/mm/aaaa")</f>
        <v>24/04/2026</v>
      </c>
    </row>
    <row r="2392" spans="1:21" x14ac:dyDescent="0.25">
      <c r="A2392" s="9">
        <v>46136.607916666668</v>
      </c>
      <c r="B2392" t="s">
        <v>19</v>
      </c>
      <c r="C2392" t="s">
        <v>37</v>
      </c>
      <c r="D2392">
        <v>203</v>
      </c>
      <c r="E2392">
        <v>16720728000128</v>
      </c>
      <c r="F2392">
        <v>684</v>
      </c>
      <c r="G2392" s="10">
        <v>177705212440381</v>
      </c>
      <c r="H2392" t="s">
        <v>409</v>
      </c>
      <c r="I2392">
        <v>3003</v>
      </c>
      <c r="J2392" t="s">
        <v>22</v>
      </c>
      <c r="K2392" t="s">
        <v>23</v>
      </c>
      <c r="L2392" t="s">
        <v>31</v>
      </c>
      <c r="M2392" t="s">
        <v>636</v>
      </c>
      <c r="N2392" t="s">
        <v>53</v>
      </c>
      <c r="O2392">
        <v>128</v>
      </c>
      <c r="R2392" s="11">
        <v>8.1018518518518516E-5</v>
      </c>
      <c r="S2392" t="s">
        <v>37</v>
      </c>
      <c r="T2392" t="str">
        <f>IF(Tabela1[[#This Row],[STATUS_NEGOCIO]]="Enviar E-mail",1,"")</f>
        <v/>
      </c>
      <c r="U2392" t="str">
        <f>TEXT(Tabela1[[#This Row],[DATA]],"dd/mm/aaaa")</f>
        <v>24/04/2026</v>
      </c>
    </row>
    <row r="2393" spans="1:21" x14ac:dyDescent="0.25">
      <c r="A2393" s="9">
        <v>46136.608368055553</v>
      </c>
      <c r="B2393" t="s">
        <v>19</v>
      </c>
      <c r="C2393" t="s">
        <v>37</v>
      </c>
      <c r="D2393">
        <v>204</v>
      </c>
      <c r="E2393">
        <v>16918406000198</v>
      </c>
      <c r="F2393">
        <v>685</v>
      </c>
      <c r="G2393" s="10">
        <v>177705216340541</v>
      </c>
      <c r="H2393" t="s">
        <v>410</v>
      </c>
      <c r="I2393">
        <v>3003</v>
      </c>
      <c r="J2393" t="s">
        <v>22</v>
      </c>
      <c r="K2393" t="s">
        <v>23</v>
      </c>
      <c r="L2393" t="s">
        <v>31</v>
      </c>
      <c r="M2393" t="s">
        <v>636</v>
      </c>
      <c r="N2393" t="s">
        <v>53</v>
      </c>
      <c r="O2393">
        <v>128</v>
      </c>
      <c r="R2393" s="11">
        <v>8.1018518518518516E-5</v>
      </c>
      <c r="S2393" t="s">
        <v>37</v>
      </c>
      <c r="T2393" t="str">
        <f>IF(Tabela1[[#This Row],[STATUS_NEGOCIO]]="Enviar E-mail",1,"")</f>
        <v/>
      </c>
      <c r="U2393" t="str">
        <f>TEXT(Tabela1[[#This Row],[DATA]],"dd/mm/aaaa")</f>
        <v>24/04/2026</v>
      </c>
    </row>
    <row r="2394" spans="1:21" x14ac:dyDescent="0.25">
      <c r="A2394" s="9">
        <v>46136.608368055553</v>
      </c>
      <c r="B2394" t="s">
        <v>19</v>
      </c>
      <c r="C2394" t="s">
        <v>37</v>
      </c>
      <c r="D2394">
        <v>205</v>
      </c>
      <c r="E2394">
        <v>16918406000198</v>
      </c>
      <c r="F2394">
        <v>686</v>
      </c>
      <c r="G2394" s="10">
        <v>177705216340551</v>
      </c>
      <c r="H2394" t="s">
        <v>410</v>
      </c>
      <c r="I2394">
        <v>3003</v>
      </c>
      <c r="J2394" t="s">
        <v>22</v>
      </c>
      <c r="K2394" t="s">
        <v>23</v>
      </c>
      <c r="L2394" t="s">
        <v>31</v>
      </c>
      <c r="M2394" t="s">
        <v>636</v>
      </c>
      <c r="N2394" t="s">
        <v>53</v>
      </c>
      <c r="O2394">
        <v>128</v>
      </c>
      <c r="R2394" s="11">
        <v>8.1018518518518516E-5</v>
      </c>
      <c r="S2394" t="s">
        <v>37</v>
      </c>
      <c r="T2394" t="str">
        <f>IF(Tabela1[[#This Row],[STATUS_NEGOCIO]]="Enviar E-mail",1,"")</f>
        <v/>
      </c>
      <c r="U2394" t="str">
        <f>TEXT(Tabela1[[#This Row],[DATA]],"dd/mm/aaaa")</f>
        <v>24/04/2026</v>
      </c>
    </row>
    <row r="2395" spans="1:21" x14ac:dyDescent="0.25">
      <c r="A2395" s="9">
        <v>46136.608530092592</v>
      </c>
      <c r="B2395" t="s">
        <v>19</v>
      </c>
      <c r="C2395" t="s">
        <v>37</v>
      </c>
      <c r="D2395">
        <v>206</v>
      </c>
      <c r="E2395">
        <v>16927109000109</v>
      </c>
      <c r="F2395">
        <v>687</v>
      </c>
      <c r="G2395" s="10">
        <v>177705217740751</v>
      </c>
      <c r="H2395" t="s">
        <v>411</v>
      </c>
      <c r="I2395">
        <v>3003</v>
      </c>
      <c r="J2395" t="s">
        <v>22</v>
      </c>
      <c r="K2395" t="s">
        <v>23</v>
      </c>
      <c r="L2395" t="s">
        <v>31</v>
      </c>
      <c r="M2395" t="s">
        <v>636</v>
      </c>
      <c r="N2395" t="s">
        <v>53</v>
      </c>
      <c r="O2395">
        <v>128</v>
      </c>
      <c r="R2395" s="11">
        <v>8.1018518518518516E-5</v>
      </c>
      <c r="S2395" t="s">
        <v>37</v>
      </c>
      <c r="T2395" t="str">
        <f>IF(Tabela1[[#This Row],[STATUS_NEGOCIO]]="Enviar E-mail",1,"")</f>
        <v/>
      </c>
      <c r="U2395" t="str">
        <f>TEXT(Tabela1[[#This Row],[DATA]],"dd/mm/aaaa")</f>
        <v>24/04/2026</v>
      </c>
    </row>
    <row r="2396" spans="1:21" x14ac:dyDescent="0.25">
      <c r="A2396" s="9">
        <v>46136.608541666668</v>
      </c>
      <c r="B2396" t="s">
        <v>19</v>
      </c>
      <c r="C2396" t="s">
        <v>37</v>
      </c>
      <c r="D2396">
        <v>207</v>
      </c>
      <c r="E2396">
        <v>16959774000184</v>
      </c>
      <c r="F2396">
        <v>688</v>
      </c>
      <c r="G2396" s="10">
        <v>177705217840771</v>
      </c>
      <c r="H2396" t="s">
        <v>412</v>
      </c>
      <c r="I2396">
        <v>3003</v>
      </c>
      <c r="J2396" t="s">
        <v>22</v>
      </c>
      <c r="K2396" t="s">
        <v>23</v>
      </c>
      <c r="L2396" t="s">
        <v>31</v>
      </c>
      <c r="M2396" t="s">
        <v>636</v>
      </c>
      <c r="N2396" t="s">
        <v>53</v>
      </c>
      <c r="O2396">
        <v>128</v>
      </c>
      <c r="R2396" s="11">
        <v>8.1018518518518516E-5</v>
      </c>
      <c r="S2396" t="s">
        <v>37</v>
      </c>
      <c r="T2396" t="str">
        <f>IF(Tabela1[[#This Row],[STATUS_NEGOCIO]]="Enviar E-mail",1,"")</f>
        <v/>
      </c>
      <c r="U2396" t="str">
        <f>TEXT(Tabela1[[#This Row],[DATA]],"dd/mm/aaaa")</f>
        <v>24/04/2026</v>
      </c>
    </row>
    <row r="2397" spans="1:21" x14ac:dyDescent="0.25">
      <c r="A2397" s="9">
        <v>46136.60869212963</v>
      </c>
      <c r="B2397" t="s">
        <v>19</v>
      </c>
      <c r="C2397" t="s">
        <v>37</v>
      </c>
      <c r="D2397">
        <v>208</v>
      </c>
      <c r="E2397">
        <v>17043182000180</v>
      </c>
      <c r="F2397">
        <v>689</v>
      </c>
      <c r="G2397" s="10">
        <v>177705219140851</v>
      </c>
      <c r="H2397" t="s">
        <v>235</v>
      </c>
      <c r="I2397">
        <v>3003</v>
      </c>
      <c r="J2397" t="s">
        <v>22</v>
      </c>
      <c r="K2397" t="s">
        <v>23</v>
      </c>
      <c r="L2397" t="s">
        <v>31</v>
      </c>
      <c r="M2397" t="s">
        <v>636</v>
      </c>
      <c r="N2397" t="s">
        <v>53</v>
      </c>
      <c r="O2397">
        <v>128</v>
      </c>
      <c r="R2397" s="11">
        <v>8.1018518518518516E-5</v>
      </c>
      <c r="S2397" t="s">
        <v>37</v>
      </c>
      <c r="T2397" t="str">
        <f>IF(Tabela1[[#This Row],[STATUS_NEGOCIO]]="Enviar E-mail",1,"")</f>
        <v/>
      </c>
      <c r="U2397" t="str">
        <f>TEXT(Tabela1[[#This Row],[DATA]],"dd/mm/aaaa")</f>
        <v>24/04/2026</v>
      </c>
    </row>
    <row r="2398" spans="1:21" x14ac:dyDescent="0.25">
      <c r="A2398" s="9">
        <v>46136.608738425923</v>
      </c>
      <c r="B2398" t="s">
        <v>19</v>
      </c>
      <c r="C2398" t="s">
        <v>37</v>
      </c>
      <c r="D2398">
        <v>209</v>
      </c>
      <c r="E2398">
        <v>17230906000103</v>
      </c>
      <c r="F2398">
        <v>690</v>
      </c>
      <c r="G2398" s="10">
        <v>177705219540871</v>
      </c>
      <c r="H2398" t="s">
        <v>246</v>
      </c>
      <c r="I2398">
        <v>3003</v>
      </c>
      <c r="J2398" t="s">
        <v>22</v>
      </c>
      <c r="K2398" t="s">
        <v>23</v>
      </c>
      <c r="L2398" t="s">
        <v>31</v>
      </c>
      <c r="M2398" t="s">
        <v>636</v>
      </c>
      <c r="N2398" t="s">
        <v>53</v>
      </c>
      <c r="O2398">
        <v>128</v>
      </c>
      <c r="R2398" s="11">
        <v>8.1018518518518516E-5</v>
      </c>
      <c r="S2398" t="s">
        <v>37</v>
      </c>
      <c r="T2398" t="str">
        <f>IF(Tabela1[[#This Row],[STATUS_NEGOCIO]]="Enviar E-mail",1,"")</f>
        <v/>
      </c>
      <c r="U2398" t="str">
        <f>TEXT(Tabela1[[#This Row],[DATA]],"dd/mm/aaaa")</f>
        <v>24/04/2026</v>
      </c>
    </row>
    <row r="2399" spans="1:21" x14ac:dyDescent="0.25">
      <c r="A2399" s="9">
        <v>46136.609039351853</v>
      </c>
      <c r="B2399" t="s">
        <v>19</v>
      </c>
      <c r="C2399" t="s">
        <v>37</v>
      </c>
      <c r="D2399">
        <v>210</v>
      </c>
      <c r="E2399">
        <v>17232038000192</v>
      </c>
      <c r="F2399">
        <v>691</v>
      </c>
      <c r="G2399" s="10">
        <v>177705222140961</v>
      </c>
      <c r="H2399" t="s">
        <v>413</v>
      </c>
      <c r="I2399">
        <v>3003</v>
      </c>
      <c r="J2399" t="s">
        <v>22</v>
      </c>
      <c r="K2399" t="s">
        <v>23</v>
      </c>
      <c r="L2399" t="s">
        <v>31</v>
      </c>
      <c r="M2399" t="s">
        <v>636</v>
      </c>
      <c r="N2399" t="s">
        <v>53</v>
      </c>
      <c r="O2399">
        <v>128</v>
      </c>
      <c r="R2399" s="11">
        <v>5.7870370370370373E-5</v>
      </c>
      <c r="S2399" t="s">
        <v>37</v>
      </c>
      <c r="T2399" t="str">
        <f>IF(Tabela1[[#This Row],[STATUS_NEGOCIO]]="Enviar E-mail",1,"")</f>
        <v/>
      </c>
      <c r="U2399" t="str">
        <f>TEXT(Tabela1[[#This Row],[DATA]],"dd/mm/aaaa")</f>
        <v>24/04/2026</v>
      </c>
    </row>
    <row r="2400" spans="1:21" x14ac:dyDescent="0.25">
      <c r="A2400" s="9">
        <v>46136.609039351853</v>
      </c>
      <c r="B2400" t="s">
        <v>19</v>
      </c>
      <c r="C2400" t="s">
        <v>37</v>
      </c>
      <c r="D2400">
        <v>211</v>
      </c>
      <c r="E2400">
        <v>17404008000116</v>
      </c>
      <c r="F2400">
        <v>692</v>
      </c>
      <c r="G2400" s="10">
        <v>177705222140991</v>
      </c>
      <c r="H2400" t="s">
        <v>414</v>
      </c>
      <c r="I2400">
        <v>3003</v>
      </c>
      <c r="J2400" t="s">
        <v>22</v>
      </c>
      <c r="K2400" t="s">
        <v>23</v>
      </c>
      <c r="L2400" t="s">
        <v>31</v>
      </c>
      <c r="M2400" t="s">
        <v>636</v>
      </c>
      <c r="N2400" t="s">
        <v>53</v>
      </c>
      <c r="O2400">
        <v>128</v>
      </c>
      <c r="R2400" s="11">
        <v>8.1018518518518516E-5</v>
      </c>
      <c r="S2400" t="s">
        <v>37</v>
      </c>
      <c r="T2400" t="str">
        <f>IF(Tabela1[[#This Row],[STATUS_NEGOCIO]]="Enviar E-mail",1,"")</f>
        <v/>
      </c>
      <c r="U2400" t="str">
        <f>TEXT(Tabela1[[#This Row],[DATA]],"dd/mm/aaaa")</f>
        <v>24/04/2026</v>
      </c>
    </row>
    <row r="2401" spans="1:21" x14ac:dyDescent="0.25">
      <c r="A2401" s="9">
        <v>46136.609143518515</v>
      </c>
      <c r="B2401" t="s">
        <v>19</v>
      </c>
      <c r="C2401" t="s">
        <v>37</v>
      </c>
      <c r="D2401">
        <v>212</v>
      </c>
      <c r="E2401">
        <v>17446625000184</v>
      </c>
      <c r="F2401">
        <v>693</v>
      </c>
      <c r="G2401" s="10">
        <v>177705223041041</v>
      </c>
      <c r="H2401" t="s">
        <v>415</v>
      </c>
      <c r="I2401">
        <v>3003</v>
      </c>
      <c r="J2401" t="s">
        <v>22</v>
      </c>
      <c r="K2401" t="s">
        <v>23</v>
      </c>
      <c r="L2401" t="s">
        <v>31</v>
      </c>
      <c r="M2401" t="s">
        <v>636</v>
      </c>
      <c r="N2401" t="s">
        <v>53</v>
      </c>
      <c r="O2401">
        <v>128</v>
      </c>
      <c r="R2401" s="11">
        <v>8.1018518518518516E-5</v>
      </c>
      <c r="S2401" t="s">
        <v>37</v>
      </c>
      <c r="T2401" t="str">
        <f>IF(Tabela1[[#This Row],[STATUS_NEGOCIO]]="Enviar E-mail",1,"")</f>
        <v/>
      </c>
      <c r="U2401" t="str">
        <f>TEXT(Tabela1[[#This Row],[DATA]],"dd/mm/aaaa")</f>
        <v>24/04/2026</v>
      </c>
    </row>
    <row r="2402" spans="1:21" x14ac:dyDescent="0.25">
      <c r="A2402" s="9">
        <v>46136.609178240738</v>
      </c>
      <c r="B2402" t="s">
        <v>19</v>
      </c>
      <c r="C2402" t="s">
        <v>37</v>
      </c>
      <c r="D2402">
        <v>213</v>
      </c>
      <c r="E2402">
        <v>17845803000140</v>
      </c>
      <c r="F2402">
        <v>694</v>
      </c>
      <c r="G2402" s="10">
        <v>177705223341061</v>
      </c>
      <c r="H2402" t="s">
        <v>75</v>
      </c>
      <c r="I2402">
        <v>3003</v>
      </c>
      <c r="J2402" t="s">
        <v>22</v>
      </c>
      <c r="K2402" t="s">
        <v>23</v>
      </c>
      <c r="L2402" t="s">
        <v>31</v>
      </c>
      <c r="M2402" t="s">
        <v>636</v>
      </c>
      <c r="N2402" t="s">
        <v>53</v>
      </c>
      <c r="O2402">
        <v>128</v>
      </c>
      <c r="R2402" s="11">
        <v>8.1018518518518516E-5</v>
      </c>
      <c r="S2402" t="s">
        <v>37</v>
      </c>
      <c r="T2402" t="str">
        <f>IF(Tabela1[[#This Row],[STATUS_NEGOCIO]]="Enviar E-mail",1,"")</f>
        <v/>
      </c>
      <c r="U2402" t="str">
        <f>TEXT(Tabela1[[#This Row],[DATA]],"dd/mm/aaaa")</f>
        <v>24/04/2026</v>
      </c>
    </row>
    <row r="2403" spans="1:21" x14ac:dyDescent="0.25">
      <c r="A2403" s="9">
        <v>46136.609340277777</v>
      </c>
      <c r="B2403" t="s">
        <v>19</v>
      </c>
      <c r="C2403" t="s">
        <v>37</v>
      </c>
      <c r="D2403">
        <v>214</v>
      </c>
      <c r="E2403">
        <v>18341732000100</v>
      </c>
      <c r="F2403">
        <v>695</v>
      </c>
      <c r="G2403" s="10">
        <v>177705224741081</v>
      </c>
      <c r="H2403" t="s">
        <v>416</v>
      </c>
      <c r="I2403">
        <v>3003</v>
      </c>
      <c r="J2403" t="s">
        <v>22</v>
      </c>
      <c r="K2403" t="s">
        <v>23</v>
      </c>
      <c r="L2403" t="s">
        <v>31</v>
      </c>
      <c r="M2403" t="s">
        <v>636</v>
      </c>
      <c r="N2403" t="s">
        <v>53</v>
      </c>
      <c r="O2403">
        <v>147</v>
      </c>
      <c r="R2403" s="11">
        <v>8.1018518518518516E-5</v>
      </c>
      <c r="S2403" t="s">
        <v>37</v>
      </c>
      <c r="T2403" t="str">
        <f>IF(Tabela1[[#This Row],[STATUS_NEGOCIO]]="Enviar E-mail",1,"")</f>
        <v/>
      </c>
      <c r="U2403" t="str">
        <f>TEXT(Tabela1[[#This Row],[DATA]],"dd/mm/aaaa")</f>
        <v>24/04/2026</v>
      </c>
    </row>
    <row r="2404" spans="1:21" x14ac:dyDescent="0.25">
      <c r="A2404" s="9">
        <v>46136.609467592592</v>
      </c>
      <c r="B2404" t="s">
        <v>19</v>
      </c>
      <c r="C2404" t="s">
        <v>37</v>
      </c>
      <c r="D2404">
        <v>215</v>
      </c>
      <c r="E2404">
        <v>18414594000142</v>
      </c>
      <c r="F2404">
        <v>696</v>
      </c>
      <c r="G2404" s="10">
        <v>177705225841101</v>
      </c>
      <c r="H2404" t="s">
        <v>417</v>
      </c>
      <c r="I2404">
        <v>3003</v>
      </c>
      <c r="J2404" t="s">
        <v>22</v>
      </c>
      <c r="K2404" t="s">
        <v>23</v>
      </c>
      <c r="L2404" t="s">
        <v>31</v>
      </c>
      <c r="M2404" t="s">
        <v>636</v>
      </c>
      <c r="N2404" t="s">
        <v>53</v>
      </c>
      <c r="O2404">
        <v>128</v>
      </c>
      <c r="R2404" s="11">
        <v>8.1018518518518516E-5</v>
      </c>
      <c r="S2404" t="s">
        <v>37</v>
      </c>
      <c r="T2404" t="str">
        <f>IF(Tabela1[[#This Row],[STATUS_NEGOCIO]]="Enviar E-mail",1,"")</f>
        <v/>
      </c>
      <c r="U2404" t="str">
        <f>TEXT(Tabela1[[#This Row],[DATA]],"dd/mm/aaaa")</f>
        <v>24/04/2026</v>
      </c>
    </row>
    <row r="2405" spans="1:21" x14ac:dyDescent="0.25">
      <c r="A2405" s="9">
        <v>46136.609791666669</v>
      </c>
      <c r="B2405" t="s">
        <v>19</v>
      </c>
      <c r="C2405" t="s">
        <v>37</v>
      </c>
      <c r="D2405">
        <v>216</v>
      </c>
      <c r="E2405">
        <v>18705825000177</v>
      </c>
      <c r="F2405">
        <v>697</v>
      </c>
      <c r="G2405" s="10">
        <v>177705228641161</v>
      </c>
      <c r="H2405" t="s">
        <v>418</v>
      </c>
      <c r="I2405">
        <v>3003</v>
      </c>
      <c r="J2405" t="s">
        <v>22</v>
      </c>
      <c r="K2405" t="s">
        <v>23</v>
      </c>
      <c r="L2405" t="s">
        <v>31</v>
      </c>
      <c r="M2405" t="s">
        <v>636</v>
      </c>
      <c r="N2405" t="s">
        <v>53</v>
      </c>
      <c r="O2405">
        <v>128</v>
      </c>
      <c r="R2405" s="11">
        <v>8.1018518518518516E-5</v>
      </c>
      <c r="S2405" t="s">
        <v>37</v>
      </c>
      <c r="T2405" t="str">
        <f>IF(Tabela1[[#This Row],[STATUS_NEGOCIO]]="Enviar E-mail",1,"")</f>
        <v/>
      </c>
      <c r="U2405" t="str">
        <f>TEXT(Tabela1[[#This Row],[DATA]],"dd/mm/aaaa")</f>
        <v>24/04/2026</v>
      </c>
    </row>
    <row r="2406" spans="1:21" x14ac:dyDescent="0.25">
      <c r="A2406" s="9">
        <v>46136.61</v>
      </c>
      <c r="B2406" t="s">
        <v>19</v>
      </c>
      <c r="C2406" t="s">
        <v>37</v>
      </c>
      <c r="D2406">
        <v>217</v>
      </c>
      <c r="E2406">
        <v>18863657000148</v>
      </c>
      <c r="F2406">
        <v>698</v>
      </c>
      <c r="G2406" s="10">
        <v>177705230441231</v>
      </c>
      <c r="H2406" t="s">
        <v>158</v>
      </c>
      <c r="I2406">
        <v>3003</v>
      </c>
      <c r="J2406" t="s">
        <v>22</v>
      </c>
      <c r="K2406" t="s">
        <v>23</v>
      </c>
      <c r="L2406" t="s">
        <v>31</v>
      </c>
      <c r="M2406" t="s">
        <v>636</v>
      </c>
      <c r="N2406" t="s">
        <v>53</v>
      </c>
      <c r="O2406">
        <v>128</v>
      </c>
      <c r="R2406" s="11">
        <v>8.1018518518518516E-5</v>
      </c>
      <c r="S2406" t="s">
        <v>37</v>
      </c>
      <c r="T2406" t="str">
        <f>IF(Tabela1[[#This Row],[STATUS_NEGOCIO]]="Enviar E-mail",1,"")</f>
        <v/>
      </c>
      <c r="U2406" t="str">
        <f>TEXT(Tabela1[[#This Row],[DATA]],"dd/mm/aaaa")</f>
        <v>24/04/2026</v>
      </c>
    </row>
    <row r="2407" spans="1:21" x14ac:dyDescent="0.25">
      <c r="A2407" s="9">
        <v>46136.61</v>
      </c>
      <c r="B2407" t="s">
        <v>19</v>
      </c>
      <c r="C2407" t="s">
        <v>37</v>
      </c>
      <c r="D2407">
        <v>218</v>
      </c>
      <c r="E2407">
        <v>18889258000156</v>
      </c>
      <c r="F2407">
        <v>699</v>
      </c>
      <c r="G2407" s="10">
        <v>177705230441241</v>
      </c>
      <c r="H2407" t="s">
        <v>419</v>
      </c>
      <c r="I2407">
        <v>3003</v>
      </c>
      <c r="J2407" t="s">
        <v>22</v>
      </c>
      <c r="K2407" t="s">
        <v>23</v>
      </c>
      <c r="L2407" t="s">
        <v>31</v>
      </c>
      <c r="M2407" t="s">
        <v>636</v>
      </c>
      <c r="N2407" t="s">
        <v>53</v>
      </c>
      <c r="O2407">
        <v>128</v>
      </c>
      <c r="R2407" s="11">
        <v>4.6296296296296294E-5</v>
      </c>
      <c r="S2407" t="s">
        <v>37</v>
      </c>
      <c r="T2407" t="str">
        <f>IF(Tabela1[[#This Row],[STATUS_NEGOCIO]]="Enviar E-mail",1,"")</f>
        <v/>
      </c>
      <c r="U2407" t="str">
        <f>TEXT(Tabela1[[#This Row],[DATA]],"dd/mm/aaaa")</f>
        <v>24/04/2026</v>
      </c>
    </row>
    <row r="2408" spans="1:21" x14ac:dyDescent="0.25">
      <c r="A2408" s="9">
        <v>46136.610092592593</v>
      </c>
      <c r="B2408" t="s">
        <v>19</v>
      </c>
      <c r="C2408" t="s">
        <v>20</v>
      </c>
      <c r="D2408">
        <v>219</v>
      </c>
      <c r="E2408">
        <v>18977285000180</v>
      </c>
      <c r="F2408">
        <v>700</v>
      </c>
      <c r="G2408" s="10">
        <v>177705231241261</v>
      </c>
      <c r="H2408" t="s">
        <v>420</v>
      </c>
      <c r="I2408">
        <v>3003</v>
      </c>
      <c r="J2408" t="s">
        <v>22</v>
      </c>
      <c r="K2408" t="s">
        <v>23</v>
      </c>
      <c r="L2408" t="s">
        <v>40</v>
      </c>
      <c r="M2408" t="s">
        <v>636</v>
      </c>
      <c r="N2408" t="s">
        <v>32</v>
      </c>
      <c r="O2408">
        <v>16</v>
      </c>
      <c r="R2408" s="11">
        <v>2.1759259259259258E-3</v>
      </c>
      <c r="S2408" s="11">
        <v>2.1180555555555558E-3</v>
      </c>
      <c r="T2408">
        <f>IF(Tabela1[[#This Row],[STATUS_NEGOCIO]]="Enviar E-mail",1,"")</f>
        <v>1</v>
      </c>
      <c r="U2408" t="str">
        <f>TEXT(Tabela1[[#This Row],[DATA]],"dd/mm/aaaa")</f>
        <v>24/04/2026</v>
      </c>
    </row>
    <row r="2409" spans="1:21" x14ac:dyDescent="0.25">
      <c r="A2409" s="9">
        <v>46136.610162037039</v>
      </c>
      <c r="B2409" t="s">
        <v>19</v>
      </c>
      <c r="C2409" t="s">
        <v>37</v>
      </c>
      <c r="D2409">
        <v>220</v>
      </c>
      <c r="E2409">
        <v>19028175000135</v>
      </c>
      <c r="F2409">
        <v>701</v>
      </c>
      <c r="G2409" s="10">
        <v>177705231841311</v>
      </c>
      <c r="H2409" t="s">
        <v>421</v>
      </c>
      <c r="I2409">
        <v>3003</v>
      </c>
      <c r="J2409" t="s">
        <v>22</v>
      </c>
      <c r="K2409" t="s">
        <v>23</v>
      </c>
      <c r="L2409" t="s">
        <v>31</v>
      </c>
      <c r="M2409" t="s">
        <v>636</v>
      </c>
      <c r="N2409" t="s">
        <v>53</v>
      </c>
      <c r="O2409">
        <v>147</v>
      </c>
      <c r="R2409" s="11">
        <v>8.1018518518518516E-5</v>
      </c>
      <c r="S2409" t="s">
        <v>37</v>
      </c>
      <c r="T2409" t="str">
        <f>IF(Tabela1[[#This Row],[STATUS_NEGOCIO]]="Enviar E-mail",1,"")</f>
        <v/>
      </c>
      <c r="U2409" t="str">
        <f>TEXT(Tabela1[[#This Row],[DATA]],"dd/mm/aaaa")</f>
        <v>24/04/2026</v>
      </c>
    </row>
    <row r="2410" spans="1:21" x14ac:dyDescent="0.25">
      <c r="A2410" s="9">
        <v>46136.610347222224</v>
      </c>
      <c r="B2410" t="s">
        <v>19</v>
      </c>
      <c r="C2410" t="s">
        <v>37</v>
      </c>
      <c r="D2410">
        <v>221</v>
      </c>
      <c r="E2410">
        <v>19047535000146</v>
      </c>
      <c r="F2410">
        <v>702</v>
      </c>
      <c r="G2410" s="10">
        <v>177705233441371</v>
      </c>
      <c r="H2410" t="s">
        <v>48</v>
      </c>
      <c r="I2410">
        <v>3003</v>
      </c>
      <c r="J2410" t="s">
        <v>22</v>
      </c>
      <c r="K2410" t="s">
        <v>23</v>
      </c>
      <c r="L2410" t="s">
        <v>31</v>
      </c>
      <c r="M2410" t="s">
        <v>636</v>
      </c>
      <c r="N2410" t="s">
        <v>53</v>
      </c>
      <c r="O2410">
        <v>128</v>
      </c>
      <c r="R2410" s="11">
        <v>6.9444444444444444E-5</v>
      </c>
      <c r="S2410" t="s">
        <v>37</v>
      </c>
      <c r="T2410" t="str">
        <f>IF(Tabela1[[#This Row],[STATUS_NEGOCIO]]="Enviar E-mail",1,"")</f>
        <v/>
      </c>
      <c r="U2410" t="str">
        <f>TEXT(Tabela1[[#This Row],[DATA]],"dd/mm/aaaa")</f>
        <v>24/04/2026</v>
      </c>
    </row>
    <row r="2411" spans="1:21" x14ac:dyDescent="0.25">
      <c r="A2411" s="9">
        <v>46136.610613425924</v>
      </c>
      <c r="B2411" t="s">
        <v>19</v>
      </c>
      <c r="C2411" t="s">
        <v>37</v>
      </c>
      <c r="D2411">
        <v>222</v>
      </c>
      <c r="E2411">
        <v>19290323000195</v>
      </c>
      <c r="F2411">
        <v>703</v>
      </c>
      <c r="G2411" s="10">
        <v>177705235741531</v>
      </c>
      <c r="H2411" t="s">
        <v>140</v>
      </c>
      <c r="I2411">
        <v>3003</v>
      </c>
      <c r="J2411" t="s">
        <v>22</v>
      </c>
      <c r="K2411" t="s">
        <v>23</v>
      </c>
      <c r="L2411" t="s">
        <v>31</v>
      </c>
      <c r="M2411" t="s">
        <v>636</v>
      </c>
      <c r="N2411" t="s">
        <v>26</v>
      </c>
      <c r="O2411">
        <v>131</v>
      </c>
      <c r="R2411" s="11">
        <v>8.6805555555555551E-4</v>
      </c>
      <c r="S2411" t="s">
        <v>37</v>
      </c>
      <c r="T2411" t="str">
        <f>IF(Tabela1[[#This Row],[STATUS_NEGOCIO]]="Enviar E-mail",1,"")</f>
        <v/>
      </c>
      <c r="U2411" t="str">
        <f>TEXT(Tabela1[[#This Row],[DATA]],"dd/mm/aaaa")</f>
        <v>24/04/2026</v>
      </c>
    </row>
    <row r="2412" spans="1:21" x14ac:dyDescent="0.25">
      <c r="A2412" s="9">
        <v>46136.611608796295</v>
      </c>
      <c r="B2412" t="s">
        <v>19</v>
      </c>
      <c r="C2412" t="s">
        <v>20</v>
      </c>
      <c r="D2412">
        <v>223</v>
      </c>
      <c r="E2412">
        <v>19410510000165</v>
      </c>
      <c r="F2412">
        <v>704</v>
      </c>
      <c r="G2412" s="10">
        <v>177705244341691</v>
      </c>
      <c r="H2412" t="s">
        <v>422</v>
      </c>
      <c r="I2412">
        <v>3003</v>
      </c>
      <c r="J2412" t="s">
        <v>22</v>
      </c>
      <c r="K2412" t="s">
        <v>23</v>
      </c>
      <c r="L2412" t="s">
        <v>265</v>
      </c>
      <c r="M2412" t="s">
        <v>636</v>
      </c>
      <c r="N2412" t="s">
        <v>32</v>
      </c>
      <c r="O2412">
        <v>16</v>
      </c>
      <c r="R2412" s="11">
        <v>8.564814814814815E-4</v>
      </c>
      <c r="S2412" s="11">
        <v>1.5046296296296297E-4</v>
      </c>
      <c r="T2412" t="str">
        <f>IF(Tabela1[[#This Row],[STATUS_NEGOCIO]]="Enviar E-mail",1,"")</f>
        <v/>
      </c>
      <c r="U2412" t="str">
        <f>TEXT(Tabela1[[#This Row],[DATA]],"dd/mm/aaaa")</f>
        <v>24/04/2026</v>
      </c>
    </row>
    <row r="2413" spans="1:21" x14ac:dyDescent="0.25">
      <c r="A2413" s="9">
        <v>46136.612326388888</v>
      </c>
      <c r="B2413" t="s">
        <v>19</v>
      </c>
      <c r="C2413" t="s">
        <v>37</v>
      </c>
      <c r="D2413">
        <v>224</v>
      </c>
      <c r="E2413">
        <v>19420382000211</v>
      </c>
      <c r="F2413">
        <v>705</v>
      </c>
      <c r="G2413" s="10">
        <v>177705250541711</v>
      </c>
      <c r="H2413" t="s">
        <v>423</v>
      </c>
      <c r="I2413">
        <v>3003</v>
      </c>
      <c r="J2413" t="s">
        <v>22</v>
      </c>
      <c r="K2413" t="s">
        <v>23</v>
      </c>
      <c r="L2413" t="s">
        <v>31</v>
      </c>
      <c r="M2413" t="s">
        <v>636</v>
      </c>
      <c r="N2413" t="s">
        <v>53</v>
      </c>
      <c r="O2413">
        <v>128</v>
      </c>
      <c r="R2413" s="11">
        <v>8.1018518518518516E-5</v>
      </c>
      <c r="S2413" t="s">
        <v>37</v>
      </c>
      <c r="T2413" t="str">
        <f>IF(Tabela1[[#This Row],[STATUS_NEGOCIO]]="Enviar E-mail",1,"")</f>
        <v/>
      </c>
      <c r="U2413" t="str">
        <f>TEXT(Tabela1[[#This Row],[DATA]],"dd/mm/aaaa")</f>
        <v>24/04/2026</v>
      </c>
    </row>
    <row r="2414" spans="1:21" x14ac:dyDescent="0.25">
      <c r="A2414" s="9">
        <v>46136.612523148149</v>
      </c>
      <c r="B2414" t="s">
        <v>19</v>
      </c>
      <c r="C2414" t="s">
        <v>37</v>
      </c>
      <c r="D2414">
        <v>225</v>
      </c>
      <c r="E2414">
        <v>19454803000144</v>
      </c>
      <c r="F2414">
        <v>706</v>
      </c>
      <c r="G2414" s="10">
        <v>177705252241811</v>
      </c>
      <c r="H2414" t="s">
        <v>215</v>
      </c>
      <c r="I2414">
        <v>3003</v>
      </c>
      <c r="J2414" t="s">
        <v>22</v>
      </c>
      <c r="K2414" t="s">
        <v>23</v>
      </c>
      <c r="L2414" t="s">
        <v>31</v>
      </c>
      <c r="M2414" t="s">
        <v>636</v>
      </c>
      <c r="N2414" t="s">
        <v>32</v>
      </c>
      <c r="O2414">
        <v>131</v>
      </c>
      <c r="R2414" s="11">
        <v>2.3148148148148147E-5</v>
      </c>
      <c r="S2414" t="s">
        <v>37</v>
      </c>
      <c r="T2414" t="str">
        <f>IF(Tabela1[[#This Row],[STATUS_NEGOCIO]]="Enviar E-mail",1,"")</f>
        <v/>
      </c>
      <c r="U2414" t="str">
        <f>TEXT(Tabela1[[#This Row],[DATA]],"dd/mm/aaaa")</f>
        <v>24/04/2026</v>
      </c>
    </row>
    <row r="2415" spans="1:21" x14ac:dyDescent="0.25">
      <c r="A2415" s="9">
        <v>46136.612557870372</v>
      </c>
      <c r="B2415" t="s">
        <v>19</v>
      </c>
      <c r="C2415" t="s">
        <v>37</v>
      </c>
      <c r="D2415">
        <v>226</v>
      </c>
      <c r="E2415">
        <v>19753199000157</v>
      </c>
      <c r="F2415">
        <v>707</v>
      </c>
      <c r="G2415" s="10">
        <v>177705252541861</v>
      </c>
      <c r="H2415" t="s">
        <v>424</v>
      </c>
      <c r="I2415">
        <v>3003</v>
      </c>
      <c r="J2415" t="s">
        <v>22</v>
      </c>
      <c r="K2415" t="s">
        <v>23</v>
      </c>
      <c r="L2415" t="s">
        <v>31</v>
      </c>
      <c r="M2415" t="s">
        <v>636</v>
      </c>
      <c r="N2415" t="s">
        <v>53</v>
      </c>
      <c r="O2415">
        <v>128</v>
      </c>
      <c r="R2415" s="11">
        <v>6.9444444444444444E-5</v>
      </c>
      <c r="S2415" t="s">
        <v>37</v>
      </c>
      <c r="T2415" t="str">
        <f>IF(Tabela1[[#This Row],[STATUS_NEGOCIO]]="Enviar E-mail",1,"")</f>
        <v/>
      </c>
      <c r="U2415" t="str">
        <f>TEXT(Tabela1[[#This Row],[DATA]],"dd/mm/aaaa")</f>
        <v>24/04/2026</v>
      </c>
    </row>
    <row r="2416" spans="1:21" x14ac:dyDescent="0.25">
      <c r="A2416" s="9">
        <v>46136.61614583333</v>
      </c>
      <c r="B2416" t="s">
        <v>19</v>
      </c>
      <c r="C2416" t="s">
        <v>20</v>
      </c>
      <c r="D2416">
        <v>229</v>
      </c>
      <c r="E2416">
        <v>20045556000101</v>
      </c>
      <c r="F2416">
        <v>709</v>
      </c>
      <c r="G2416" s="10">
        <v>177705283542511</v>
      </c>
      <c r="H2416" t="s">
        <v>43</v>
      </c>
      <c r="I2416">
        <v>3003</v>
      </c>
      <c r="J2416" t="s">
        <v>22</v>
      </c>
      <c r="K2416" t="s">
        <v>23</v>
      </c>
      <c r="L2416" t="s">
        <v>40</v>
      </c>
      <c r="M2416" t="s">
        <v>636</v>
      </c>
      <c r="N2416" t="s">
        <v>32</v>
      </c>
      <c r="O2416">
        <v>16</v>
      </c>
      <c r="R2416" s="11">
        <v>3.2754629629629631E-3</v>
      </c>
      <c r="S2416" s="11">
        <v>3.2175925925925926E-3</v>
      </c>
      <c r="T2416">
        <f>IF(Tabela1[[#This Row],[STATUS_NEGOCIO]]="Enviar E-mail",1,"")</f>
        <v>1</v>
      </c>
      <c r="U2416" t="str">
        <f>TEXT(Tabela1[[#This Row],[DATA]],"dd/mm/aaaa")</f>
        <v>24/04/2026</v>
      </c>
    </row>
    <row r="2417" spans="1:21" x14ac:dyDescent="0.25">
      <c r="A2417" s="9">
        <v>46136.616493055553</v>
      </c>
      <c r="B2417" t="s">
        <v>19</v>
      </c>
      <c r="C2417" t="s">
        <v>37</v>
      </c>
      <c r="D2417">
        <v>230</v>
      </c>
      <c r="E2417">
        <v>20331303000102</v>
      </c>
      <c r="F2417">
        <v>710</v>
      </c>
      <c r="G2417" s="10">
        <v>177705286542631</v>
      </c>
      <c r="H2417" t="s">
        <v>237</v>
      </c>
      <c r="I2417">
        <v>3003</v>
      </c>
      <c r="J2417" t="s">
        <v>22</v>
      </c>
      <c r="K2417" t="s">
        <v>23</v>
      </c>
      <c r="L2417" t="s">
        <v>31</v>
      </c>
      <c r="M2417" t="s">
        <v>636</v>
      </c>
      <c r="N2417" t="s">
        <v>53</v>
      </c>
      <c r="O2417">
        <v>128</v>
      </c>
      <c r="R2417" s="11">
        <v>8.1018518518518516E-5</v>
      </c>
      <c r="S2417" t="s">
        <v>37</v>
      </c>
      <c r="T2417" t="str">
        <f>IF(Tabela1[[#This Row],[STATUS_NEGOCIO]]="Enviar E-mail",1,"")</f>
        <v/>
      </c>
      <c r="U2417" t="str">
        <f>TEXT(Tabela1[[#This Row],[DATA]],"dd/mm/aaaa")</f>
        <v>24/04/2026</v>
      </c>
    </row>
    <row r="2418" spans="1:21" x14ac:dyDescent="0.25">
      <c r="A2418" s="9">
        <v>46136.616759259261</v>
      </c>
      <c r="B2418" t="s">
        <v>19</v>
      </c>
      <c r="C2418" t="s">
        <v>37</v>
      </c>
      <c r="D2418">
        <v>231</v>
      </c>
      <c r="E2418">
        <v>20415965000152</v>
      </c>
      <c r="F2418">
        <v>711</v>
      </c>
      <c r="G2418" s="10">
        <v>177705288842651</v>
      </c>
      <c r="H2418" t="s">
        <v>427</v>
      </c>
      <c r="I2418">
        <v>3003</v>
      </c>
      <c r="J2418" t="s">
        <v>22</v>
      </c>
      <c r="K2418" t="s">
        <v>23</v>
      </c>
      <c r="L2418" t="s">
        <v>31</v>
      </c>
      <c r="M2418" t="s">
        <v>636</v>
      </c>
      <c r="N2418" t="s">
        <v>53</v>
      </c>
      <c r="O2418">
        <v>128</v>
      </c>
      <c r="R2418" s="11">
        <v>8.1018518518518516E-5</v>
      </c>
      <c r="S2418" t="s">
        <v>37</v>
      </c>
      <c r="T2418" t="str">
        <f>IF(Tabela1[[#This Row],[STATUS_NEGOCIO]]="Enviar E-mail",1,"")</f>
        <v/>
      </c>
      <c r="U2418" t="str">
        <f>TEXT(Tabela1[[#This Row],[DATA]],"dd/mm/aaaa")</f>
        <v>24/04/2026</v>
      </c>
    </row>
    <row r="2419" spans="1:21" x14ac:dyDescent="0.25">
      <c r="A2419" s="9">
        <v>46136.616898148146</v>
      </c>
      <c r="B2419" t="s">
        <v>19</v>
      </c>
      <c r="C2419" t="s">
        <v>37</v>
      </c>
      <c r="D2419">
        <v>232</v>
      </c>
      <c r="E2419">
        <v>20458968000173</v>
      </c>
      <c r="F2419">
        <v>712</v>
      </c>
      <c r="G2419" s="10">
        <v>177705290042671</v>
      </c>
      <c r="H2419" t="s">
        <v>133</v>
      </c>
      <c r="I2419" t="s">
        <v>52</v>
      </c>
      <c r="J2419" t="s">
        <v>22</v>
      </c>
      <c r="K2419" t="s">
        <v>36</v>
      </c>
      <c r="L2419" t="s">
        <v>36</v>
      </c>
      <c r="M2419" t="s">
        <v>636</v>
      </c>
      <c r="N2419" t="s">
        <v>53</v>
      </c>
      <c r="O2419">
        <v>19</v>
      </c>
      <c r="R2419" s="11">
        <v>0</v>
      </c>
      <c r="S2419" t="s">
        <v>37</v>
      </c>
      <c r="T2419" t="str">
        <f>IF(Tabela1[[#This Row],[STATUS_NEGOCIO]]="Enviar E-mail",1,"")</f>
        <v/>
      </c>
      <c r="U2419" t="str">
        <f>TEXT(Tabela1[[#This Row],[DATA]],"dd/mm/aaaa")</f>
        <v>24/04/2026</v>
      </c>
    </row>
    <row r="2420" spans="1:21" x14ac:dyDescent="0.25">
      <c r="A2420" s="9">
        <v>46136.617476851854</v>
      </c>
      <c r="B2420" t="s">
        <v>19</v>
      </c>
      <c r="C2420" t="s">
        <v>37</v>
      </c>
      <c r="D2420">
        <v>233</v>
      </c>
      <c r="E2420">
        <v>20458968000254</v>
      </c>
      <c r="F2420">
        <v>713</v>
      </c>
      <c r="G2420" s="10">
        <v>177705295042791</v>
      </c>
      <c r="H2420" t="s">
        <v>133</v>
      </c>
      <c r="I2420" t="s">
        <v>52</v>
      </c>
      <c r="J2420" t="s">
        <v>22</v>
      </c>
      <c r="K2420" t="s">
        <v>36</v>
      </c>
      <c r="L2420" t="s">
        <v>36</v>
      </c>
      <c r="M2420" t="s">
        <v>636</v>
      </c>
      <c r="N2420" t="s">
        <v>53</v>
      </c>
      <c r="O2420">
        <v>19</v>
      </c>
      <c r="R2420" s="11">
        <v>0</v>
      </c>
      <c r="S2420" t="s">
        <v>37</v>
      </c>
      <c r="T2420" t="str">
        <f>IF(Tabela1[[#This Row],[STATUS_NEGOCIO]]="Enviar E-mail",1,"")</f>
        <v/>
      </c>
      <c r="U2420" t="str">
        <f>TEXT(Tabela1[[#This Row],[DATA]],"dd/mm/aaaa")</f>
        <v>24/04/2026</v>
      </c>
    </row>
    <row r="2421" spans="1:21" x14ac:dyDescent="0.25">
      <c r="A2421" s="9">
        <v>46136.618055555555</v>
      </c>
      <c r="B2421" t="s">
        <v>19</v>
      </c>
      <c r="C2421" t="s">
        <v>37</v>
      </c>
      <c r="D2421">
        <v>235</v>
      </c>
      <c r="E2421">
        <v>20816553000124</v>
      </c>
      <c r="F2421">
        <v>714</v>
      </c>
      <c r="G2421" s="10">
        <v>177705300042961</v>
      </c>
      <c r="H2421" t="s">
        <v>429</v>
      </c>
      <c r="I2421">
        <v>3003</v>
      </c>
      <c r="J2421" t="s">
        <v>22</v>
      </c>
      <c r="K2421" t="s">
        <v>23</v>
      </c>
      <c r="L2421" t="s">
        <v>31</v>
      </c>
      <c r="M2421" t="s">
        <v>636</v>
      </c>
      <c r="N2421" t="s">
        <v>53</v>
      </c>
      <c r="O2421">
        <v>128</v>
      </c>
      <c r="R2421" s="11">
        <v>8.1018518518518516E-5</v>
      </c>
      <c r="S2421" t="s">
        <v>37</v>
      </c>
      <c r="T2421" t="str">
        <f>IF(Tabela1[[#This Row],[STATUS_NEGOCIO]]="Enviar E-mail",1,"")</f>
        <v/>
      </c>
      <c r="U2421" t="str">
        <f>TEXT(Tabela1[[#This Row],[DATA]],"dd/mm/aaaa")</f>
        <v>24/04/2026</v>
      </c>
    </row>
    <row r="2422" spans="1:21" x14ac:dyDescent="0.25">
      <c r="A2422" s="9">
        <v>46136.618530092594</v>
      </c>
      <c r="B2422" t="s">
        <v>19</v>
      </c>
      <c r="C2422" t="s">
        <v>37</v>
      </c>
      <c r="D2422">
        <v>236</v>
      </c>
      <c r="E2422">
        <v>20843735000194</v>
      </c>
      <c r="F2422">
        <v>715</v>
      </c>
      <c r="G2422" s="10">
        <v>177705304143091</v>
      </c>
      <c r="H2422" t="s">
        <v>430</v>
      </c>
      <c r="I2422" t="s">
        <v>52</v>
      </c>
      <c r="J2422" t="s">
        <v>22</v>
      </c>
      <c r="K2422" t="s">
        <v>36</v>
      </c>
      <c r="L2422" t="s">
        <v>36</v>
      </c>
      <c r="M2422" t="s">
        <v>636</v>
      </c>
      <c r="N2422" t="s">
        <v>53</v>
      </c>
      <c r="O2422">
        <v>1</v>
      </c>
      <c r="R2422" s="11">
        <v>0</v>
      </c>
      <c r="S2422" t="s">
        <v>37</v>
      </c>
      <c r="T2422" t="str">
        <f>IF(Tabela1[[#This Row],[STATUS_NEGOCIO]]="Enviar E-mail",1,"")</f>
        <v/>
      </c>
      <c r="U2422" t="str">
        <f>TEXT(Tabela1[[#This Row],[DATA]],"dd/mm/aaaa")</f>
        <v>24/04/2026</v>
      </c>
    </row>
    <row r="2423" spans="1:21" x14ac:dyDescent="0.25">
      <c r="A2423" s="9">
        <v>46136.618530092594</v>
      </c>
      <c r="B2423" t="s">
        <v>19</v>
      </c>
      <c r="C2423" t="s">
        <v>37</v>
      </c>
      <c r="D2423">
        <v>239</v>
      </c>
      <c r="E2423">
        <v>21104340000132</v>
      </c>
      <c r="F2423">
        <v>716</v>
      </c>
      <c r="G2423" s="10">
        <v>177705304143101</v>
      </c>
      <c r="H2423" t="s">
        <v>637</v>
      </c>
      <c r="I2423" t="s">
        <v>52</v>
      </c>
      <c r="J2423" t="s">
        <v>22</v>
      </c>
      <c r="K2423" t="s">
        <v>36</v>
      </c>
      <c r="L2423" t="s">
        <v>36</v>
      </c>
      <c r="M2423" t="s">
        <v>636</v>
      </c>
      <c r="N2423" t="s">
        <v>53</v>
      </c>
      <c r="O2423">
        <v>1</v>
      </c>
      <c r="R2423" s="11">
        <v>0</v>
      </c>
      <c r="S2423" t="s">
        <v>37</v>
      </c>
      <c r="T2423" t="str">
        <f>IF(Tabela1[[#This Row],[STATUS_NEGOCIO]]="Enviar E-mail",1,"")</f>
        <v/>
      </c>
      <c r="U2423" t="str">
        <f>TEXT(Tabela1[[#This Row],[DATA]],"dd/mm/aaaa")</f>
        <v>24/04/2026</v>
      </c>
    </row>
    <row r="2424" spans="1:21" x14ac:dyDescent="0.25">
      <c r="A2424" s="9">
        <v>46136.618530092594</v>
      </c>
      <c r="B2424" t="s">
        <v>19</v>
      </c>
      <c r="C2424" t="s">
        <v>37</v>
      </c>
      <c r="D2424">
        <v>240</v>
      </c>
      <c r="E2424">
        <v>21108715000132</v>
      </c>
      <c r="F2424">
        <v>717</v>
      </c>
      <c r="G2424" s="10">
        <v>177705304143111</v>
      </c>
      <c r="H2424" t="s">
        <v>432</v>
      </c>
      <c r="I2424">
        <v>3003</v>
      </c>
      <c r="J2424" t="s">
        <v>22</v>
      </c>
      <c r="K2424" t="s">
        <v>23</v>
      </c>
      <c r="L2424" t="s">
        <v>31</v>
      </c>
      <c r="M2424" t="s">
        <v>636</v>
      </c>
      <c r="N2424" t="s">
        <v>53</v>
      </c>
      <c r="O2424">
        <v>128</v>
      </c>
      <c r="R2424" s="11">
        <v>8.1018518518518516E-5</v>
      </c>
      <c r="S2424" t="s">
        <v>37</v>
      </c>
      <c r="T2424" t="str">
        <f>IF(Tabela1[[#This Row],[STATUS_NEGOCIO]]="Enviar E-mail",1,"")</f>
        <v/>
      </c>
      <c r="U2424" t="str">
        <f>TEXT(Tabela1[[#This Row],[DATA]],"dd/mm/aaaa")</f>
        <v>24/04/2026</v>
      </c>
    </row>
    <row r="2425" spans="1:21" x14ac:dyDescent="0.25">
      <c r="A2425" s="9">
        <v>46136.618750000001</v>
      </c>
      <c r="B2425" t="s">
        <v>19</v>
      </c>
      <c r="C2425" t="s">
        <v>37</v>
      </c>
      <c r="D2425">
        <v>241</v>
      </c>
      <c r="E2425">
        <v>21147409000105</v>
      </c>
      <c r="F2425">
        <v>718</v>
      </c>
      <c r="G2425" s="10">
        <v>177705306043171</v>
      </c>
      <c r="H2425" t="s">
        <v>433</v>
      </c>
      <c r="I2425">
        <v>3003</v>
      </c>
      <c r="J2425" t="s">
        <v>22</v>
      </c>
      <c r="K2425" t="s">
        <v>23</v>
      </c>
      <c r="L2425" t="s">
        <v>31</v>
      </c>
      <c r="M2425" t="s">
        <v>636</v>
      </c>
      <c r="N2425" t="s">
        <v>53</v>
      </c>
      <c r="O2425">
        <v>128</v>
      </c>
      <c r="R2425" s="11">
        <v>8.1018518518518516E-5</v>
      </c>
      <c r="S2425" t="s">
        <v>37</v>
      </c>
      <c r="T2425" t="str">
        <f>IF(Tabela1[[#This Row],[STATUS_NEGOCIO]]="Enviar E-mail",1,"")</f>
        <v/>
      </c>
      <c r="U2425" t="str">
        <f>TEXT(Tabela1[[#This Row],[DATA]],"dd/mm/aaaa")</f>
        <v>24/04/2026</v>
      </c>
    </row>
    <row r="2426" spans="1:21" x14ac:dyDescent="0.25">
      <c r="A2426" s="9">
        <v>46136.619293981479</v>
      </c>
      <c r="B2426" t="s">
        <v>19</v>
      </c>
      <c r="C2426" t="s">
        <v>37</v>
      </c>
      <c r="D2426">
        <v>242</v>
      </c>
      <c r="E2426">
        <v>21466995000150</v>
      </c>
      <c r="F2426">
        <v>719</v>
      </c>
      <c r="G2426" s="10">
        <v>177705310743251</v>
      </c>
      <c r="H2426" t="s">
        <v>434</v>
      </c>
      <c r="I2426">
        <v>3003</v>
      </c>
      <c r="J2426" t="s">
        <v>22</v>
      </c>
      <c r="K2426" t="s">
        <v>23</v>
      </c>
      <c r="L2426" t="s">
        <v>31</v>
      </c>
      <c r="M2426" t="s">
        <v>636</v>
      </c>
      <c r="N2426" t="s">
        <v>53</v>
      </c>
      <c r="O2426">
        <v>128</v>
      </c>
      <c r="R2426" s="11">
        <v>8.1018518518518516E-5</v>
      </c>
      <c r="S2426" t="s">
        <v>37</v>
      </c>
      <c r="T2426" t="str">
        <f>IF(Tabela1[[#This Row],[STATUS_NEGOCIO]]="Enviar E-mail",1,"")</f>
        <v/>
      </c>
      <c r="U2426" t="str">
        <f>TEXT(Tabela1[[#This Row],[DATA]],"dd/mm/aaaa")</f>
        <v>24/04/2026</v>
      </c>
    </row>
    <row r="2427" spans="1:21" x14ac:dyDescent="0.25">
      <c r="A2427" s="9">
        <v>46136.619525462964</v>
      </c>
      <c r="B2427" t="s">
        <v>19</v>
      </c>
      <c r="C2427" t="s">
        <v>37</v>
      </c>
      <c r="D2427">
        <v>243</v>
      </c>
      <c r="E2427">
        <v>21511926000111</v>
      </c>
      <c r="F2427">
        <v>720</v>
      </c>
      <c r="G2427" s="10">
        <v>177705312743331</v>
      </c>
      <c r="H2427" t="s">
        <v>122</v>
      </c>
      <c r="I2427">
        <v>3003</v>
      </c>
      <c r="J2427" t="s">
        <v>22</v>
      </c>
      <c r="K2427" t="s">
        <v>23</v>
      </c>
      <c r="L2427" t="s">
        <v>31</v>
      </c>
      <c r="M2427" t="s">
        <v>636</v>
      </c>
      <c r="N2427" t="s">
        <v>53</v>
      </c>
      <c r="O2427">
        <v>128</v>
      </c>
      <c r="R2427" s="11">
        <v>8.1018518518518516E-5</v>
      </c>
      <c r="S2427" t="s">
        <v>37</v>
      </c>
      <c r="T2427" t="str">
        <f>IF(Tabela1[[#This Row],[STATUS_NEGOCIO]]="Enviar E-mail",1,"")</f>
        <v/>
      </c>
      <c r="U2427" t="str">
        <f>TEXT(Tabela1[[#This Row],[DATA]],"dd/mm/aaaa")</f>
        <v>24/04/2026</v>
      </c>
    </row>
    <row r="2428" spans="1:21" x14ac:dyDescent="0.25">
      <c r="A2428" s="9">
        <v>46136.61959490741</v>
      </c>
      <c r="B2428" t="s">
        <v>19</v>
      </c>
      <c r="C2428" t="s">
        <v>37</v>
      </c>
      <c r="D2428">
        <v>245</v>
      </c>
      <c r="E2428">
        <v>21793457000170</v>
      </c>
      <c r="F2428">
        <v>721</v>
      </c>
      <c r="G2428" s="10">
        <v>177705313343351</v>
      </c>
      <c r="H2428" t="s">
        <v>606</v>
      </c>
      <c r="I2428">
        <v>3003</v>
      </c>
      <c r="J2428" t="s">
        <v>22</v>
      </c>
      <c r="K2428" t="s">
        <v>23</v>
      </c>
      <c r="L2428" t="s">
        <v>31</v>
      </c>
      <c r="M2428" t="s">
        <v>636</v>
      </c>
      <c r="N2428" t="s">
        <v>53</v>
      </c>
      <c r="O2428">
        <v>128</v>
      </c>
      <c r="R2428" s="11">
        <v>8.1018518518518516E-5</v>
      </c>
      <c r="S2428" t="s">
        <v>37</v>
      </c>
      <c r="T2428" t="str">
        <f>IF(Tabela1[[#This Row],[STATUS_NEGOCIO]]="Enviar E-mail",1,"")</f>
        <v/>
      </c>
      <c r="U2428" t="str">
        <f>TEXT(Tabela1[[#This Row],[DATA]],"dd/mm/aaaa")</f>
        <v>24/04/2026</v>
      </c>
    </row>
    <row r="2429" spans="1:21" x14ac:dyDescent="0.25">
      <c r="A2429" s="9">
        <v>46136.619733796295</v>
      </c>
      <c r="B2429" t="s">
        <v>19</v>
      </c>
      <c r="C2429" t="s">
        <v>37</v>
      </c>
      <c r="D2429">
        <v>247</v>
      </c>
      <c r="E2429">
        <v>21934634000191</v>
      </c>
      <c r="F2429">
        <v>722</v>
      </c>
      <c r="G2429" s="10">
        <v>177705314543371</v>
      </c>
      <c r="H2429" t="s">
        <v>436</v>
      </c>
      <c r="I2429">
        <v>3003</v>
      </c>
      <c r="J2429" t="s">
        <v>22</v>
      </c>
      <c r="K2429" t="s">
        <v>23</v>
      </c>
      <c r="L2429" t="s">
        <v>31</v>
      </c>
      <c r="M2429" t="s">
        <v>636</v>
      </c>
      <c r="N2429" t="s">
        <v>53</v>
      </c>
      <c r="O2429">
        <v>128</v>
      </c>
      <c r="R2429" s="11">
        <v>6.9444444444444444E-5</v>
      </c>
      <c r="S2429" t="s">
        <v>37</v>
      </c>
      <c r="T2429" t="str">
        <f>IF(Tabela1[[#This Row],[STATUS_NEGOCIO]]="Enviar E-mail",1,"")</f>
        <v/>
      </c>
      <c r="U2429" t="str">
        <f>TEXT(Tabela1[[#This Row],[DATA]],"dd/mm/aaaa")</f>
        <v>24/04/2026</v>
      </c>
    </row>
    <row r="2430" spans="1:21" x14ac:dyDescent="0.25">
      <c r="A2430" s="9">
        <v>46136.619745370372</v>
      </c>
      <c r="B2430" t="s">
        <v>19</v>
      </c>
      <c r="C2430" t="s">
        <v>37</v>
      </c>
      <c r="D2430">
        <v>248</v>
      </c>
      <c r="E2430">
        <v>22122960000167</v>
      </c>
      <c r="F2430">
        <v>723</v>
      </c>
      <c r="G2430" s="10">
        <v>177705314643391</v>
      </c>
      <c r="H2430" t="s">
        <v>437</v>
      </c>
      <c r="I2430">
        <v>3003</v>
      </c>
      <c r="J2430" t="s">
        <v>22</v>
      </c>
      <c r="K2430" t="s">
        <v>23</v>
      </c>
      <c r="L2430" t="s">
        <v>31</v>
      </c>
      <c r="M2430" t="s">
        <v>636</v>
      </c>
      <c r="N2430" t="s">
        <v>53</v>
      </c>
      <c r="O2430">
        <v>128</v>
      </c>
      <c r="R2430" s="11">
        <v>8.1018518518518516E-5</v>
      </c>
      <c r="S2430" t="s">
        <v>37</v>
      </c>
      <c r="T2430" t="str">
        <f>IF(Tabela1[[#This Row],[STATUS_NEGOCIO]]="Enviar E-mail",1,"")</f>
        <v/>
      </c>
      <c r="U2430" t="str">
        <f>TEXT(Tabela1[[#This Row],[DATA]],"dd/mm/aaaa")</f>
        <v>24/04/2026</v>
      </c>
    </row>
    <row r="2431" spans="1:21" x14ac:dyDescent="0.25">
      <c r="A2431" s="9">
        <v>46136.619895833333</v>
      </c>
      <c r="B2431" t="s">
        <v>19</v>
      </c>
      <c r="C2431" t="s">
        <v>37</v>
      </c>
      <c r="D2431">
        <v>249</v>
      </c>
      <c r="E2431">
        <v>22213087000118</v>
      </c>
      <c r="F2431">
        <v>724</v>
      </c>
      <c r="G2431" s="10">
        <v>177705315943411</v>
      </c>
      <c r="H2431" t="s">
        <v>438</v>
      </c>
      <c r="I2431">
        <v>3003</v>
      </c>
      <c r="J2431" t="s">
        <v>22</v>
      </c>
      <c r="K2431" t="s">
        <v>23</v>
      </c>
      <c r="L2431" t="s">
        <v>31</v>
      </c>
      <c r="M2431" t="s">
        <v>636</v>
      </c>
      <c r="N2431" t="s">
        <v>53</v>
      </c>
      <c r="O2431">
        <v>128</v>
      </c>
      <c r="R2431" s="11">
        <v>8.1018518518518516E-5</v>
      </c>
      <c r="S2431" t="s">
        <v>37</v>
      </c>
      <c r="T2431" t="str">
        <f>IF(Tabela1[[#This Row],[STATUS_NEGOCIO]]="Enviar E-mail",1,"")</f>
        <v/>
      </c>
      <c r="U2431" t="str">
        <f>TEXT(Tabela1[[#This Row],[DATA]],"dd/mm/aaaa")</f>
        <v>24/04/2026</v>
      </c>
    </row>
    <row r="2432" spans="1:21" x14ac:dyDescent="0.25">
      <c r="A2432" s="9">
        <v>46136.620011574072</v>
      </c>
      <c r="B2432" t="s">
        <v>19</v>
      </c>
      <c r="C2432" t="s">
        <v>37</v>
      </c>
      <c r="D2432">
        <v>250</v>
      </c>
      <c r="E2432">
        <v>22506417000163</v>
      </c>
      <c r="F2432">
        <v>725</v>
      </c>
      <c r="G2432" s="10">
        <v>177705316943431</v>
      </c>
      <c r="H2432" t="s">
        <v>439</v>
      </c>
      <c r="I2432">
        <v>3003</v>
      </c>
      <c r="J2432" t="s">
        <v>22</v>
      </c>
      <c r="K2432" t="s">
        <v>23</v>
      </c>
      <c r="L2432" t="s">
        <v>31</v>
      </c>
      <c r="M2432" t="s">
        <v>636</v>
      </c>
      <c r="N2432" t="s">
        <v>53</v>
      </c>
      <c r="O2432">
        <v>128</v>
      </c>
      <c r="R2432" s="11">
        <v>8.1018518518518516E-5</v>
      </c>
      <c r="S2432" t="s">
        <v>37</v>
      </c>
      <c r="T2432" t="str">
        <f>IF(Tabela1[[#This Row],[STATUS_NEGOCIO]]="Enviar E-mail",1,"")</f>
        <v/>
      </c>
      <c r="U2432" t="str">
        <f>TEXT(Tabela1[[#This Row],[DATA]],"dd/mm/aaaa")</f>
        <v>24/04/2026</v>
      </c>
    </row>
    <row r="2433" spans="1:21" x14ac:dyDescent="0.25">
      <c r="A2433" s="9">
        <v>46136.620138888888</v>
      </c>
      <c r="B2433" t="s">
        <v>19</v>
      </c>
      <c r="C2433" t="s">
        <v>37</v>
      </c>
      <c r="D2433">
        <v>251</v>
      </c>
      <c r="E2433">
        <v>22526042000101</v>
      </c>
      <c r="F2433">
        <v>726</v>
      </c>
      <c r="G2433" s="10">
        <v>177705318043451</v>
      </c>
      <c r="H2433" t="s">
        <v>638</v>
      </c>
      <c r="I2433">
        <v>3003</v>
      </c>
      <c r="J2433" t="s">
        <v>22</v>
      </c>
      <c r="K2433" t="s">
        <v>23</v>
      </c>
      <c r="L2433" t="s">
        <v>31</v>
      </c>
      <c r="M2433" t="s">
        <v>636</v>
      </c>
      <c r="N2433" t="s">
        <v>53</v>
      </c>
      <c r="O2433">
        <v>128</v>
      </c>
      <c r="R2433" s="11">
        <v>8.1018518518518516E-5</v>
      </c>
      <c r="S2433" t="s">
        <v>37</v>
      </c>
      <c r="T2433" t="str">
        <f>IF(Tabela1[[#This Row],[STATUS_NEGOCIO]]="Enviar E-mail",1,"")</f>
        <v/>
      </c>
      <c r="U2433" t="str">
        <f>TEXT(Tabela1[[#This Row],[DATA]],"dd/mm/aaaa")</f>
        <v>24/04/2026</v>
      </c>
    </row>
    <row r="2434" spans="1:21" x14ac:dyDescent="0.25">
      <c r="A2434" s="9">
        <v>46136.620162037034</v>
      </c>
      <c r="B2434" t="s">
        <v>19</v>
      </c>
      <c r="C2434" t="s">
        <v>37</v>
      </c>
      <c r="D2434">
        <v>252</v>
      </c>
      <c r="E2434">
        <v>22843195000174</v>
      </c>
      <c r="F2434">
        <v>727</v>
      </c>
      <c r="G2434" s="10">
        <v>177705318243471</v>
      </c>
      <c r="H2434" t="s">
        <v>160</v>
      </c>
      <c r="I2434">
        <v>3003</v>
      </c>
      <c r="J2434" t="s">
        <v>22</v>
      </c>
      <c r="K2434" t="s">
        <v>23</v>
      </c>
      <c r="L2434" t="s">
        <v>31</v>
      </c>
      <c r="M2434" t="s">
        <v>636</v>
      </c>
      <c r="N2434" t="s">
        <v>53</v>
      </c>
      <c r="O2434">
        <v>128</v>
      </c>
      <c r="R2434" s="11">
        <v>8.1018518518518516E-5</v>
      </c>
      <c r="S2434" t="s">
        <v>37</v>
      </c>
      <c r="T2434" t="str">
        <f>IF(Tabela1[[#This Row],[STATUS_NEGOCIO]]="Enviar E-mail",1,"")</f>
        <v/>
      </c>
      <c r="U2434" t="str">
        <f>TEXT(Tabela1[[#This Row],[DATA]],"dd/mm/aaaa")</f>
        <v>24/04/2026</v>
      </c>
    </row>
    <row r="2435" spans="1:21" x14ac:dyDescent="0.25">
      <c r="A2435" s="9">
        <v>46136.620659722219</v>
      </c>
      <c r="B2435" t="s">
        <v>19</v>
      </c>
      <c r="C2435" t="s">
        <v>37</v>
      </c>
      <c r="D2435">
        <v>253</v>
      </c>
      <c r="E2435">
        <v>22964768000118</v>
      </c>
      <c r="F2435">
        <v>728</v>
      </c>
      <c r="G2435" s="10">
        <v>177705322543531</v>
      </c>
      <c r="H2435" t="s">
        <v>440</v>
      </c>
      <c r="I2435">
        <v>3003</v>
      </c>
      <c r="J2435" t="s">
        <v>22</v>
      </c>
      <c r="K2435" t="s">
        <v>23</v>
      </c>
      <c r="L2435" t="s">
        <v>31</v>
      </c>
      <c r="M2435" t="s">
        <v>636</v>
      </c>
      <c r="N2435" t="s">
        <v>53</v>
      </c>
      <c r="O2435">
        <v>128</v>
      </c>
      <c r="R2435" s="11">
        <v>8.1018518518518516E-5</v>
      </c>
      <c r="S2435" t="s">
        <v>37</v>
      </c>
      <c r="T2435" t="str">
        <f>IF(Tabela1[[#This Row],[STATUS_NEGOCIO]]="Enviar E-mail",1,"")</f>
        <v/>
      </c>
      <c r="U2435" t="str">
        <f>TEXT(Tabela1[[#This Row],[DATA]],"dd/mm/aaaa")</f>
        <v>24/04/2026</v>
      </c>
    </row>
    <row r="2436" spans="1:21" x14ac:dyDescent="0.25">
      <c r="A2436" s="9">
        <v>46136.620671296296</v>
      </c>
      <c r="B2436" t="s">
        <v>19</v>
      </c>
      <c r="C2436" t="s">
        <v>37</v>
      </c>
      <c r="D2436">
        <v>254</v>
      </c>
      <c r="E2436">
        <v>23054134000190</v>
      </c>
      <c r="F2436">
        <v>729</v>
      </c>
      <c r="G2436" s="10">
        <v>177705322643551</v>
      </c>
      <c r="H2436" t="s">
        <v>441</v>
      </c>
      <c r="I2436">
        <v>3003</v>
      </c>
      <c r="J2436" t="s">
        <v>22</v>
      </c>
      <c r="K2436" t="s">
        <v>23</v>
      </c>
      <c r="L2436" t="s">
        <v>31</v>
      </c>
      <c r="M2436" t="s">
        <v>636</v>
      </c>
      <c r="N2436" t="s">
        <v>53</v>
      </c>
      <c r="O2436">
        <v>128</v>
      </c>
      <c r="R2436" s="11">
        <v>6.9444444444444444E-5</v>
      </c>
      <c r="S2436" t="s">
        <v>37</v>
      </c>
      <c r="T2436" t="str">
        <f>IF(Tabela1[[#This Row],[STATUS_NEGOCIO]]="Enviar E-mail",1,"")</f>
        <v/>
      </c>
      <c r="U2436" t="str">
        <f>TEXT(Tabela1[[#This Row],[DATA]],"dd/mm/aaaa")</f>
        <v>24/04/2026</v>
      </c>
    </row>
    <row r="2437" spans="1:21" x14ac:dyDescent="0.25">
      <c r="A2437" s="9">
        <v>46136.620937500003</v>
      </c>
      <c r="B2437" t="s">
        <v>19</v>
      </c>
      <c r="C2437" t="s">
        <v>37</v>
      </c>
      <c r="D2437">
        <v>255</v>
      </c>
      <c r="E2437">
        <v>23108884000106</v>
      </c>
      <c r="F2437">
        <v>730</v>
      </c>
      <c r="G2437" s="10">
        <v>177705324943691</v>
      </c>
      <c r="H2437" t="s">
        <v>442</v>
      </c>
      <c r="I2437">
        <v>3003</v>
      </c>
      <c r="J2437" t="s">
        <v>22</v>
      </c>
      <c r="K2437" t="s">
        <v>23</v>
      </c>
      <c r="L2437" t="s">
        <v>31</v>
      </c>
      <c r="M2437" t="s">
        <v>636</v>
      </c>
      <c r="N2437" t="s">
        <v>53</v>
      </c>
      <c r="O2437">
        <v>128</v>
      </c>
      <c r="R2437" s="11">
        <v>8.1018518518518516E-5</v>
      </c>
      <c r="S2437" t="s">
        <v>37</v>
      </c>
      <c r="T2437" t="str">
        <f>IF(Tabela1[[#This Row],[STATUS_NEGOCIO]]="Enviar E-mail",1,"")</f>
        <v/>
      </c>
      <c r="U2437" t="str">
        <f>TEXT(Tabela1[[#This Row],[DATA]],"dd/mm/aaaa")</f>
        <v>24/04/2026</v>
      </c>
    </row>
    <row r="2438" spans="1:21" x14ac:dyDescent="0.25">
      <c r="A2438" s="9">
        <v>46136.621064814812</v>
      </c>
      <c r="B2438" t="s">
        <v>19</v>
      </c>
      <c r="C2438" t="s">
        <v>37</v>
      </c>
      <c r="D2438">
        <v>256</v>
      </c>
      <c r="E2438">
        <v>23277156000110</v>
      </c>
      <c r="F2438">
        <v>731</v>
      </c>
      <c r="G2438" s="10">
        <v>177705326043721</v>
      </c>
      <c r="H2438" t="s">
        <v>443</v>
      </c>
      <c r="I2438">
        <v>3003</v>
      </c>
      <c r="J2438" t="s">
        <v>22</v>
      </c>
      <c r="K2438" t="s">
        <v>23</v>
      </c>
      <c r="L2438" t="s">
        <v>31</v>
      </c>
      <c r="M2438" t="s">
        <v>636</v>
      </c>
      <c r="N2438" t="s">
        <v>53</v>
      </c>
      <c r="O2438">
        <v>128</v>
      </c>
      <c r="R2438" s="11">
        <v>8.1018518518518516E-5</v>
      </c>
      <c r="S2438" t="s">
        <v>37</v>
      </c>
      <c r="T2438" t="str">
        <f>IF(Tabela1[[#This Row],[STATUS_NEGOCIO]]="Enviar E-mail",1,"")</f>
        <v/>
      </c>
      <c r="U2438" t="str">
        <f>TEXT(Tabela1[[#This Row],[DATA]],"dd/mm/aaaa")</f>
        <v>24/04/2026</v>
      </c>
    </row>
    <row r="2439" spans="1:21" x14ac:dyDescent="0.25">
      <c r="A2439" s="9">
        <v>46136.621134259258</v>
      </c>
      <c r="B2439" t="s">
        <v>19</v>
      </c>
      <c r="C2439" t="s">
        <v>37</v>
      </c>
      <c r="D2439">
        <v>257</v>
      </c>
      <c r="E2439">
        <v>23369611000107</v>
      </c>
      <c r="F2439">
        <v>732</v>
      </c>
      <c r="G2439" s="10">
        <v>177705326643741</v>
      </c>
      <c r="H2439" t="s">
        <v>639</v>
      </c>
      <c r="I2439">
        <v>3003</v>
      </c>
      <c r="J2439" t="s">
        <v>22</v>
      </c>
      <c r="K2439" t="s">
        <v>23</v>
      </c>
      <c r="L2439" t="s">
        <v>31</v>
      </c>
      <c r="M2439" t="s">
        <v>636</v>
      </c>
      <c r="N2439" t="s">
        <v>53</v>
      </c>
      <c r="O2439">
        <v>128</v>
      </c>
      <c r="R2439" s="11">
        <v>8.1018518518518516E-5</v>
      </c>
      <c r="S2439" t="s">
        <v>37</v>
      </c>
      <c r="T2439" t="str">
        <f>IF(Tabela1[[#This Row],[STATUS_NEGOCIO]]="Enviar E-mail",1,"")</f>
        <v/>
      </c>
      <c r="U2439" t="str">
        <f>TEXT(Tabela1[[#This Row],[DATA]],"dd/mm/aaaa")</f>
        <v>24/04/2026</v>
      </c>
    </row>
    <row r="2440" spans="1:21" x14ac:dyDescent="0.25">
      <c r="A2440" s="9">
        <v>46136.621423611112</v>
      </c>
      <c r="B2440" t="s">
        <v>19</v>
      </c>
      <c r="C2440" t="s">
        <v>37</v>
      </c>
      <c r="D2440">
        <v>258</v>
      </c>
      <c r="E2440">
        <v>23391798000145</v>
      </c>
      <c r="F2440">
        <v>733</v>
      </c>
      <c r="G2440" s="10">
        <v>177705329143821</v>
      </c>
      <c r="H2440" t="s">
        <v>221</v>
      </c>
      <c r="I2440">
        <v>3003</v>
      </c>
      <c r="J2440" t="s">
        <v>22</v>
      </c>
      <c r="K2440" t="s">
        <v>23</v>
      </c>
      <c r="L2440" t="s">
        <v>31</v>
      </c>
      <c r="M2440" t="s">
        <v>636</v>
      </c>
      <c r="N2440" t="s">
        <v>32</v>
      </c>
      <c r="O2440">
        <v>131</v>
      </c>
      <c r="R2440" s="11">
        <v>4.6296296296296294E-5</v>
      </c>
      <c r="S2440" t="s">
        <v>37</v>
      </c>
      <c r="T2440" t="str">
        <f>IF(Tabela1[[#This Row],[STATUS_NEGOCIO]]="Enviar E-mail",1,"")</f>
        <v/>
      </c>
      <c r="U2440" t="str">
        <f>TEXT(Tabela1[[#This Row],[DATA]],"dd/mm/aaaa")</f>
        <v>24/04/2026</v>
      </c>
    </row>
    <row r="2441" spans="1:21" x14ac:dyDescent="0.25">
      <c r="A2441" s="9">
        <v>46136.6247337963</v>
      </c>
      <c r="B2441" t="s">
        <v>19</v>
      </c>
      <c r="C2441" t="s">
        <v>37</v>
      </c>
      <c r="D2441">
        <v>259</v>
      </c>
      <c r="E2441">
        <v>23628802000146</v>
      </c>
      <c r="F2441">
        <v>734</v>
      </c>
      <c r="G2441" s="10">
        <v>177705357743961</v>
      </c>
      <c r="H2441" t="s">
        <v>245</v>
      </c>
      <c r="I2441">
        <v>3003</v>
      </c>
      <c r="J2441" t="s">
        <v>22</v>
      </c>
      <c r="K2441" t="s">
        <v>23</v>
      </c>
      <c r="L2441" t="s">
        <v>31</v>
      </c>
      <c r="M2441" t="s">
        <v>636</v>
      </c>
      <c r="N2441" t="s">
        <v>53</v>
      </c>
      <c r="O2441">
        <v>128</v>
      </c>
      <c r="R2441" s="11">
        <v>8.1018518518518516E-5</v>
      </c>
      <c r="S2441" t="s">
        <v>37</v>
      </c>
      <c r="T2441" t="str">
        <f>IF(Tabela1[[#This Row],[STATUS_NEGOCIO]]="Enviar E-mail",1,"")</f>
        <v/>
      </c>
      <c r="U2441" t="str">
        <f>TEXT(Tabela1[[#This Row],[DATA]],"dd/mm/aaaa")</f>
        <v>24/04/2026</v>
      </c>
    </row>
    <row r="2442" spans="1:21" x14ac:dyDescent="0.25">
      <c r="A2442" s="9">
        <v>46136.6247337963</v>
      </c>
      <c r="B2442" t="s">
        <v>19</v>
      </c>
      <c r="C2442" t="s">
        <v>37</v>
      </c>
      <c r="D2442">
        <v>260</v>
      </c>
      <c r="E2442">
        <v>23836838000115</v>
      </c>
      <c r="F2442">
        <v>735</v>
      </c>
      <c r="G2442" s="10">
        <v>177705357743971</v>
      </c>
      <c r="H2442" t="s">
        <v>164</v>
      </c>
      <c r="I2442">
        <v>3003</v>
      </c>
      <c r="J2442" t="s">
        <v>22</v>
      </c>
      <c r="K2442" t="s">
        <v>23</v>
      </c>
      <c r="L2442" t="s">
        <v>31</v>
      </c>
      <c r="M2442" t="s">
        <v>636</v>
      </c>
      <c r="N2442" t="s">
        <v>53</v>
      </c>
      <c r="O2442">
        <v>128</v>
      </c>
      <c r="R2442" s="11">
        <v>8.1018518518518516E-5</v>
      </c>
      <c r="S2442" t="s">
        <v>37</v>
      </c>
      <c r="T2442" t="str">
        <f>IF(Tabela1[[#This Row],[STATUS_NEGOCIO]]="Enviar E-mail",1,"")</f>
        <v/>
      </c>
      <c r="U2442" t="str">
        <f>TEXT(Tabela1[[#This Row],[DATA]],"dd/mm/aaaa")</f>
        <v>24/04/2026</v>
      </c>
    </row>
    <row r="2443" spans="1:21" x14ac:dyDescent="0.25">
      <c r="A2443" s="9">
        <v>46136.624861111108</v>
      </c>
      <c r="B2443" t="s">
        <v>19</v>
      </c>
      <c r="C2443" t="s">
        <v>37</v>
      </c>
      <c r="D2443">
        <v>261</v>
      </c>
      <c r="E2443">
        <v>23884500000139</v>
      </c>
      <c r="F2443">
        <v>736</v>
      </c>
      <c r="G2443" s="10">
        <v>177705358843991</v>
      </c>
      <c r="H2443" t="s">
        <v>47</v>
      </c>
      <c r="I2443">
        <v>3003</v>
      </c>
      <c r="J2443" t="s">
        <v>22</v>
      </c>
      <c r="K2443" t="s">
        <v>23</v>
      </c>
      <c r="L2443" t="s">
        <v>31</v>
      </c>
      <c r="M2443" t="s">
        <v>636</v>
      </c>
      <c r="N2443" t="s">
        <v>53</v>
      </c>
      <c r="O2443">
        <v>128</v>
      </c>
      <c r="R2443" s="11">
        <v>8.1018518518518516E-5</v>
      </c>
      <c r="S2443" t="s">
        <v>37</v>
      </c>
      <c r="T2443" t="str">
        <f>IF(Tabela1[[#This Row],[STATUS_NEGOCIO]]="Enviar E-mail",1,"")</f>
        <v/>
      </c>
      <c r="U2443" t="str">
        <f>TEXT(Tabela1[[#This Row],[DATA]],"dd/mm/aaaa")</f>
        <v>24/04/2026</v>
      </c>
    </row>
    <row r="2444" spans="1:21" x14ac:dyDescent="0.25">
      <c r="A2444" s="9">
        <v>46136.624907407408</v>
      </c>
      <c r="B2444" t="s">
        <v>19</v>
      </c>
      <c r="C2444" t="s">
        <v>37</v>
      </c>
      <c r="D2444">
        <v>262</v>
      </c>
      <c r="E2444">
        <v>24021427000134</v>
      </c>
      <c r="F2444">
        <v>737</v>
      </c>
      <c r="G2444" s="10">
        <v>177705359244061</v>
      </c>
      <c r="H2444" t="s">
        <v>444</v>
      </c>
      <c r="I2444">
        <v>3003</v>
      </c>
      <c r="J2444" t="s">
        <v>22</v>
      </c>
      <c r="K2444" t="s">
        <v>23</v>
      </c>
      <c r="L2444" t="s">
        <v>31</v>
      </c>
      <c r="M2444" t="s">
        <v>636</v>
      </c>
      <c r="N2444" t="s">
        <v>53</v>
      </c>
      <c r="O2444">
        <v>128</v>
      </c>
      <c r="R2444" s="11">
        <v>8.1018518518518516E-5</v>
      </c>
      <c r="S2444" t="s">
        <v>37</v>
      </c>
      <c r="T2444" t="str">
        <f>IF(Tabela1[[#This Row],[STATUS_NEGOCIO]]="Enviar E-mail",1,"")</f>
        <v/>
      </c>
      <c r="U2444" t="str">
        <f>TEXT(Tabela1[[#This Row],[DATA]],"dd/mm/aaaa")</f>
        <v>24/04/2026</v>
      </c>
    </row>
    <row r="2445" spans="1:21" x14ac:dyDescent="0.25">
      <c r="A2445" s="9">
        <v>46136.625358796293</v>
      </c>
      <c r="B2445" t="s">
        <v>19</v>
      </c>
      <c r="C2445" t="s">
        <v>37</v>
      </c>
      <c r="D2445">
        <v>263</v>
      </c>
      <c r="E2445">
        <v>24265410000122</v>
      </c>
      <c r="F2445">
        <v>738</v>
      </c>
      <c r="G2445" s="10">
        <v>177705363144091</v>
      </c>
      <c r="H2445" t="s">
        <v>55</v>
      </c>
      <c r="I2445">
        <v>3003</v>
      </c>
      <c r="J2445" t="s">
        <v>22</v>
      </c>
      <c r="K2445" t="s">
        <v>23</v>
      </c>
      <c r="L2445" t="s">
        <v>31</v>
      </c>
      <c r="M2445" t="s">
        <v>636</v>
      </c>
      <c r="N2445" t="s">
        <v>53</v>
      </c>
      <c r="O2445">
        <v>128</v>
      </c>
      <c r="R2445" s="11">
        <v>8.1018518518518516E-5</v>
      </c>
      <c r="S2445" t="s">
        <v>37</v>
      </c>
      <c r="T2445" t="str">
        <f>IF(Tabela1[[#This Row],[STATUS_NEGOCIO]]="Enviar E-mail",1,"")</f>
        <v/>
      </c>
      <c r="U2445" t="str">
        <f>TEXT(Tabela1[[#This Row],[DATA]],"dd/mm/aaaa")</f>
        <v>24/04/2026</v>
      </c>
    </row>
    <row r="2446" spans="1:21" x14ac:dyDescent="0.25">
      <c r="A2446" s="9">
        <v>46136.625416666669</v>
      </c>
      <c r="B2446" t="s">
        <v>19</v>
      </c>
      <c r="C2446" t="s">
        <v>37</v>
      </c>
      <c r="D2446">
        <v>264</v>
      </c>
      <c r="E2446">
        <v>24323383000105</v>
      </c>
      <c r="F2446">
        <v>739</v>
      </c>
      <c r="G2446" s="10">
        <v>177705363644111</v>
      </c>
      <c r="H2446" t="s">
        <v>271</v>
      </c>
      <c r="I2446">
        <v>3003</v>
      </c>
      <c r="J2446" t="s">
        <v>22</v>
      </c>
      <c r="K2446" t="s">
        <v>23</v>
      </c>
      <c r="L2446" t="s">
        <v>31</v>
      </c>
      <c r="M2446" t="s">
        <v>636</v>
      </c>
      <c r="N2446" t="s">
        <v>53</v>
      </c>
      <c r="O2446">
        <v>128</v>
      </c>
      <c r="R2446" s="11">
        <v>8.1018518518518516E-5</v>
      </c>
      <c r="S2446" t="s">
        <v>37</v>
      </c>
      <c r="T2446" t="str">
        <f>IF(Tabela1[[#This Row],[STATUS_NEGOCIO]]="Enviar E-mail",1,"")</f>
        <v/>
      </c>
      <c r="U2446" t="str">
        <f>TEXT(Tabela1[[#This Row],[DATA]],"dd/mm/aaaa")</f>
        <v>24/04/2026</v>
      </c>
    </row>
    <row r="2447" spans="1:21" x14ac:dyDescent="0.25">
      <c r="A2447" s="9">
        <v>46136.625543981485</v>
      </c>
      <c r="B2447" t="s">
        <v>19</v>
      </c>
      <c r="C2447" t="s">
        <v>37</v>
      </c>
      <c r="D2447">
        <v>265</v>
      </c>
      <c r="E2447">
        <v>24373917000108</v>
      </c>
      <c r="F2447">
        <v>740</v>
      </c>
      <c r="G2447" s="10">
        <v>177705364744191</v>
      </c>
      <c r="H2447" t="s">
        <v>445</v>
      </c>
      <c r="I2447">
        <v>3003</v>
      </c>
      <c r="J2447" t="s">
        <v>22</v>
      </c>
      <c r="K2447" t="s">
        <v>23</v>
      </c>
      <c r="L2447" t="s">
        <v>31</v>
      </c>
      <c r="M2447" t="s">
        <v>636</v>
      </c>
      <c r="N2447" t="s">
        <v>53</v>
      </c>
      <c r="O2447">
        <v>128</v>
      </c>
      <c r="R2447" s="11">
        <v>8.1018518518518516E-5</v>
      </c>
      <c r="S2447" t="s">
        <v>37</v>
      </c>
      <c r="T2447" t="str">
        <f>IF(Tabela1[[#This Row],[STATUS_NEGOCIO]]="Enviar E-mail",1,"")</f>
        <v/>
      </c>
      <c r="U2447" t="str">
        <f>TEXT(Tabela1[[#This Row],[DATA]],"dd/mm/aaaa")</f>
        <v>24/04/2026</v>
      </c>
    </row>
    <row r="2448" spans="1:21" x14ac:dyDescent="0.25">
      <c r="A2448" s="9">
        <v>46136.625763888886</v>
      </c>
      <c r="B2448" t="s">
        <v>19</v>
      </c>
      <c r="C2448" t="s">
        <v>37</v>
      </c>
      <c r="D2448">
        <v>266</v>
      </c>
      <c r="E2448">
        <v>24415773000105</v>
      </c>
      <c r="F2448">
        <v>741</v>
      </c>
      <c r="G2448" s="10">
        <v>177705366644221</v>
      </c>
      <c r="H2448" t="s">
        <v>446</v>
      </c>
      <c r="I2448">
        <v>3003</v>
      </c>
      <c r="J2448" t="s">
        <v>22</v>
      </c>
      <c r="K2448" t="s">
        <v>23</v>
      </c>
      <c r="L2448" t="s">
        <v>31</v>
      </c>
      <c r="M2448" t="s">
        <v>636</v>
      </c>
      <c r="N2448" t="s">
        <v>53</v>
      </c>
      <c r="O2448">
        <v>128</v>
      </c>
      <c r="R2448" s="11">
        <v>8.1018518518518516E-5</v>
      </c>
      <c r="S2448" t="s">
        <v>37</v>
      </c>
      <c r="T2448" t="str">
        <f>IF(Tabela1[[#This Row],[STATUS_NEGOCIO]]="Enviar E-mail",1,"")</f>
        <v/>
      </c>
      <c r="U2448" t="str">
        <f>TEXT(Tabela1[[#This Row],[DATA]],"dd/mm/aaaa")</f>
        <v>24/04/2026</v>
      </c>
    </row>
    <row r="2449" spans="1:21" x14ac:dyDescent="0.25">
      <c r="A2449" s="9">
        <v>46136.625925925924</v>
      </c>
      <c r="B2449" t="s">
        <v>19</v>
      </c>
      <c r="C2449" t="s">
        <v>37</v>
      </c>
      <c r="D2449">
        <v>267</v>
      </c>
      <c r="E2449">
        <v>24569455000190</v>
      </c>
      <c r="F2449">
        <v>742</v>
      </c>
      <c r="G2449" s="10">
        <v>177705368044251</v>
      </c>
      <c r="H2449" t="s">
        <v>447</v>
      </c>
      <c r="I2449">
        <v>3003</v>
      </c>
      <c r="J2449" t="s">
        <v>22</v>
      </c>
      <c r="K2449" t="s">
        <v>23</v>
      </c>
      <c r="L2449" t="s">
        <v>31</v>
      </c>
      <c r="M2449" t="s">
        <v>636</v>
      </c>
      <c r="N2449" t="s">
        <v>53</v>
      </c>
      <c r="O2449">
        <v>147</v>
      </c>
      <c r="R2449" s="11">
        <v>8.1018518518518516E-5</v>
      </c>
      <c r="S2449" t="s">
        <v>37</v>
      </c>
      <c r="T2449" t="str">
        <f>IF(Tabela1[[#This Row],[STATUS_NEGOCIO]]="Enviar E-mail",1,"")</f>
        <v/>
      </c>
      <c r="U2449" t="str">
        <f>TEXT(Tabela1[[#This Row],[DATA]],"dd/mm/aaaa")</f>
        <v>24/04/2026</v>
      </c>
    </row>
    <row r="2450" spans="1:21" x14ac:dyDescent="0.25">
      <c r="A2450" s="9">
        <v>46136.62599537037</v>
      </c>
      <c r="B2450" t="s">
        <v>19</v>
      </c>
      <c r="C2450" t="s">
        <v>37</v>
      </c>
      <c r="D2450">
        <v>268</v>
      </c>
      <c r="E2450">
        <v>24583913000146</v>
      </c>
      <c r="F2450">
        <v>743</v>
      </c>
      <c r="G2450" s="10">
        <v>177705368644271</v>
      </c>
      <c r="H2450" t="s">
        <v>65</v>
      </c>
      <c r="I2450" t="s">
        <v>52</v>
      </c>
      <c r="J2450" t="s">
        <v>22</v>
      </c>
      <c r="K2450" t="s">
        <v>62</v>
      </c>
      <c r="L2450" t="s">
        <v>62</v>
      </c>
      <c r="M2450" t="s">
        <v>636</v>
      </c>
      <c r="N2450" t="s">
        <v>53</v>
      </c>
      <c r="O2450">
        <v>17</v>
      </c>
      <c r="R2450" s="11">
        <v>0</v>
      </c>
      <c r="S2450" t="s">
        <v>37</v>
      </c>
      <c r="T2450" t="str">
        <f>IF(Tabela1[[#This Row],[STATUS_NEGOCIO]]="Enviar E-mail",1,"")</f>
        <v/>
      </c>
      <c r="U2450" t="str">
        <f>TEXT(Tabela1[[#This Row],[DATA]],"dd/mm/aaaa")</f>
        <v>24/04/2026</v>
      </c>
    </row>
    <row r="2451" spans="1:21" x14ac:dyDescent="0.25">
      <c r="A2451" s="9">
        <v>46136.626122685186</v>
      </c>
      <c r="B2451" t="s">
        <v>19</v>
      </c>
      <c r="C2451" t="s">
        <v>37</v>
      </c>
      <c r="D2451">
        <v>269</v>
      </c>
      <c r="E2451">
        <v>25344452000111</v>
      </c>
      <c r="F2451">
        <v>744</v>
      </c>
      <c r="G2451" s="10">
        <v>177705369744341</v>
      </c>
      <c r="H2451" t="s">
        <v>206</v>
      </c>
      <c r="I2451">
        <v>3003</v>
      </c>
      <c r="J2451" t="s">
        <v>22</v>
      </c>
      <c r="K2451" t="s">
        <v>23</v>
      </c>
      <c r="L2451" t="s">
        <v>31</v>
      </c>
      <c r="M2451" t="s">
        <v>636</v>
      </c>
      <c r="N2451" t="s">
        <v>53</v>
      </c>
      <c r="O2451">
        <v>128</v>
      </c>
      <c r="R2451" s="11">
        <v>8.1018518518518516E-5</v>
      </c>
      <c r="S2451" t="s">
        <v>37</v>
      </c>
      <c r="T2451" t="str">
        <f>IF(Tabela1[[#This Row],[STATUS_NEGOCIO]]="Enviar E-mail",1,"")</f>
        <v/>
      </c>
      <c r="U2451" t="str">
        <f>TEXT(Tabela1[[#This Row],[DATA]],"dd/mm/aaaa")</f>
        <v>24/04/2026</v>
      </c>
    </row>
    <row r="2452" spans="1:21" x14ac:dyDescent="0.25">
      <c r="A2452" s="9">
        <v>46136.626226851855</v>
      </c>
      <c r="B2452" t="s">
        <v>19</v>
      </c>
      <c r="C2452" t="s">
        <v>37</v>
      </c>
      <c r="D2452">
        <v>270</v>
      </c>
      <c r="E2452">
        <v>25404835000138</v>
      </c>
      <c r="F2452">
        <v>745</v>
      </c>
      <c r="G2452" s="10">
        <v>177705370644361</v>
      </c>
      <c r="H2452" t="s">
        <v>233</v>
      </c>
      <c r="I2452">
        <v>3003</v>
      </c>
      <c r="J2452" t="s">
        <v>22</v>
      </c>
      <c r="K2452" t="s">
        <v>23</v>
      </c>
      <c r="L2452" t="s">
        <v>31</v>
      </c>
      <c r="M2452" t="s">
        <v>636</v>
      </c>
      <c r="N2452" t="s">
        <v>53</v>
      </c>
      <c r="O2452">
        <v>128</v>
      </c>
      <c r="R2452" s="11">
        <v>8.1018518518518516E-5</v>
      </c>
      <c r="S2452" t="s">
        <v>37</v>
      </c>
      <c r="T2452" t="str">
        <f>IF(Tabela1[[#This Row],[STATUS_NEGOCIO]]="Enviar E-mail",1,"")</f>
        <v/>
      </c>
      <c r="U2452" t="str">
        <f>TEXT(Tabela1[[#This Row],[DATA]],"dd/mm/aaaa")</f>
        <v>24/04/2026</v>
      </c>
    </row>
    <row r="2453" spans="1:21" x14ac:dyDescent="0.25">
      <c r="A2453" s="9">
        <v>46136.626481481479</v>
      </c>
      <c r="B2453" t="s">
        <v>19</v>
      </c>
      <c r="C2453" t="s">
        <v>37</v>
      </c>
      <c r="D2453">
        <v>271</v>
      </c>
      <c r="E2453">
        <v>25405605000193</v>
      </c>
      <c r="F2453">
        <v>746</v>
      </c>
      <c r="G2453" s="10">
        <v>177705372844381</v>
      </c>
      <c r="H2453" t="s">
        <v>448</v>
      </c>
      <c r="I2453">
        <v>3003</v>
      </c>
      <c r="J2453" t="s">
        <v>22</v>
      </c>
      <c r="K2453" t="s">
        <v>23</v>
      </c>
      <c r="L2453" t="s">
        <v>31</v>
      </c>
      <c r="M2453" t="s">
        <v>636</v>
      </c>
      <c r="N2453" t="s">
        <v>53</v>
      </c>
      <c r="O2453">
        <v>128</v>
      </c>
      <c r="R2453" s="11">
        <v>8.1018518518518516E-5</v>
      </c>
      <c r="S2453" t="s">
        <v>37</v>
      </c>
      <c r="T2453" t="str">
        <f>IF(Tabela1[[#This Row],[STATUS_NEGOCIO]]="Enviar E-mail",1,"")</f>
        <v/>
      </c>
      <c r="U2453" t="str">
        <f>TEXT(Tabela1[[#This Row],[DATA]],"dd/mm/aaaa")</f>
        <v>24/04/2026</v>
      </c>
    </row>
    <row r="2454" spans="1:21" x14ac:dyDescent="0.25">
      <c r="A2454" s="9">
        <v>46136.626747685186</v>
      </c>
      <c r="B2454" t="s">
        <v>19</v>
      </c>
      <c r="C2454" t="s">
        <v>37</v>
      </c>
      <c r="D2454">
        <v>272</v>
      </c>
      <c r="E2454">
        <v>26054449000126</v>
      </c>
      <c r="F2454">
        <v>747</v>
      </c>
      <c r="G2454" s="10">
        <v>177705375144401</v>
      </c>
      <c r="H2454" t="s">
        <v>449</v>
      </c>
      <c r="I2454">
        <v>3003</v>
      </c>
      <c r="J2454" t="s">
        <v>22</v>
      </c>
      <c r="K2454" t="s">
        <v>23</v>
      </c>
      <c r="L2454" t="s">
        <v>31</v>
      </c>
      <c r="M2454" t="s">
        <v>636</v>
      </c>
      <c r="N2454" t="s">
        <v>53</v>
      </c>
      <c r="O2454">
        <v>128</v>
      </c>
      <c r="R2454" s="11">
        <v>8.1018518518518516E-5</v>
      </c>
      <c r="S2454" t="s">
        <v>37</v>
      </c>
      <c r="T2454" t="str">
        <f>IF(Tabela1[[#This Row],[STATUS_NEGOCIO]]="Enviar E-mail",1,"")</f>
        <v/>
      </c>
      <c r="U2454" t="str">
        <f>TEXT(Tabela1[[#This Row],[DATA]],"dd/mm/aaaa")</f>
        <v>24/04/2026</v>
      </c>
    </row>
    <row r="2455" spans="1:21" x14ac:dyDescent="0.25">
      <c r="A2455" s="9">
        <v>46136.627002314817</v>
      </c>
      <c r="B2455" t="s">
        <v>19</v>
      </c>
      <c r="C2455" t="s">
        <v>37</v>
      </c>
      <c r="D2455">
        <v>273</v>
      </c>
      <c r="E2455">
        <v>26181076000154</v>
      </c>
      <c r="F2455">
        <v>748</v>
      </c>
      <c r="G2455" s="10">
        <v>177705377344421</v>
      </c>
      <c r="H2455" t="s">
        <v>88</v>
      </c>
      <c r="I2455">
        <v>3003</v>
      </c>
      <c r="J2455" t="s">
        <v>22</v>
      </c>
      <c r="K2455" t="s">
        <v>23</v>
      </c>
      <c r="L2455" t="s">
        <v>31</v>
      </c>
      <c r="M2455" t="s">
        <v>636</v>
      </c>
      <c r="N2455" t="s">
        <v>53</v>
      </c>
      <c r="O2455">
        <v>128</v>
      </c>
      <c r="R2455" s="11">
        <v>8.1018518518518516E-5</v>
      </c>
      <c r="S2455" t="s">
        <v>37</v>
      </c>
      <c r="T2455" t="str">
        <f>IF(Tabela1[[#This Row],[STATUS_NEGOCIO]]="Enviar E-mail",1,"")</f>
        <v/>
      </c>
      <c r="U2455" t="str">
        <f>TEXT(Tabela1[[#This Row],[DATA]],"dd/mm/aaaa")</f>
        <v>24/04/2026</v>
      </c>
    </row>
    <row r="2456" spans="1:21" x14ac:dyDescent="0.25">
      <c r="A2456" s="9">
        <v>46136.627141203702</v>
      </c>
      <c r="B2456" t="s">
        <v>19</v>
      </c>
      <c r="C2456" t="s">
        <v>37</v>
      </c>
      <c r="D2456">
        <v>274</v>
      </c>
      <c r="E2456">
        <v>26185307000106</v>
      </c>
      <c r="F2456">
        <v>749</v>
      </c>
      <c r="G2456" s="10">
        <v>177705378544441</v>
      </c>
      <c r="H2456" t="s">
        <v>450</v>
      </c>
      <c r="I2456">
        <v>3003</v>
      </c>
      <c r="J2456" t="s">
        <v>22</v>
      </c>
      <c r="K2456" t="s">
        <v>23</v>
      </c>
      <c r="L2456" t="s">
        <v>31</v>
      </c>
      <c r="M2456" t="s">
        <v>636</v>
      </c>
      <c r="N2456" t="s">
        <v>53</v>
      </c>
      <c r="O2456">
        <v>147</v>
      </c>
      <c r="R2456" s="11">
        <v>8.1018518518518516E-5</v>
      </c>
      <c r="S2456" t="s">
        <v>37</v>
      </c>
      <c r="T2456" t="str">
        <f>IF(Tabela1[[#This Row],[STATUS_NEGOCIO]]="Enviar E-mail",1,"")</f>
        <v/>
      </c>
      <c r="U2456" t="str">
        <f>TEXT(Tabela1[[#This Row],[DATA]],"dd/mm/aaaa")</f>
        <v>24/04/2026</v>
      </c>
    </row>
    <row r="2457" spans="1:21" x14ac:dyDescent="0.25">
      <c r="A2457" s="9">
        <v>46136.627280092594</v>
      </c>
      <c r="B2457" t="s">
        <v>19</v>
      </c>
      <c r="C2457" t="s">
        <v>37</v>
      </c>
      <c r="D2457">
        <v>275</v>
      </c>
      <c r="E2457">
        <v>26252435000117</v>
      </c>
      <c r="F2457">
        <v>750</v>
      </c>
      <c r="G2457" s="10">
        <v>177705379744461</v>
      </c>
      <c r="H2457" t="s">
        <v>451</v>
      </c>
      <c r="I2457">
        <v>3003</v>
      </c>
      <c r="J2457" t="s">
        <v>22</v>
      </c>
      <c r="K2457" t="s">
        <v>23</v>
      </c>
      <c r="L2457" t="s">
        <v>31</v>
      </c>
      <c r="M2457" t="s">
        <v>636</v>
      </c>
      <c r="N2457" t="s">
        <v>53</v>
      </c>
      <c r="O2457">
        <v>128</v>
      </c>
      <c r="R2457" s="11">
        <v>8.1018518518518516E-5</v>
      </c>
      <c r="S2457" t="s">
        <v>37</v>
      </c>
      <c r="T2457" t="str">
        <f>IF(Tabela1[[#This Row],[STATUS_NEGOCIO]]="Enviar E-mail",1,"")</f>
        <v/>
      </c>
      <c r="U2457" t="str">
        <f>TEXT(Tabela1[[#This Row],[DATA]],"dd/mm/aaaa")</f>
        <v>24/04/2026</v>
      </c>
    </row>
    <row r="2458" spans="1:21" x14ac:dyDescent="0.25">
      <c r="A2458" s="9">
        <v>46136.627453703702</v>
      </c>
      <c r="B2458" t="s">
        <v>19</v>
      </c>
      <c r="C2458" t="s">
        <v>37</v>
      </c>
      <c r="D2458">
        <v>276</v>
      </c>
      <c r="E2458">
        <v>26295622000188</v>
      </c>
      <c r="F2458">
        <v>751</v>
      </c>
      <c r="G2458" s="10">
        <v>177705381244481</v>
      </c>
      <c r="H2458" t="s">
        <v>63</v>
      </c>
      <c r="I2458">
        <v>3003</v>
      </c>
      <c r="J2458" t="s">
        <v>22</v>
      </c>
      <c r="K2458" t="s">
        <v>23</v>
      </c>
      <c r="L2458" t="s">
        <v>31</v>
      </c>
      <c r="M2458" t="s">
        <v>636</v>
      </c>
      <c r="N2458" t="s">
        <v>53</v>
      </c>
      <c r="O2458">
        <v>128</v>
      </c>
      <c r="R2458" s="11">
        <v>4.6296296296296294E-5</v>
      </c>
      <c r="S2458" t="s">
        <v>37</v>
      </c>
      <c r="T2458" t="str">
        <f>IF(Tabela1[[#This Row],[STATUS_NEGOCIO]]="Enviar E-mail",1,"")</f>
        <v/>
      </c>
      <c r="U2458" t="str">
        <f>TEXT(Tabela1[[#This Row],[DATA]],"dd/mm/aaaa")</f>
        <v>24/04/2026</v>
      </c>
    </row>
    <row r="2459" spans="1:21" x14ac:dyDescent="0.25">
      <c r="A2459" s="9">
        <v>46136.627546296295</v>
      </c>
      <c r="B2459" t="s">
        <v>19</v>
      </c>
      <c r="C2459" t="s">
        <v>37</v>
      </c>
      <c r="D2459">
        <v>277</v>
      </c>
      <c r="E2459">
        <v>26344541000120</v>
      </c>
      <c r="F2459">
        <v>752</v>
      </c>
      <c r="G2459" s="10">
        <v>177705382044561</v>
      </c>
      <c r="H2459" t="s">
        <v>452</v>
      </c>
      <c r="I2459" t="s">
        <v>52</v>
      </c>
      <c r="J2459" t="s">
        <v>22</v>
      </c>
      <c r="K2459" t="s">
        <v>36</v>
      </c>
      <c r="L2459" t="s">
        <v>36</v>
      </c>
      <c r="M2459" t="s">
        <v>636</v>
      </c>
      <c r="N2459" t="s">
        <v>53</v>
      </c>
      <c r="O2459">
        <v>19</v>
      </c>
      <c r="R2459" s="11">
        <v>0</v>
      </c>
      <c r="S2459" t="s">
        <v>37</v>
      </c>
      <c r="T2459" t="str">
        <f>IF(Tabela1[[#This Row],[STATUS_NEGOCIO]]="Enviar E-mail",1,"")</f>
        <v/>
      </c>
      <c r="U2459" t="str">
        <f>TEXT(Tabela1[[#This Row],[DATA]],"dd/mm/aaaa")</f>
        <v>24/04/2026</v>
      </c>
    </row>
    <row r="2460" spans="1:21" x14ac:dyDescent="0.25">
      <c r="A2460" s="9">
        <v>46136.627662037034</v>
      </c>
      <c r="B2460" t="s">
        <v>19</v>
      </c>
      <c r="C2460" t="s">
        <v>37</v>
      </c>
      <c r="D2460">
        <v>278</v>
      </c>
      <c r="E2460">
        <v>26350061000172</v>
      </c>
      <c r="F2460">
        <v>753</v>
      </c>
      <c r="G2460" s="10">
        <v>177705383044581</v>
      </c>
      <c r="H2460" t="s">
        <v>453</v>
      </c>
      <c r="I2460">
        <v>3003</v>
      </c>
      <c r="J2460" t="s">
        <v>22</v>
      </c>
      <c r="K2460" t="s">
        <v>23</v>
      </c>
      <c r="L2460" t="s">
        <v>31</v>
      </c>
      <c r="M2460" t="s">
        <v>636</v>
      </c>
      <c r="N2460" t="s">
        <v>53</v>
      </c>
      <c r="O2460">
        <v>128</v>
      </c>
      <c r="R2460" s="11">
        <v>6.9444444444444444E-5</v>
      </c>
      <c r="S2460" t="s">
        <v>37</v>
      </c>
      <c r="T2460" t="str">
        <f>IF(Tabela1[[#This Row],[STATUS_NEGOCIO]]="Enviar E-mail",1,"")</f>
        <v/>
      </c>
      <c r="U2460" t="str">
        <f>TEXT(Tabela1[[#This Row],[DATA]],"dd/mm/aaaa")</f>
        <v>24/04/2026</v>
      </c>
    </row>
    <row r="2461" spans="1:21" x14ac:dyDescent="0.25">
      <c r="A2461" s="9">
        <v>46136.627916666665</v>
      </c>
      <c r="B2461" t="s">
        <v>19</v>
      </c>
      <c r="C2461" t="s">
        <v>37</v>
      </c>
      <c r="D2461">
        <v>279</v>
      </c>
      <c r="E2461">
        <v>26401298000135</v>
      </c>
      <c r="F2461">
        <v>754</v>
      </c>
      <c r="G2461" s="10">
        <v>177705385244641</v>
      </c>
      <c r="H2461" t="s">
        <v>218</v>
      </c>
      <c r="I2461">
        <v>3003</v>
      </c>
      <c r="J2461" t="s">
        <v>22</v>
      </c>
      <c r="K2461" t="s">
        <v>23</v>
      </c>
      <c r="L2461" t="s">
        <v>31</v>
      </c>
      <c r="M2461" t="s">
        <v>636</v>
      </c>
      <c r="N2461" t="s">
        <v>53</v>
      </c>
      <c r="O2461">
        <v>128</v>
      </c>
      <c r="R2461" s="11">
        <v>8.1018518518518516E-5</v>
      </c>
      <c r="S2461" t="s">
        <v>37</v>
      </c>
      <c r="T2461" t="str">
        <f>IF(Tabela1[[#This Row],[STATUS_NEGOCIO]]="Enviar E-mail",1,"")</f>
        <v/>
      </c>
      <c r="U2461" t="str">
        <f>TEXT(Tabela1[[#This Row],[DATA]],"dd/mm/aaaa")</f>
        <v>24/04/2026</v>
      </c>
    </row>
    <row r="2462" spans="1:21" x14ac:dyDescent="0.25">
      <c r="A2462" s="9">
        <v>46136.628113425926</v>
      </c>
      <c r="B2462" t="s">
        <v>19</v>
      </c>
      <c r="C2462" t="s">
        <v>37</v>
      </c>
      <c r="D2462">
        <v>280</v>
      </c>
      <c r="E2462">
        <v>26419801000180</v>
      </c>
      <c r="F2462">
        <v>755</v>
      </c>
      <c r="G2462" s="10">
        <v>177705386944691</v>
      </c>
      <c r="H2462" t="s">
        <v>142</v>
      </c>
      <c r="I2462">
        <v>3003</v>
      </c>
      <c r="J2462" t="s">
        <v>22</v>
      </c>
      <c r="K2462" t="s">
        <v>23</v>
      </c>
      <c r="L2462" t="s">
        <v>31</v>
      </c>
      <c r="M2462" t="s">
        <v>636</v>
      </c>
      <c r="N2462" t="s">
        <v>53</v>
      </c>
      <c r="O2462">
        <v>128</v>
      </c>
      <c r="R2462" s="11">
        <v>8.1018518518518516E-5</v>
      </c>
      <c r="S2462" t="s">
        <v>37</v>
      </c>
      <c r="T2462" t="str">
        <f>IF(Tabela1[[#This Row],[STATUS_NEGOCIO]]="Enviar E-mail",1,"")</f>
        <v/>
      </c>
      <c r="U2462" t="str">
        <f>TEXT(Tabela1[[#This Row],[DATA]],"dd/mm/aaaa")</f>
        <v>24/04/2026</v>
      </c>
    </row>
    <row r="2463" spans="1:21" x14ac:dyDescent="0.25">
      <c r="A2463" s="9">
        <v>46136.628460648149</v>
      </c>
      <c r="B2463" t="s">
        <v>19</v>
      </c>
      <c r="C2463" t="s">
        <v>37</v>
      </c>
      <c r="D2463">
        <v>281</v>
      </c>
      <c r="E2463">
        <v>26596537000150</v>
      </c>
      <c r="F2463">
        <v>756</v>
      </c>
      <c r="G2463" s="10">
        <v>177705389944771</v>
      </c>
      <c r="H2463" t="s">
        <v>454</v>
      </c>
      <c r="I2463">
        <v>3003</v>
      </c>
      <c r="J2463" t="s">
        <v>22</v>
      </c>
      <c r="K2463" t="s">
        <v>23</v>
      </c>
      <c r="L2463" t="s">
        <v>31</v>
      </c>
      <c r="M2463" t="s">
        <v>636</v>
      </c>
      <c r="N2463" t="s">
        <v>53</v>
      </c>
      <c r="O2463">
        <v>128</v>
      </c>
      <c r="R2463" s="11">
        <v>8.1018518518518516E-5</v>
      </c>
      <c r="S2463" t="s">
        <v>37</v>
      </c>
      <c r="T2463" t="str">
        <f>IF(Tabela1[[#This Row],[STATUS_NEGOCIO]]="Enviar E-mail",1,"")</f>
        <v/>
      </c>
      <c r="U2463" t="str">
        <f>TEXT(Tabela1[[#This Row],[DATA]],"dd/mm/aaaa")</f>
        <v>24/04/2026</v>
      </c>
    </row>
    <row r="2464" spans="1:21" x14ac:dyDescent="0.25">
      <c r="A2464" s="9">
        <v>46136.628622685188</v>
      </c>
      <c r="B2464" t="s">
        <v>19</v>
      </c>
      <c r="C2464" t="s">
        <v>37</v>
      </c>
      <c r="D2464">
        <v>282</v>
      </c>
      <c r="E2464">
        <v>26753972000140</v>
      </c>
      <c r="F2464">
        <v>757</v>
      </c>
      <c r="G2464" s="10">
        <v>177705391344911</v>
      </c>
      <c r="H2464" t="s">
        <v>455</v>
      </c>
      <c r="I2464" t="s">
        <v>52</v>
      </c>
      <c r="J2464" t="s">
        <v>22</v>
      </c>
      <c r="K2464" t="s">
        <v>36</v>
      </c>
      <c r="L2464" t="s">
        <v>36</v>
      </c>
      <c r="M2464" t="s">
        <v>636</v>
      </c>
      <c r="N2464" t="s">
        <v>53</v>
      </c>
      <c r="O2464">
        <v>1</v>
      </c>
      <c r="R2464" s="11">
        <v>0</v>
      </c>
      <c r="S2464" t="s">
        <v>37</v>
      </c>
      <c r="T2464" t="str">
        <f>IF(Tabela1[[#This Row],[STATUS_NEGOCIO]]="Enviar E-mail",1,"")</f>
        <v/>
      </c>
      <c r="U2464" t="str">
        <f>TEXT(Tabela1[[#This Row],[DATA]],"dd/mm/aaaa")</f>
        <v>24/04/2026</v>
      </c>
    </row>
    <row r="2465" spans="1:21" x14ac:dyDescent="0.25">
      <c r="A2465" s="9">
        <v>46136.628622685188</v>
      </c>
      <c r="B2465" t="s">
        <v>19</v>
      </c>
      <c r="C2465" t="s">
        <v>37</v>
      </c>
      <c r="D2465">
        <v>283</v>
      </c>
      <c r="E2465">
        <v>26789035000145</v>
      </c>
      <c r="F2465">
        <v>758</v>
      </c>
      <c r="G2465" s="10">
        <v>177705391344921</v>
      </c>
      <c r="H2465" t="s">
        <v>456</v>
      </c>
      <c r="I2465">
        <v>3003</v>
      </c>
      <c r="J2465" t="s">
        <v>22</v>
      </c>
      <c r="K2465" t="s">
        <v>23</v>
      </c>
      <c r="L2465" t="s">
        <v>31</v>
      </c>
      <c r="M2465" t="s">
        <v>636</v>
      </c>
      <c r="N2465" t="s">
        <v>53</v>
      </c>
      <c r="O2465">
        <v>128</v>
      </c>
      <c r="R2465" s="11">
        <v>8.1018518518518516E-5</v>
      </c>
      <c r="S2465" t="s">
        <v>37</v>
      </c>
      <c r="T2465" t="str">
        <f>IF(Tabela1[[#This Row],[STATUS_NEGOCIO]]="Enviar E-mail",1,"")</f>
        <v/>
      </c>
      <c r="U2465" t="str">
        <f>TEXT(Tabela1[[#This Row],[DATA]],"dd/mm/aaaa")</f>
        <v>24/04/2026</v>
      </c>
    </row>
    <row r="2466" spans="1:21" x14ac:dyDescent="0.25">
      <c r="A2466" s="9">
        <v>46136.628657407404</v>
      </c>
      <c r="B2466" t="s">
        <v>19</v>
      </c>
      <c r="C2466" t="s">
        <v>37</v>
      </c>
      <c r="D2466">
        <v>285</v>
      </c>
      <c r="E2466">
        <v>26960926000112</v>
      </c>
      <c r="F2466">
        <v>759</v>
      </c>
      <c r="G2466" s="10">
        <v>177705391644941</v>
      </c>
      <c r="H2466" t="s">
        <v>273</v>
      </c>
      <c r="I2466">
        <v>3003</v>
      </c>
      <c r="J2466" t="s">
        <v>22</v>
      </c>
      <c r="K2466" t="s">
        <v>23</v>
      </c>
      <c r="L2466" t="s">
        <v>31</v>
      </c>
      <c r="M2466" t="s">
        <v>636</v>
      </c>
      <c r="N2466" t="s">
        <v>53</v>
      </c>
      <c r="O2466">
        <v>128</v>
      </c>
      <c r="R2466" s="11">
        <v>8.1018518518518516E-5</v>
      </c>
      <c r="S2466" t="s">
        <v>37</v>
      </c>
      <c r="T2466" t="str">
        <f>IF(Tabela1[[#This Row],[STATUS_NEGOCIO]]="Enviar E-mail",1,"")</f>
        <v/>
      </c>
      <c r="U2466" t="str">
        <f>TEXT(Tabela1[[#This Row],[DATA]],"dd/mm/aaaa")</f>
        <v>24/04/2026</v>
      </c>
    </row>
    <row r="2467" spans="1:21" x14ac:dyDescent="0.25">
      <c r="A2467" s="9">
        <v>46136.628888888888</v>
      </c>
      <c r="B2467" t="s">
        <v>19</v>
      </c>
      <c r="C2467" t="s">
        <v>37</v>
      </c>
      <c r="D2467">
        <v>286</v>
      </c>
      <c r="E2467">
        <v>26990729000146</v>
      </c>
      <c r="F2467">
        <v>760</v>
      </c>
      <c r="G2467" s="10">
        <v>177705393644971</v>
      </c>
      <c r="H2467" t="s">
        <v>458</v>
      </c>
      <c r="I2467">
        <v>3003</v>
      </c>
      <c r="J2467" t="s">
        <v>22</v>
      </c>
      <c r="K2467" t="s">
        <v>23</v>
      </c>
      <c r="L2467" t="s">
        <v>31</v>
      </c>
      <c r="M2467" t="s">
        <v>636</v>
      </c>
      <c r="N2467" t="s">
        <v>53</v>
      </c>
      <c r="O2467">
        <v>128</v>
      </c>
      <c r="R2467" s="11">
        <v>8.1018518518518516E-5</v>
      </c>
      <c r="S2467" t="s">
        <v>37</v>
      </c>
      <c r="T2467" t="str">
        <f>IF(Tabela1[[#This Row],[STATUS_NEGOCIO]]="Enviar E-mail",1,"")</f>
        <v/>
      </c>
      <c r="U2467" t="str">
        <f>TEXT(Tabela1[[#This Row],[DATA]],"dd/mm/aaaa")</f>
        <v>24/04/2026</v>
      </c>
    </row>
    <row r="2468" spans="1:21" x14ac:dyDescent="0.25">
      <c r="A2468" s="9">
        <v>46136.629143518519</v>
      </c>
      <c r="B2468" t="s">
        <v>19</v>
      </c>
      <c r="C2468" t="s">
        <v>37</v>
      </c>
      <c r="D2468">
        <v>287</v>
      </c>
      <c r="E2468">
        <v>27015155000158</v>
      </c>
      <c r="F2468">
        <v>761</v>
      </c>
      <c r="G2468" s="10">
        <v>177705395844991</v>
      </c>
      <c r="H2468" t="s">
        <v>459</v>
      </c>
      <c r="I2468">
        <v>3003</v>
      </c>
      <c r="J2468" t="s">
        <v>22</v>
      </c>
      <c r="K2468" t="s">
        <v>23</v>
      </c>
      <c r="L2468" t="s">
        <v>31</v>
      </c>
      <c r="M2468" t="s">
        <v>636</v>
      </c>
      <c r="N2468" t="s">
        <v>53</v>
      </c>
      <c r="O2468">
        <v>128</v>
      </c>
      <c r="R2468" s="11">
        <v>8.1018518518518516E-5</v>
      </c>
      <c r="S2468" t="s">
        <v>37</v>
      </c>
      <c r="T2468" t="str">
        <f>IF(Tabela1[[#This Row],[STATUS_NEGOCIO]]="Enviar E-mail",1,"")</f>
        <v/>
      </c>
      <c r="U2468" t="str">
        <f>TEXT(Tabela1[[#This Row],[DATA]],"dd/mm/aaaa")</f>
        <v>24/04/2026</v>
      </c>
    </row>
    <row r="2469" spans="1:21" x14ac:dyDescent="0.25">
      <c r="A2469" s="9">
        <v>46136.629178240742</v>
      </c>
      <c r="B2469" t="s">
        <v>19</v>
      </c>
      <c r="C2469" t="s">
        <v>37</v>
      </c>
      <c r="D2469">
        <v>288</v>
      </c>
      <c r="E2469">
        <v>27037167000183</v>
      </c>
      <c r="F2469">
        <v>762</v>
      </c>
      <c r="G2469" s="10">
        <v>177705396145011</v>
      </c>
      <c r="H2469" t="s">
        <v>268</v>
      </c>
      <c r="I2469">
        <v>3003</v>
      </c>
      <c r="J2469" t="s">
        <v>22</v>
      </c>
      <c r="K2469" t="s">
        <v>23</v>
      </c>
      <c r="L2469" t="s">
        <v>31</v>
      </c>
      <c r="M2469" t="s">
        <v>636</v>
      </c>
      <c r="N2469" t="s">
        <v>53</v>
      </c>
      <c r="O2469">
        <v>147</v>
      </c>
      <c r="R2469" s="11">
        <v>8.1018518518518516E-5</v>
      </c>
      <c r="S2469" t="s">
        <v>37</v>
      </c>
      <c r="T2469" t="str">
        <f>IF(Tabela1[[#This Row],[STATUS_NEGOCIO]]="Enviar E-mail",1,"")</f>
        <v/>
      </c>
      <c r="U2469" t="str">
        <f>TEXT(Tabela1[[#This Row],[DATA]],"dd/mm/aaaa")</f>
        <v>24/04/2026</v>
      </c>
    </row>
    <row r="2470" spans="1:21" x14ac:dyDescent="0.25">
      <c r="A2470" s="9">
        <v>46136.629328703704</v>
      </c>
      <c r="B2470" t="s">
        <v>19</v>
      </c>
      <c r="C2470" t="s">
        <v>37</v>
      </c>
      <c r="D2470">
        <v>289</v>
      </c>
      <c r="E2470">
        <v>27179316000149</v>
      </c>
      <c r="F2470">
        <v>763</v>
      </c>
      <c r="G2470" s="10">
        <v>177705397445031</v>
      </c>
      <c r="H2470" t="s">
        <v>460</v>
      </c>
      <c r="I2470">
        <v>3003</v>
      </c>
      <c r="J2470" t="s">
        <v>22</v>
      </c>
      <c r="K2470" t="s">
        <v>23</v>
      </c>
      <c r="L2470" t="s">
        <v>31</v>
      </c>
      <c r="M2470" t="s">
        <v>636</v>
      </c>
      <c r="N2470" t="s">
        <v>53</v>
      </c>
      <c r="O2470">
        <v>128</v>
      </c>
      <c r="R2470" s="11">
        <v>6.9444444444444444E-5</v>
      </c>
      <c r="S2470" t="s">
        <v>37</v>
      </c>
      <c r="T2470" t="str">
        <f>IF(Tabela1[[#This Row],[STATUS_NEGOCIO]]="Enviar E-mail",1,"")</f>
        <v/>
      </c>
      <c r="U2470" t="str">
        <f>TEXT(Tabela1[[#This Row],[DATA]],"dd/mm/aaaa")</f>
        <v>24/04/2026</v>
      </c>
    </row>
    <row r="2471" spans="1:21" x14ac:dyDescent="0.25">
      <c r="A2471" s="9">
        <v>46136.629490740743</v>
      </c>
      <c r="B2471" t="s">
        <v>19</v>
      </c>
      <c r="C2471" t="s">
        <v>37</v>
      </c>
      <c r="D2471">
        <v>290</v>
      </c>
      <c r="E2471">
        <v>27316226000152</v>
      </c>
      <c r="F2471">
        <v>764</v>
      </c>
      <c r="G2471" s="10">
        <v>177705398845131</v>
      </c>
      <c r="H2471" t="s">
        <v>461</v>
      </c>
      <c r="I2471">
        <v>3003</v>
      </c>
      <c r="J2471" t="s">
        <v>22</v>
      </c>
      <c r="K2471" t="s">
        <v>23</v>
      </c>
      <c r="L2471" t="s">
        <v>31</v>
      </c>
      <c r="M2471" t="s">
        <v>636</v>
      </c>
      <c r="N2471" t="s">
        <v>53</v>
      </c>
      <c r="O2471">
        <v>128</v>
      </c>
      <c r="R2471" s="11">
        <v>8.1018518518518516E-5</v>
      </c>
      <c r="S2471" t="s">
        <v>37</v>
      </c>
      <c r="T2471" t="str">
        <f>IF(Tabela1[[#This Row],[STATUS_NEGOCIO]]="Enviar E-mail",1,"")</f>
        <v/>
      </c>
      <c r="U2471" t="str">
        <f>TEXT(Tabela1[[#This Row],[DATA]],"dd/mm/aaaa")</f>
        <v>24/04/2026</v>
      </c>
    </row>
    <row r="2472" spans="1:21" x14ac:dyDescent="0.25">
      <c r="A2472" s="9">
        <v>46136.629618055558</v>
      </c>
      <c r="B2472" t="s">
        <v>19</v>
      </c>
      <c r="C2472" t="s">
        <v>37</v>
      </c>
      <c r="D2472">
        <v>291</v>
      </c>
      <c r="E2472">
        <v>27379033000140</v>
      </c>
      <c r="F2472">
        <v>765</v>
      </c>
      <c r="G2472" s="10">
        <v>177705399945151</v>
      </c>
      <c r="H2472" t="s">
        <v>70</v>
      </c>
      <c r="I2472" t="s">
        <v>52</v>
      </c>
      <c r="J2472" t="s">
        <v>22</v>
      </c>
      <c r="K2472" t="s">
        <v>62</v>
      </c>
      <c r="L2472" t="s">
        <v>62</v>
      </c>
      <c r="M2472" t="s">
        <v>636</v>
      </c>
      <c r="N2472" t="s">
        <v>53</v>
      </c>
      <c r="O2472">
        <v>17</v>
      </c>
      <c r="R2472" s="11">
        <v>0</v>
      </c>
      <c r="S2472" t="s">
        <v>37</v>
      </c>
      <c r="T2472" t="str">
        <f>IF(Tabela1[[#This Row],[STATUS_NEGOCIO]]="Enviar E-mail",1,"")</f>
        <v/>
      </c>
      <c r="U2472" t="str">
        <f>TEXT(Tabela1[[#This Row],[DATA]],"dd/mm/aaaa")</f>
        <v>24/04/2026</v>
      </c>
    </row>
    <row r="2473" spans="1:21" x14ac:dyDescent="0.25">
      <c r="A2473" s="9">
        <v>46136.629699074074</v>
      </c>
      <c r="B2473" t="s">
        <v>19</v>
      </c>
      <c r="C2473" t="s">
        <v>37</v>
      </c>
      <c r="D2473">
        <v>292</v>
      </c>
      <c r="E2473">
        <v>27439229000183</v>
      </c>
      <c r="F2473">
        <v>766</v>
      </c>
      <c r="G2473" s="10">
        <v>177705400645161</v>
      </c>
      <c r="H2473" t="s">
        <v>437</v>
      </c>
      <c r="I2473">
        <v>3003</v>
      </c>
      <c r="J2473" t="s">
        <v>22</v>
      </c>
      <c r="K2473" t="s">
        <v>23</v>
      </c>
      <c r="L2473" t="s">
        <v>31</v>
      </c>
      <c r="M2473" t="s">
        <v>636</v>
      </c>
      <c r="N2473" t="s">
        <v>53</v>
      </c>
      <c r="O2473">
        <v>128</v>
      </c>
      <c r="R2473" s="11">
        <v>8.1018518518518516E-5</v>
      </c>
      <c r="S2473" t="s">
        <v>37</v>
      </c>
      <c r="T2473" t="str">
        <f>IF(Tabela1[[#This Row],[STATUS_NEGOCIO]]="Enviar E-mail",1,"")</f>
        <v/>
      </c>
      <c r="U2473" t="str">
        <f>TEXT(Tabela1[[#This Row],[DATA]],"dd/mm/aaaa")</f>
        <v>24/04/2026</v>
      </c>
    </row>
    <row r="2474" spans="1:21" x14ac:dyDescent="0.25">
      <c r="A2474" s="9">
        <v>46136.629710648151</v>
      </c>
      <c r="B2474" t="s">
        <v>19</v>
      </c>
      <c r="C2474" t="s">
        <v>37</v>
      </c>
      <c r="D2474">
        <v>293</v>
      </c>
      <c r="E2474">
        <v>27559945000102</v>
      </c>
      <c r="F2474">
        <v>767</v>
      </c>
      <c r="G2474" s="10">
        <v>177705400745181</v>
      </c>
      <c r="H2474" t="s">
        <v>462</v>
      </c>
      <c r="I2474">
        <v>3003</v>
      </c>
      <c r="J2474" t="s">
        <v>22</v>
      </c>
      <c r="K2474" t="s">
        <v>23</v>
      </c>
      <c r="L2474" t="s">
        <v>31</v>
      </c>
      <c r="M2474" t="s">
        <v>636</v>
      </c>
      <c r="N2474" t="s">
        <v>53</v>
      </c>
      <c r="O2474">
        <v>128</v>
      </c>
      <c r="R2474" s="11">
        <v>8.1018518518518516E-5</v>
      </c>
      <c r="S2474" t="s">
        <v>37</v>
      </c>
      <c r="T2474" t="str">
        <f>IF(Tabela1[[#This Row],[STATUS_NEGOCIO]]="Enviar E-mail",1,"")</f>
        <v/>
      </c>
      <c r="U2474" t="str">
        <f>TEXT(Tabela1[[#This Row],[DATA]],"dd/mm/aaaa")</f>
        <v>24/04/2026</v>
      </c>
    </row>
    <row r="2475" spans="1:21" x14ac:dyDescent="0.25">
      <c r="A2475" s="9">
        <v>46136.629837962966</v>
      </c>
      <c r="B2475" t="s">
        <v>19</v>
      </c>
      <c r="C2475" t="s">
        <v>37</v>
      </c>
      <c r="D2475">
        <v>294</v>
      </c>
      <c r="E2475">
        <v>27813377000116</v>
      </c>
      <c r="F2475">
        <v>768</v>
      </c>
      <c r="G2475" s="10">
        <v>177705401845201</v>
      </c>
      <c r="H2475" t="s">
        <v>463</v>
      </c>
      <c r="I2475">
        <v>3003</v>
      </c>
      <c r="J2475" t="s">
        <v>22</v>
      </c>
      <c r="K2475" t="s">
        <v>23</v>
      </c>
      <c r="L2475" t="s">
        <v>31</v>
      </c>
      <c r="M2475" t="s">
        <v>636</v>
      </c>
      <c r="N2475" t="s">
        <v>53</v>
      </c>
      <c r="O2475">
        <v>128</v>
      </c>
      <c r="R2475" s="11">
        <v>8.1018518518518516E-5</v>
      </c>
      <c r="S2475" t="s">
        <v>37</v>
      </c>
      <c r="T2475" t="str">
        <f>IF(Tabela1[[#This Row],[STATUS_NEGOCIO]]="Enviar E-mail",1,"")</f>
        <v/>
      </c>
      <c r="U2475" t="str">
        <f>TEXT(Tabela1[[#This Row],[DATA]],"dd/mm/aaaa")</f>
        <v>24/04/2026</v>
      </c>
    </row>
    <row r="2476" spans="1:21" x14ac:dyDescent="0.25">
      <c r="A2476" s="9">
        <v>46136.630023148151</v>
      </c>
      <c r="B2476" t="s">
        <v>19</v>
      </c>
      <c r="C2476" t="s">
        <v>37</v>
      </c>
      <c r="D2476">
        <v>295</v>
      </c>
      <c r="E2476">
        <v>27931047000125</v>
      </c>
      <c r="F2476">
        <v>769</v>
      </c>
      <c r="G2476" s="10">
        <v>177705403445221</v>
      </c>
      <c r="H2476" t="s">
        <v>464</v>
      </c>
      <c r="I2476">
        <v>3003</v>
      </c>
      <c r="J2476" t="s">
        <v>22</v>
      </c>
      <c r="K2476" t="s">
        <v>23</v>
      </c>
      <c r="L2476" t="s">
        <v>31</v>
      </c>
      <c r="M2476" t="s">
        <v>636</v>
      </c>
      <c r="N2476" t="s">
        <v>53</v>
      </c>
      <c r="O2476">
        <v>128</v>
      </c>
      <c r="R2476" s="11">
        <v>4.6296296296296294E-5</v>
      </c>
      <c r="S2476" t="s">
        <v>37</v>
      </c>
      <c r="T2476" t="str">
        <f>IF(Tabela1[[#This Row],[STATUS_NEGOCIO]]="Enviar E-mail",1,"")</f>
        <v/>
      </c>
      <c r="U2476" t="str">
        <f>TEXT(Tabela1[[#This Row],[DATA]],"dd/mm/aaaa")</f>
        <v>24/04/2026</v>
      </c>
    </row>
    <row r="2477" spans="1:21" x14ac:dyDescent="0.25">
      <c r="A2477" s="9">
        <v>46136.63013888889</v>
      </c>
      <c r="B2477" t="s">
        <v>19</v>
      </c>
      <c r="C2477" t="s">
        <v>37</v>
      </c>
      <c r="D2477">
        <v>297</v>
      </c>
      <c r="E2477">
        <v>28047678000149</v>
      </c>
      <c r="F2477">
        <v>770</v>
      </c>
      <c r="G2477" s="10">
        <v>177705404445241</v>
      </c>
      <c r="H2477" t="s">
        <v>640</v>
      </c>
      <c r="I2477">
        <v>3003</v>
      </c>
      <c r="J2477" t="s">
        <v>22</v>
      </c>
      <c r="K2477" t="s">
        <v>23</v>
      </c>
      <c r="L2477" t="s">
        <v>31</v>
      </c>
      <c r="M2477" t="s">
        <v>636</v>
      </c>
      <c r="N2477" t="s">
        <v>53</v>
      </c>
      <c r="O2477">
        <v>131</v>
      </c>
      <c r="R2477" s="11">
        <v>2.3148148148148147E-5</v>
      </c>
      <c r="S2477" t="s">
        <v>37</v>
      </c>
      <c r="T2477" t="str">
        <f>IF(Tabela1[[#This Row],[STATUS_NEGOCIO]]="Enviar E-mail",1,"")</f>
        <v/>
      </c>
      <c r="U2477" t="str">
        <f>TEXT(Tabela1[[#This Row],[DATA]],"dd/mm/aaaa")</f>
        <v>24/04/2026</v>
      </c>
    </row>
    <row r="2478" spans="1:21" x14ac:dyDescent="0.25">
      <c r="A2478" s="9">
        <v>46136.630231481482</v>
      </c>
      <c r="B2478" t="s">
        <v>19</v>
      </c>
      <c r="C2478" t="s">
        <v>37</v>
      </c>
      <c r="D2478">
        <v>298</v>
      </c>
      <c r="E2478">
        <v>28093477000188</v>
      </c>
      <c r="F2478">
        <v>771</v>
      </c>
      <c r="G2478" s="10">
        <v>177705405245261</v>
      </c>
      <c r="H2478" t="s">
        <v>101</v>
      </c>
      <c r="I2478">
        <v>3003</v>
      </c>
      <c r="J2478" t="s">
        <v>22</v>
      </c>
      <c r="K2478" t="s">
        <v>23</v>
      </c>
      <c r="L2478" t="s">
        <v>31</v>
      </c>
      <c r="M2478" t="s">
        <v>636</v>
      </c>
      <c r="N2478" t="s">
        <v>53</v>
      </c>
      <c r="O2478">
        <v>128</v>
      </c>
      <c r="R2478" s="11">
        <v>8.1018518518518516E-5</v>
      </c>
      <c r="S2478" t="s">
        <v>37</v>
      </c>
      <c r="T2478" t="str">
        <f>IF(Tabela1[[#This Row],[STATUS_NEGOCIO]]="Enviar E-mail",1,"")</f>
        <v/>
      </c>
      <c r="U2478" t="str">
        <f>TEXT(Tabela1[[#This Row],[DATA]],"dd/mm/aaaa")</f>
        <v>24/04/2026</v>
      </c>
    </row>
    <row r="2479" spans="1:21" x14ac:dyDescent="0.25">
      <c r="A2479" s="9">
        <v>46136.630370370367</v>
      </c>
      <c r="B2479" t="s">
        <v>19</v>
      </c>
      <c r="C2479" t="s">
        <v>37</v>
      </c>
      <c r="D2479">
        <v>299</v>
      </c>
      <c r="E2479">
        <v>28113645000150</v>
      </c>
      <c r="F2479">
        <v>772</v>
      </c>
      <c r="G2479" s="10">
        <v>177705406445281</v>
      </c>
      <c r="H2479" t="s">
        <v>466</v>
      </c>
      <c r="I2479">
        <v>3003</v>
      </c>
      <c r="J2479" t="s">
        <v>22</v>
      </c>
      <c r="K2479" t="s">
        <v>23</v>
      </c>
      <c r="L2479" t="s">
        <v>31</v>
      </c>
      <c r="M2479" t="s">
        <v>636</v>
      </c>
      <c r="N2479" t="s">
        <v>53</v>
      </c>
      <c r="O2479">
        <v>128</v>
      </c>
      <c r="R2479" s="11">
        <v>8.1018518518518516E-5</v>
      </c>
      <c r="S2479" t="s">
        <v>37</v>
      </c>
      <c r="T2479" t="str">
        <f>IF(Tabela1[[#This Row],[STATUS_NEGOCIO]]="Enviar E-mail",1,"")</f>
        <v/>
      </c>
      <c r="U2479" t="str">
        <f>TEXT(Tabela1[[#This Row],[DATA]],"dd/mm/aaaa")</f>
        <v>24/04/2026</v>
      </c>
    </row>
    <row r="2480" spans="1:21" x14ac:dyDescent="0.25">
      <c r="A2480" s="9">
        <v>46136.630474537036</v>
      </c>
      <c r="B2480" t="s">
        <v>19</v>
      </c>
      <c r="C2480" t="s">
        <v>37</v>
      </c>
      <c r="D2480">
        <v>300</v>
      </c>
      <c r="E2480">
        <v>28483585000167</v>
      </c>
      <c r="F2480">
        <v>773</v>
      </c>
      <c r="G2480" s="10">
        <v>177705407345301</v>
      </c>
      <c r="H2480" t="s">
        <v>467</v>
      </c>
      <c r="I2480" t="s">
        <v>52</v>
      </c>
      <c r="J2480" t="s">
        <v>22</v>
      </c>
      <c r="K2480" t="s">
        <v>36</v>
      </c>
      <c r="L2480" t="s">
        <v>36</v>
      </c>
      <c r="M2480" t="s">
        <v>636</v>
      </c>
      <c r="N2480" t="s">
        <v>53</v>
      </c>
      <c r="O2480">
        <v>19</v>
      </c>
      <c r="R2480" s="11">
        <v>0</v>
      </c>
      <c r="S2480" t="s">
        <v>37</v>
      </c>
      <c r="T2480" t="str">
        <f>IF(Tabela1[[#This Row],[STATUS_NEGOCIO]]="Enviar E-mail",1,"")</f>
        <v/>
      </c>
      <c r="U2480" t="str">
        <f>TEXT(Tabela1[[#This Row],[DATA]],"dd/mm/aaaa")</f>
        <v>24/04/2026</v>
      </c>
    </row>
    <row r="2481" spans="1:21" x14ac:dyDescent="0.25">
      <c r="A2481" s="9">
        <v>46136.630937499998</v>
      </c>
      <c r="B2481" t="s">
        <v>19</v>
      </c>
      <c r="C2481" t="s">
        <v>37</v>
      </c>
      <c r="D2481">
        <v>301</v>
      </c>
      <c r="E2481">
        <v>28566081000100</v>
      </c>
      <c r="F2481">
        <v>774</v>
      </c>
      <c r="G2481" s="10">
        <v>177705411345381</v>
      </c>
      <c r="H2481" t="s">
        <v>468</v>
      </c>
      <c r="I2481">
        <v>3003</v>
      </c>
      <c r="J2481" t="s">
        <v>22</v>
      </c>
      <c r="K2481" t="s">
        <v>23</v>
      </c>
      <c r="L2481" t="s">
        <v>31</v>
      </c>
      <c r="M2481" t="s">
        <v>636</v>
      </c>
      <c r="N2481" t="s">
        <v>53</v>
      </c>
      <c r="O2481">
        <v>128</v>
      </c>
      <c r="R2481" s="11">
        <v>8.1018518518518516E-5</v>
      </c>
      <c r="S2481" t="s">
        <v>37</v>
      </c>
      <c r="T2481" t="str">
        <f>IF(Tabela1[[#This Row],[STATUS_NEGOCIO]]="Enviar E-mail",1,"")</f>
        <v/>
      </c>
      <c r="U2481" t="str">
        <f>TEXT(Tabela1[[#This Row],[DATA]],"dd/mm/aaaa")</f>
        <v>24/04/2026</v>
      </c>
    </row>
    <row r="2482" spans="1:21" x14ac:dyDescent="0.25">
      <c r="A2482" s="9">
        <v>46136.631018518521</v>
      </c>
      <c r="B2482" t="s">
        <v>19</v>
      </c>
      <c r="C2482" t="s">
        <v>37</v>
      </c>
      <c r="D2482">
        <v>302</v>
      </c>
      <c r="E2482">
        <v>28584852000192</v>
      </c>
      <c r="F2482">
        <v>775</v>
      </c>
      <c r="G2482" s="10">
        <v>177705412045391</v>
      </c>
      <c r="H2482" t="s">
        <v>469</v>
      </c>
      <c r="I2482">
        <v>3003</v>
      </c>
      <c r="J2482" t="s">
        <v>22</v>
      </c>
      <c r="K2482" t="s">
        <v>23</v>
      </c>
      <c r="L2482" t="s">
        <v>31</v>
      </c>
      <c r="M2482" t="s">
        <v>636</v>
      </c>
      <c r="N2482" t="s">
        <v>53</v>
      </c>
      <c r="O2482">
        <v>128</v>
      </c>
      <c r="R2482" s="11">
        <v>8.1018518518518516E-5</v>
      </c>
      <c r="S2482" t="s">
        <v>37</v>
      </c>
      <c r="T2482" t="str">
        <f>IF(Tabela1[[#This Row],[STATUS_NEGOCIO]]="Enviar E-mail",1,"")</f>
        <v/>
      </c>
      <c r="U2482" t="str">
        <f>TEXT(Tabela1[[#This Row],[DATA]],"dd/mm/aaaa")</f>
        <v>24/04/2026</v>
      </c>
    </row>
    <row r="2483" spans="1:21" x14ac:dyDescent="0.25">
      <c r="A2483" s="9">
        <v>46136.631064814814</v>
      </c>
      <c r="B2483" t="s">
        <v>19</v>
      </c>
      <c r="C2483" t="s">
        <v>37</v>
      </c>
      <c r="D2483">
        <v>303</v>
      </c>
      <c r="E2483">
        <v>28605533000116</v>
      </c>
      <c r="F2483">
        <v>776</v>
      </c>
      <c r="G2483" s="10">
        <v>177705412445411</v>
      </c>
      <c r="H2483" t="s">
        <v>641</v>
      </c>
      <c r="I2483">
        <v>3003</v>
      </c>
      <c r="J2483" t="s">
        <v>22</v>
      </c>
      <c r="K2483" t="s">
        <v>23</v>
      </c>
      <c r="L2483" t="s">
        <v>31</v>
      </c>
      <c r="M2483" t="s">
        <v>636</v>
      </c>
      <c r="N2483" t="s">
        <v>53</v>
      </c>
      <c r="O2483">
        <v>128</v>
      </c>
      <c r="R2483" s="11">
        <v>8.1018518518518516E-5</v>
      </c>
      <c r="S2483" t="s">
        <v>37</v>
      </c>
      <c r="T2483" t="str">
        <f>IF(Tabela1[[#This Row],[STATUS_NEGOCIO]]="Enviar E-mail",1,"")</f>
        <v/>
      </c>
      <c r="U2483" t="str">
        <f>TEXT(Tabela1[[#This Row],[DATA]],"dd/mm/aaaa")</f>
        <v>24/04/2026</v>
      </c>
    </row>
    <row r="2484" spans="1:21" x14ac:dyDescent="0.25">
      <c r="A2484" s="9">
        <v>46136.631203703706</v>
      </c>
      <c r="B2484" t="s">
        <v>19</v>
      </c>
      <c r="C2484" t="s">
        <v>37</v>
      </c>
      <c r="D2484">
        <v>304</v>
      </c>
      <c r="E2484">
        <v>28673609000140</v>
      </c>
      <c r="F2484">
        <v>777</v>
      </c>
      <c r="G2484" s="10">
        <v>177705413645501</v>
      </c>
      <c r="H2484" t="s">
        <v>470</v>
      </c>
      <c r="I2484">
        <v>3003</v>
      </c>
      <c r="J2484" t="s">
        <v>22</v>
      </c>
      <c r="K2484" t="s">
        <v>23</v>
      </c>
      <c r="L2484" t="s">
        <v>31</v>
      </c>
      <c r="M2484" t="s">
        <v>636</v>
      </c>
      <c r="N2484" t="s">
        <v>53</v>
      </c>
      <c r="O2484">
        <v>128</v>
      </c>
      <c r="R2484" s="11">
        <v>8.1018518518518516E-5</v>
      </c>
      <c r="S2484" t="s">
        <v>37</v>
      </c>
      <c r="T2484" t="str">
        <f>IF(Tabela1[[#This Row],[STATUS_NEGOCIO]]="Enviar E-mail",1,"")</f>
        <v/>
      </c>
      <c r="U2484" t="str">
        <f>TEXT(Tabela1[[#This Row],[DATA]],"dd/mm/aaaa")</f>
        <v>24/04/2026</v>
      </c>
    </row>
    <row r="2485" spans="1:21" x14ac:dyDescent="0.25">
      <c r="A2485" s="9">
        <v>46136.631273148145</v>
      </c>
      <c r="B2485" t="s">
        <v>19</v>
      </c>
      <c r="C2485" t="s">
        <v>37</v>
      </c>
      <c r="D2485">
        <v>305</v>
      </c>
      <c r="E2485">
        <v>28679579000180</v>
      </c>
      <c r="F2485">
        <v>778</v>
      </c>
      <c r="G2485" s="10">
        <v>177705414245521</v>
      </c>
      <c r="H2485" t="s">
        <v>196</v>
      </c>
      <c r="I2485">
        <v>3003</v>
      </c>
      <c r="J2485" t="s">
        <v>22</v>
      </c>
      <c r="K2485" t="s">
        <v>23</v>
      </c>
      <c r="L2485" t="s">
        <v>31</v>
      </c>
      <c r="M2485" t="s">
        <v>636</v>
      </c>
      <c r="N2485" t="s">
        <v>53</v>
      </c>
      <c r="O2485">
        <v>128</v>
      </c>
      <c r="R2485" s="11">
        <v>6.9444444444444444E-5</v>
      </c>
      <c r="S2485" t="s">
        <v>37</v>
      </c>
      <c r="T2485" t="str">
        <f>IF(Tabela1[[#This Row],[STATUS_NEGOCIO]]="Enviar E-mail",1,"")</f>
        <v/>
      </c>
      <c r="U2485" t="str">
        <f>TEXT(Tabela1[[#This Row],[DATA]],"dd/mm/aaaa")</f>
        <v>24/04/2026</v>
      </c>
    </row>
    <row r="2486" spans="1:21" x14ac:dyDescent="0.25">
      <c r="A2486" s="9">
        <v>46136.63140046296</v>
      </c>
      <c r="B2486" t="s">
        <v>19</v>
      </c>
      <c r="C2486" t="s">
        <v>20</v>
      </c>
      <c r="D2486">
        <v>306</v>
      </c>
      <c r="E2486">
        <v>28757458000109</v>
      </c>
      <c r="F2486">
        <v>779</v>
      </c>
      <c r="G2486" s="10">
        <v>177705415345541</v>
      </c>
      <c r="H2486" t="s">
        <v>471</v>
      </c>
      <c r="I2486">
        <v>3003</v>
      </c>
      <c r="J2486" t="s">
        <v>22</v>
      </c>
      <c r="K2486" t="s">
        <v>23</v>
      </c>
      <c r="L2486" t="s">
        <v>265</v>
      </c>
      <c r="M2486" t="s">
        <v>636</v>
      </c>
      <c r="N2486" t="s">
        <v>26</v>
      </c>
      <c r="O2486">
        <v>16</v>
      </c>
      <c r="R2486" s="11">
        <v>4.6296296296296294E-5</v>
      </c>
      <c r="S2486" t="s">
        <v>37</v>
      </c>
      <c r="T2486" t="str">
        <f>IF(Tabela1[[#This Row],[STATUS_NEGOCIO]]="Enviar E-mail",1,"")</f>
        <v/>
      </c>
      <c r="U2486" t="str">
        <f>TEXT(Tabela1[[#This Row],[DATA]],"dd/mm/aaaa")</f>
        <v>24/04/2026</v>
      </c>
    </row>
    <row r="2487" spans="1:21" x14ac:dyDescent="0.25">
      <c r="A2487" s="9">
        <v>46136.631550925929</v>
      </c>
      <c r="B2487" t="s">
        <v>19</v>
      </c>
      <c r="C2487" t="s">
        <v>37</v>
      </c>
      <c r="D2487">
        <v>307</v>
      </c>
      <c r="E2487">
        <v>28774621000141</v>
      </c>
      <c r="F2487">
        <v>780</v>
      </c>
      <c r="G2487" s="10">
        <v>177705416645571</v>
      </c>
      <c r="H2487" t="s">
        <v>472</v>
      </c>
      <c r="I2487" t="s">
        <v>52</v>
      </c>
      <c r="J2487" t="s">
        <v>22</v>
      </c>
      <c r="K2487" t="s">
        <v>36</v>
      </c>
      <c r="L2487" t="s">
        <v>36</v>
      </c>
      <c r="M2487" t="s">
        <v>636</v>
      </c>
      <c r="N2487" t="s">
        <v>53</v>
      </c>
      <c r="O2487">
        <v>19</v>
      </c>
      <c r="R2487" s="11">
        <v>0</v>
      </c>
      <c r="S2487" t="s">
        <v>37</v>
      </c>
      <c r="T2487" t="str">
        <f>IF(Tabela1[[#This Row],[STATUS_NEGOCIO]]="Enviar E-mail",1,"")</f>
        <v/>
      </c>
      <c r="U2487" t="str">
        <f>TEXT(Tabela1[[#This Row],[DATA]],"dd/mm/aaaa")</f>
        <v>24/04/2026</v>
      </c>
    </row>
    <row r="2488" spans="1:21" x14ac:dyDescent="0.25">
      <c r="A2488" s="9">
        <v>46136.631562499999</v>
      </c>
      <c r="B2488" t="s">
        <v>19</v>
      </c>
      <c r="C2488" t="s">
        <v>37</v>
      </c>
      <c r="D2488">
        <v>308</v>
      </c>
      <c r="E2488">
        <v>28801829000102</v>
      </c>
      <c r="F2488">
        <v>781</v>
      </c>
      <c r="G2488" s="10">
        <v>177705416745591</v>
      </c>
      <c r="H2488" t="s">
        <v>473</v>
      </c>
      <c r="I2488">
        <v>3003</v>
      </c>
      <c r="J2488" t="s">
        <v>22</v>
      </c>
      <c r="K2488" t="s">
        <v>23</v>
      </c>
      <c r="L2488" t="s">
        <v>31</v>
      </c>
      <c r="M2488" t="s">
        <v>636</v>
      </c>
      <c r="N2488" t="s">
        <v>53</v>
      </c>
      <c r="O2488">
        <v>128</v>
      </c>
      <c r="R2488" s="11">
        <v>8.1018518518518516E-5</v>
      </c>
      <c r="S2488" t="s">
        <v>37</v>
      </c>
      <c r="T2488" t="str">
        <f>IF(Tabela1[[#This Row],[STATUS_NEGOCIO]]="Enviar E-mail",1,"")</f>
        <v/>
      </c>
      <c r="U2488" t="str">
        <f>TEXT(Tabela1[[#This Row],[DATA]],"dd/mm/aaaa")</f>
        <v>24/04/2026</v>
      </c>
    </row>
    <row r="2489" spans="1:21" x14ac:dyDescent="0.25">
      <c r="A2489" s="9">
        <v>46136.631689814814</v>
      </c>
      <c r="B2489" t="s">
        <v>19</v>
      </c>
      <c r="C2489" t="s">
        <v>37</v>
      </c>
      <c r="D2489">
        <v>309</v>
      </c>
      <c r="E2489">
        <v>28804490000106</v>
      </c>
      <c r="F2489">
        <v>782</v>
      </c>
      <c r="G2489" s="10">
        <v>177705417845611</v>
      </c>
      <c r="H2489" t="s">
        <v>177</v>
      </c>
      <c r="I2489">
        <v>3003</v>
      </c>
      <c r="J2489" t="s">
        <v>22</v>
      </c>
      <c r="K2489" t="s">
        <v>23</v>
      </c>
      <c r="L2489" t="s">
        <v>31</v>
      </c>
      <c r="M2489" t="s">
        <v>636</v>
      </c>
      <c r="N2489" t="s">
        <v>53</v>
      </c>
      <c r="O2489">
        <v>128</v>
      </c>
      <c r="R2489" s="11">
        <v>8.1018518518518516E-5</v>
      </c>
      <c r="S2489" t="s">
        <v>37</v>
      </c>
      <c r="T2489" t="str">
        <f>IF(Tabela1[[#This Row],[STATUS_NEGOCIO]]="Enviar E-mail",1,"")</f>
        <v/>
      </c>
      <c r="U2489" t="str">
        <f>TEXT(Tabela1[[#This Row],[DATA]],"dd/mm/aaaa")</f>
        <v>24/04/2026</v>
      </c>
    </row>
    <row r="2490" spans="1:21" x14ac:dyDescent="0.25">
      <c r="A2490" s="9">
        <v>46136.631909722222</v>
      </c>
      <c r="B2490" t="s">
        <v>19</v>
      </c>
      <c r="C2490" t="s">
        <v>37</v>
      </c>
      <c r="D2490">
        <v>310</v>
      </c>
      <c r="E2490">
        <v>28818441000114</v>
      </c>
      <c r="F2490">
        <v>783</v>
      </c>
      <c r="G2490" s="10">
        <v>177705419745691</v>
      </c>
      <c r="H2490" t="s">
        <v>474</v>
      </c>
      <c r="I2490">
        <v>3003</v>
      </c>
      <c r="J2490" t="s">
        <v>22</v>
      </c>
      <c r="K2490" t="s">
        <v>23</v>
      </c>
      <c r="L2490" t="s">
        <v>31</v>
      </c>
      <c r="M2490" t="s">
        <v>636</v>
      </c>
      <c r="N2490" t="s">
        <v>53</v>
      </c>
      <c r="O2490">
        <v>128</v>
      </c>
      <c r="R2490" s="11">
        <v>6.9444444444444444E-5</v>
      </c>
      <c r="S2490" t="s">
        <v>37</v>
      </c>
      <c r="T2490" t="str">
        <f>IF(Tabela1[[#This Row],[STATUS_NEGOCIO]]="Enviar E-mail",1,"")</f>
        <v/>
      </c>
      <c r="U2490" t="str">
        <f>TEXT(Tabela1[[#This Row],[DATA]],"dd/mm/aaaa")</f>
        <v>24/04/2026</v>
      </c>
    </row>
    <row r="2491" spans="1:21" x14ac:dyDescent="0.25">
      <c r="A2491" s="9">
        <v>46136.632071759261</v>
      </c>
      <c r="B2491" t="s">
        <v>19</v>
      </c>
      <c r="C2491" t="s">
        <v>37</v>
      </c>
      <c r="D2491">
        <v>311</v>
      </c>
      <c r="E2491">
        <v>28839589000135</v>
      </c>
      <c r="F2491">
        <v>784</v>
      </c>
      <c r="G2491" s="10">
        <v>177705421145711</v>
      </c>
      <c r="H2491" t="s">
        <v>475</v>
      </c>
      <c r="I2491">
        <v>3003</v>
      </c>
      <c r="J2491" t="s">
        <v>22</v>
      </c>
      <c r="K2491" t="s">
        <v>23</v>
      </c>
      <c r="L2491" t="s">
        <v>31</v>
      </c>
      <c r="M2491" t="s">
        <v>636</v>
      </c>
      <c r="N2491" t="s">
        <v>53</v>
      </c>
      <c r="O2491">
        <v>128</v>
      </c>
      <c r="R2491" s="11">
        <v>8.1018518518518516E-5</v>
      </c>
      <c r="S2491" t="s">
        <v>37</v>
      </c>
      <c r="T2491" t="str">
        <f>IF(Tabela1[[#This Row],[STATUS_NEGOCIO]]="Enviar E-mail",1,"")</f>
        <v/>
      </c>
      <c r="U2491" t="str">
        <f>TEXT(Tabela1[[#This Row],[DATA]],"dd/mm/aaaa")</f>
        <v>24/04/2026</v>
      </c>
    </row>
    <row r="2492" spans="1:21" x14ac:dyDescent="0.25">
      <c r="A2492" s="9">
        <v>46136.632152777776</v>
      </c>
      <c r="B2492" t="s">
        <v>19</v>
      </c>
      <c r="C2492" t="s">
        <v>37</v>
      </c>
      <c r="D2492">
        <v>312</v>
      </c>
      <c r="E2492">
        <v>28886281000140</v>
      </c>
      <c r="F2492">
        <v>785</v>
      </c>
      <c r="G2492" s="10">
        <v>177705421845761</v>
      </c>
      <c r="H2492" t="s">
        <v>476</v>
      </c>
      <c r="I2492">
        <v>3003</v>
      </c>
      <c r="J2492" t="s">
        <v>22</v>
      </c>
      <c r="K2492" t="s">
        <v>23</v>
      </c>
      <c r="L2492" t="s">
        <v>31</v>
      </c>
      <c r="M2492" t="s">
        <v>636</v>
      </c>
      <c r="N2492" t="s">
        <v>53</v>
      </c>
      <c r="O2492">
        <v>128</v>
      </c>
      <c r="R2492" s="11">
        <v>8.1018518518518516E-5</v>
      </c>
      <c r="S2492" t="s">
        <v>37</v>
      </c>
      <c r="T2492" t="str">
        <f>IF(Tabela1[[#This Row],[STATUS_NEGOCIO]]="Enviar E-mail",1,"")</f>
        <v/>
      </c>
      <c r="U2492" t="str">
        <f>TEXT(Tabela1[[#This Row],[DATA]],"dd/mm/aaaa")</f>
        <v>24/04/2026</v>
      </c>
    </row>
    <row r="2493" spans="1:21" x14ac:dyDescent="0.25">
      <c r="A2493" s="9">
        <v>46136.632488425923</v>
      </c>
      <c r="B2493" t="s">
        <v>19</v>
      </c>
      <c r="C2493" t="s">
        <v>37</v>
      </c>
      <c r="D2493">
        <v>313</v>
      </c>
      <c r="E2493">
        <v>28889028000140</v>
      </c>
      <c r="F2493">
        <v>786</v>
      </c>
      <c r="G2493" s="10">
        <v>177705424745851</v>
      </c>
      <c r="H2493" t="s">
        <v>477</v>
      </c>
      <c r="I2493">
        <v>3003</v>
      </c>
      <c r="J2493" t="s">
        <v>22</v>
      </c>
      <c r="K2493" t="s">
        <v>23</v>
      </c>
      <c r="L2493" t="s">
        <v>31</v>
      </c>
      <c r="M2493" t="s">
        <v>636</v>
      </c>
      <c r="N2493" t="s">
        <v>53</v>
      </c>
      <c r="O2493">
        <v>128</v>
      </c>
      <c r="R2493" s="11">
        <v>8.1018518518518516E-5</v>
      </c>
      <c r="S2493" t="s">
        <v>37</v>
      </c>
      <c r="T2493" t="str">
        <f>IF(Tabela1[[#This Row],[STATUS_NEGOCIO]]="Enviar E-mail",1,"")</f>
        <v/>
      </c>
      <c r="U2493" t="str">
        <f>TEXT(Tabela1[[#This Row],[DATA]],"dd/mm/aaaa")</f>
        <v>24/04/2026</v>
      </c>
    </row>
    <row r="2494" spans="1:21" x14ac:dyDescent="0.25">
      <c r="A2494" s="9">
        <v>46136.632650462961</v>
      </c>
      <c r="B2494" t="s">
        <v>19</v>
      </c>
      <c r="C2494" t="s">
        <v>37</v>
      </c>
      <c r="D2494">
        <v>314</v>
      </c>
      <c r="E2494">
        <v>29203700000165</v>
      </c>
      <c r="F2494">
        <v>787</v>
      </c>
      <c r="G2494" s="10">
        <v>177705426145931</v>
      </c>
      <c r="H2494" t="s">
        <v>478</v>
      </c>
      <c r="I2494">
        <v>3003</v>
      </c>
      <c r="J2494" t="s">
        <v>22</v>
      </c>
      <c r="K2494" t="s">
        <v>23</v>
      </c>
      <c r="L2494" t="s">
        <v>31</v>
      </c>
      <c r="M2494" t="s">
        <v>636</v>
      </c>
      <c r="N2494" t="s">
        <v>53</v>
      </c>
      <c r="O2494">
        <v>128</v>
      </c>
      <c r="R2494" s="11">
        <v>8.1018518518518516E-5</v>
      </c>
      <c r="S2494" t="s">
        <v>37</v>
      </c>
      <c r="T2494" t="str">
        <f>IF(Tabela1[[#This Row],[STATUS_NEGOCIO]]="Enviar E-mail",1,"")</f>
        <v/>
      </c>
      <c r="U2494" t="str">
        <f>TEXT(Tabela1[[#This Row],[DATA]],"dd/mm/aaaa")</f>
        <v>24/04/2026</v>
      </c>
    </row>
    <row r="2495" spans="1:21" x14ac:dyDescent="0.25">
      <c r="A2495" s="9">
        <v>46136.632719907408</v>
      </c>
      <c r="B2495" t="s">
        <v>19</v>
      </c>
      <c r="C2495" t="s">
        <v>37</v>
      </c>
      <c r="D2495">
        <v>315</v>
      </c>
      <c r="E2495">
        <v>29230335000188</v>
      </c>
      <c r="F2495">
        <v>788</v>
      </c>
      <c r="G2495" s="10">
        <v>177705426745951</v>
      </c>
      <c r="H2495" t="s">
        <v>479</v>
      </c>
      <c r="I2495">
        <v>3003</v>
      </c>
      <c r="J2495" t="s">
        <v>22</v>
      </c>
      <c r="K2495" t="s">
        <v>23</v>
      </c>
      <c r="L2495" t="s">
        <v>31</v>
      </c>
      <c r="M2495" t="s">
        <v>636</v>
      </c>
      <c r="N2495" t="s">
        <v>53</v>
      </c>
      <c r="O2495">
        <v>128</v>
      </c>
      <c r="R2495" s="11">
        <v>8.1018518518518516E-5</v>
      </c>
      <c r="S2495" t="s">
        <v>37</v>
      </c>
      <c r="T2495" t="str">
        <f>IF(Tabela1[[#This Row],[STATUS_NEGOCIO]]="Enviar E-mail",1,"")</f>
        <v/>
      </c>
      <c r="U2495" t="str">
        <f>TEXT(Tabela1[[#This Row],[DATA]],"dd/mm/aaaa")</f>
        <v>24/04/2026</v>
      </c>
    </row>
    <row r="2496" spans="1:21" x14ac:dyDescent="0.25">
      <c r="A2496" s="9">
        <v>46136.632824074077</v>
      </c>
      <c r="B2496" t="s">
        <v>19</v>
      </c>
      <c r="C2496" t="s">
        <v>37</v>
      </c>
      <c r="D2496">
        <v>317</v>
      </c>
      <c r="E2496">
        <v>29278280000186</v>
      </c>
      <c r="F2496">
        <v>789</v>
      </c>
      <c r="G2496" s="10">
        <v>177705427645971</v>
      </c>
      <c r="H2496" t="s">
        <v>191</v>
      </c>
      <c r="I2496">
        <v>3003</v>
      </c>
      <c r="J2496" t="s">
        <v>22</v>
      </c>
      <c r="K2496" t="s">
        <v>23</v>
      </c>
      <c r="L2496" t="s">
        <v>31</v>
      </c>
      <c r="M2496" t="s">
        <v>636</v>
      </c>
      <c r="N2496" t="s">
        <v>53</v>
      </c>
      <c r="O2496">
        <v>147</v>
      </c>
      <c r="R2496" s="11">
        <v>8.1018518518518516E-5</v>
      </c>
      <c r="S2496" t="s">
        <v>37</v>
      </c>
      <c r="T2496" t="str">
        <f>IF(Tabela1[[#This Row],[STATUS_NEGOCIO]]="Enviar E-mail",1,"")</f>
        <v/>
      </c>
      <c r="U2496" t="str">
        <f>TEXT(Tabela1[[#This Row],[DATA]],"dd/mm/aaaa")</f>
        <v>24/04/2026</v>
      </c>
    </row>
    <row r="2497" spans="1:21" x14ac:dyDescent="0.25">
      <c r="A2497" s="9">
        <v>46136.633020833331</v>
      </c>
      <c r="B2497" t="s">
        <v>19</v>
      </c>
      <c r="C2497" t="s">
        <v>37</v>
      </c>
      <c r="D2497">
        <v>318</v>
      </c>
      <c r="E2497">
        <v>29313890000173</v>
      </c>
      <c r="F2497">
        <v>790</v>
      </c>
      <c r="G2497" s="10">
        <v>177705429346061</v>
      </c>
      <c r="H2497" t="s">
        <v>481</v>
      </c>
      <c r="I2497" t="s">
        <v>52</v>
      </c>
      <c r="J2497" t="s">
        <v>22</v>
      </c>
      <c r="K2497" t="s">
        <v>36</v>
      </c>
      <c r="L2497" t="s">
        <v>36</v>
      </c>
      <c r="M2497" t="s">
        <v>636</v>
      </c>
      <c r="N2497" t="s">
        <v>53</v>
      </c>
      <c r="O2497">
        <v>1</v>
      </c>
      <c r="R2497" s="11">
        <v>0</v>
      </c>
      <c r="S2497" t="s">
        <v>37</v>
      </c>
      <c r="T2497" t="str">
        <f>IF(Tabela1[[#This Row],[STATUS_NEGOCIO]]="Enviar E-mail",1,"")</f>
        <v/>
      </c>
      <c r="U2497" t="str">
        <f>TEXT(Tabela1[[#This Row],[DATA]],"dd/mm/aaaa")</f>
        <v>24/04/2026</v>
      </c>
    </row>
    <row r="2498" spans="1:21" x14ac:dyDescent="0.25">
      <c r="A2498" s="9">
        <v>46136.633321759262</v>
      </c>
      <c r="B2498" t="s">
        <v>19</v>
      </c>
      <c r="C2498" t="s">
        <v>37</v>
      </c>
      <c r="D2498">
        <v>322</v>
      </c>
      <c r="E2498">
        <v>29549276000105</v>
      </c>
      <c r="F2498">
        <v>791</v>
      </c>
      <c r="G2498" s="10">
        <v>177705431946251</v>
      </c>
      <c r="H2498" t="s">
        <v>484</v>
      </c>
      <c r="I2498">
        <v>3003</v>
      </c>
      <c r="J2498" t="s">
        <v>22</v>
      </c>
      <c r="K2498" t="s">
        <v>23</v>
      </c>
      <c r="L2498" t="s">
        <v>31</v>
      </c>
      <c r="M2498" t="s">
        <v>636</v>
      </c>
      <c r="N2498" t="s">
        <v>53</v>
      </c>
      <c r="O2498">
        <v>128</v>
      </c>
      <c r="R2498" s="11">
        <v>6.9444444444444444E-5</v>
      </c>
      <c r="S2498" t="s">
        <v>37</v>
      </c>
      <c r="T2498" t="str">
        <f>IF(Tabela1[[#This Row],[STATUS_NEGOCIO]]="Enviar E-mail",1,"")</f>
        <v/>
      </c>
      <c r="U2498" t="str">
        <f>TEXT(Tabela1[[#This Row],[DATA]],"dd/mm/aaaa")</f>
        <v>24/04/2026</v>
      </c>
    </row>
    <row r="2499" spans="1:21" x14ac:dyDescent="0.25">
      <c r="A2499" s="9">
        <v>46136.633379629631</v>
      </c>
      <c r="B2499" t="s">
        <v>19</v>
      </c>
      <c r="C2499" t="s">
        <v>37</v>
      </c>
      <c r="D2499">
        <v>325</v>
      </c>
      <c r="E2499">
        <v>29654365000111</v>
      </c>
      <c r="F2499">
        <v>792</v>
      </c>
      <c r="G2499" s="10">
        <v>177705432446271</v>
      </c>
      <c r="H2499" t="s">
        <v>487</v>
      </c>
      <c r="I2499">
        <v>3003</v>
      </c>
      <c r="J2499" t="s">
        <v>22</v>
      </c>
      <c r="K2499" t="s">
        <v>23</v>
      </c>
      <c r="L2499" t="s">
        <v>31</v>
      </c>
      <c r="M2499" t="s">
        <v>636</v>
      </c>
      <c r="N2499" t="s">
        <v>53</v>
      </c>
      <c r="O2499">
        <v>128</v>
      </c>
      <c r="R2499" s="11">
        <v>8.1018518518518516E-5</v>
      </c>
      <c r="S2499" t="s">
        <v>37</v>
      </c>
      <c r="T2499" t="str">
        <f>IF(Tabela1[[#This Row],[STATUS_NEGOCIO]]="Enviar E-mail",1,"")</f>
        <v/>
      </c>
      <c r="U2499" t="str">
        <f>TEXT(Tabela1[[#This Row],[DATA]],"dd/mm/aaaa")</f>
        <v>24/04/2026</v>
      </c>
    </row>
    <row r="2500" spans="1:21" x14ac:dyDescent="0.25">
      <c r="A2500" s="9">
        <v>46136.633564814816</v>
      </c>
      <c r="B2500" t="s">
        <v>19</v>
      </c>
      <c r="C2500" t="s">
        <v>37</v>
      </c>
      <c r="D2500">
        <v>326</v>
      </c>
      <c r="E2500">
        <v>29688710000138</v>
      </c>
      <c r="F2500">
        <v>793</v>
      </c>
      <c r="G2500" s="10">
        <v>177705434046291</v>
      </c>
      <c r="H2500" t="s">
        <v>169</v>
      </c>
      <c r="I2500">
        <v>3003</v>
      </c>
      <c r="J2500" t="s">
        <v>22</v>
      </c>
      <c r="K2500" t="s">
        <v>23</v>
      </c>
      <c r="L2500" t="s">
        <v>31</v>
      </c>
      <c r="M2500" t="s">
        <v>636</v>
      </c>
      <c r="N2500" t="s">
        <v>53</v>
      </c>
      <c r="O2500">
        <v>128</v>
      </c>
      <c r="R2500" s="11">
        <v>6.9444444444444444E-5</v>
      </c>
      <c r="S2500" t="s">
        <v>37</v>
      </c>
      <c r="T2500" t="str">
        <f>IF(Tabela1[[#This Row],[STATUS_NEGOCIO]]="Enviar E-mail",1,"")</f>
        <v/>
      </c>
      <c r="U2500" t="str">
        <f>TEXT(Tabela1[[#This Row],[DATA]],"dd/mm/aaaa")</f>
        <v>24/04/2026</v>
      </c>
    </row>
    <row r="2501" spans="1:21" x14ac:dyDescent="0.25">
      <c r="A2501" s="9">
        <v>46136.633819444447</v>
      </c>
      <c r="B2501" t="s">
        <v>19</v>
      </c>
      <c r="C2501" t="s">
        <v>37</v>
      </c>
      <c r="D2501">
        <v>327</v>
      </c>
      <c r="E2501">
        <v>29732268000108</v>
      </c>
      <c r="F2501">
        <v>794</v>
      </c>
      <c r="G2501" s="10">
        <v>177705436246311</v>
      </c>
      <c r="H2501" t="s">
        <v>71</v>
      </c>
      <c r="I2501" t="s">
        <v>52</v>
      </c>
      <c r="J2501" t="s">
        <v>22</v>
      </c>
      <c r="K2501" t="s">
        <v>36</v>
      </c>
      <c r="L2501" t="s">
        <v>36</v>
      </c>
      <c r="M2501" t="s">
        <v>636</v>
      </c>
      <c r="N2501" t="s">
        <v>53</v>
      </c>
      <c r="O2501">
        <v>19</v>
      </c>
      <c r="R2501" s="11">
        <v>0</v>
      </c>
      <c r="S2501" t="s">
        <v>37</v>
      </c>
      <c r="T2501" t="str">
        <f>IF(Tabela1[[#This Row],[STATUS_NEGOCIO]]="Enviar E-mail",1,"")</f>
        <v/>
      </c>
      <c r="U2501" t="str">
        <f>TEXT(Tabela1[[#This Row],[DATA]],"dd/mm/aaaa")</f>
        <v>24/04/2026</v>
      </c>
    </row>
    <row r="2502" spans="1:21" x14ac:dyDescent="0.25">
      <c r="A2502" s="9">
        <v>46136.634074074071</v>
      </c>
      <c r="B2502" t="s">
        <v>19</v>
      </c>
      <c r="C2502" t="s">
        <v>37</v>
      </c>
      <c r="D2502">
        <v>328</v>
      </c>
      <c r="E2502">
        <v>29762098000104</v>
      </c>
      <c r="F2502">
        <v>795</v>
      </c>
      <c r="G2502" s="10">
        <v>177705438446331</v>
      </c>
      <c r="H2502" t="s">
        <v>488</v>
      </c>
      <c r="I2502" t="s">
        <v>52</v>
      </c>
      <c r="J2502" t="s">
        <v>22</v>
      </c>
      <c r="K2502" t="s">
        <v>36</v>
      </c>
      <c r="L2502" t="s">
        <v>36</v>
      </c>
      <c r="M2502" t="s">
        <v>636</v>
      </c>
      <c r="N2502" t="s">
        <v>53</v>
      </c>
      <c r="O2502">
        <v>34</v>
      </c>
      <c r="R2502" s="11">
        <v>0</v>
      </c>
      <c r="S2502" t="s">
        <v>37</v>
      </c>
      <c r="T2502" t="str">
        <f>IF(Tabela1[[#This Row],[STATUS_NEGOCIO]]="Enviar E-mail",1,"")</f>
        <v/>
      </c>
      <c r="U2502" t="str">
        <f>TEXT(Tabela1[[#This Row],[DATA]],"dd/mm/aaaa")</f>
        <v>24/04/2026</v>
      </c>
    </row>
    <row r="2503" spans="1:21" x14ac:dyDescent="0.25">
      <c r="A2503" s="9">
        <v>46136.634386574071</v>
      </c>
      <c r="B2503" t="s">
        <v>19</v>
      </c>
      <c r="C2503" t="s">
        <v>37</v>
      </c>
      <c r="D2503">
        <v>329</v>
      </c>
      <c r="E2503">
        <v>29763215000146</v>
      </c>
      <c r="F2503">
        <v>796</v>
      </c>
      <c r="G2503" s="10">
        <v>177705441146411</v>
      </c>
      <c r="H2503" t="s">
        <v>489</v>
      </c>
      <c r="I2503">
        <v>3003</v>
      </c>
      <c r="J2503" t="s">
        <v>22</v>
      </c>
      <c r="K2503" t="s">
        <v>23</v>
      </c>
      <c r="L2503" t="s">
        <v>31</v>
      </c>
      <c r="M2503" t="s">
        <v>636</v>
      </c>
      <c r="N2503" t="s">
        <v>53</v>
      </c>
      <c r="O2503">
        <v>128</v>
      </c>
      <c r="R2503" s="11">
        <v>6.9444444444444444E-5</v>
      </c>
      <c r="S2503" t="s">
        <v>37</v>
      </c>
      <c r="T2503" t="str">
        <f>IF(Tabela1[[#This Row],[STATUS_NEGOCIO]]="Enviar E-mail",1,"")</f>
        <v/>
      </c>
      <c r="U2503" t="str">
        <f>TEXT(Tabela1[[#This Row],[DATA]],"dd/mm/aaaa")</f>
        <v>24/04/2026</v>
      </c>
    </row>
    <row r="2504" spans="1:21" x14ac:dyDescent="0.25">
      <c r="A2504" s="9">
        <v>46136.634583333333</v>
      </c>
      <c r="B2504" t="s">
        <v>19</v>
      </c>
      <c r="C2504" t="s">
        <v>37</v>
      </c>
      <c r="D2504">
        <v>330</v>
      </c>
      <c r="E2504">
        <v>29804549000110</v>
      </c>
      <c r="F2504">
        <v>797</v>
      </c>
      <c r="G2504" s="10">
        <v>177705442846421</v>
      </c>
      <c r="H2504" t="s">
        <v>186</v>
      </c>
      <c r="I2504">
        <v>3003</v>
      </c>
      <c r="J2504" t="s">
        <v>22</v>
      </c>
      <c r="K2504" t="s">
        <v>23</v>
      </c>
      <c r="L2504" t="s">
        <v>31</v>
      </c>
      <c r="M2504" t="s">
        <v>636</v>
      </c>
      <c r="N2504" t="s">
        <v>53</v>
      </c>
      <c r="O2504">
        <v>128</v>
      </c>
      <c r="R2504" s="11">
        <v>8.1018518518518516E-5</v>
      </c>
      <c r="S2504" t="s">
        <v>37</v>
      </c>
      <c r="T2504" t="str">
        <f>IF(Tabela1[[#This Row],[STATUS_NEGOCIO]]="Enviar E-mail",1,"")</f>
        <v/>
      </c>
      <c r="U2504" t="str">
        <f>TEXT(Tabela1[[#This Row],[DATA]],"dd/mm/aaaa")</f>
        <v>24/04/2026</v>
      </c>
    </row>
    <row r="2505" spans="1:21" x14ac:dyDescent="0.25">
      <c r="A2505" s="9">
        <v>46136.634733796294</v>
      </c>
      <c r="B2505" t="s">
        <v>19</v>
      </c>
      <c r="C2505" t="s">
        <v>37</v>
      </c>
      <c r="D2505">
        <v>331</v>
      </c>
      <c r="E2505">
        <v>29971512000187</v>
      </c>
      <c r="F2505">
        <v>798</v>
      </c>
      <c r="G2505" s="10">
        <v>177705444146501</v>
      </c>
      <c r="H2505" t="s">
        <v>490</v>
      </c>
      <c r="I2505">
        <v>3003</v>
      </c>
      <c r="J2505" t="s">
        <v>22</v>
      </c>
      <c r="K2505" t="s">
        <v>23</v>
      </c>
      <c r="L2505" t="s">
        <v>31</v>
      </c>
      <c r="M2505" t="s">
        <v>636</v>
      </c>
      <c r="N2505" t="s">
        <v>53</v>
      </c>
      <c r="O2505">
        <v>128</v>
      </c>
      <c r="R2505" s="11">
        <v>8.1018518518518516E-5</v>
      </c>
      <c r="S2505" t="s">
        <v>37</v>
      </c>
      <c r="T2505" t="str">
        <f>IF(Tabela1[[#This Row],[STATUS_NEGOCIO]]="Enviar E-mail",1,"")</f>
        <v/>
      </c>
      <c r="U2505" t="str">
        <f>TEXT(Tabela1[[#This Row],[DATA]],"dd/mm/aaaa")</f>
        <v>24/04/2026</v>
      </c>
    </row>
    <row r="2506" spans="1:21" x14ac:dyDescent="0.25">
      <c r="A2506" s="9">
        <v>46136.634756944448</v>
      </c>
      <c r="B2506" t="s">
        <v>19</v>
      </c>
      <c r="C2506" t="s">
        <v>37</v>
      </c>
      <c r="D2506">
        <v>332</v>
      </c>
      <c r="E2506">
        <v>29976990000180</v>
      </c>
      <c r="F2506">
        <v>799</v>
      </c>
      <c r="G2506" s="10">
        <v>177705444346541</v>
      </c>
      <c r="H2506" t="s">
        <v>491</v>
      </c>
      <c r="I2506">
        <v>3003</v>
      </c>
      <c r="J2506" t="s">
        <v>22</v>
      </c>
      <c r="K2506" t="s">
        <v>23</v>
      </c>
      <c r="L2506" t="s">
        <v>31</v>
      </c>
      <c r="M2506" t="s">
        <v>636</v>
      </c>
      <c r="N2506" t="s">
        <v>53</v>
      </c>
      <c r="O2506">
        <v>128</v>
      </c>
      <c r="R2506" s="11">
        <v>8.1018518518518516E-5</v>
      </c>
      <c r="S2506" t="s">
        <v>37</v>
      </c>
      <c r="T2506" t="str">
        <f>IF(Tabela1[[#This Row],[STATUS_NEGOCIO]]="Enviar E-mail",1,"")</f>
        <v/>
      </c>
      <c r="U2506" t="str">
        <f>TEXT(Tabela1[[#This Row],[DATA]],"dd/mm/aaaa")</f>
        <v>24/04/2026</v>
      </c>
    </row>
    <row r="2507" spans="1:21" x14ac:dyDescent="0.25">
      <c r="A2507" s="9">
        <v>46136.634930555556</v>
      </c>
      <c r="B2507" t="s">
        <v>19</v>
      </c>
      <c r="C2507" t="s">
        <v>37</v>
      </c>
      <c r="D2507">
        <v>333</v>
      </c>
      <c r="E2507">
        <v>30116263000121</v>
      </c>
      <c r="F2507">
        <v>800</v>
      </c>
      <c r="G2507" s="10">
        <v>177705445846581</v>
      </c>
      <c r="H2507" t="s">
        <v>492</v>
      </c>
      <c r="I2507" t="s">
        <v>52</v>
      </c>
      <c r="J2507" t="s">
        <v>22</v>
      </c>
      <c r="K2507" t="s">
        <v>36</v>
      </c>
      <c r="L2507" t="s">
        <v>36</v>
      </c>
      <c r="M2507" t="s">
        <v>636</v>
      </c>
      <c r="N2507" t="s">
        <v>53</v>
      </c>
      <c r="O2507">
        <v>19</v>
      </c>
      <c r="R2507" s="11">
        <v>0</v>
      </c>
      <c r="S2507" t="s">
        <v>37</v>
      </c>
      <c r="T2507" t="str">
        <f>IF(Tabela1[[#This Row],[STATUS_NEGOCIO]]="Enviar E-mail",1,"")</f>
        <v/>
      </c>
      <c r="U2507" t="str">
        <f>TEXT(Tabela1[[#This Row],[DATA]],"dd/mm/aaaa")</f>
        <v>24/04/2026</v>
      </c>
    </row>
    <row r="2508" spans="1:21" x14ac:dyDescent="0.25">
      <c r="A2508" s="9">
        <v>46136.634930555556</v>
      </c>
      <c r="B2508" t="s">
        <v>19</v>
      </c>
      <c r="C2508" t="s">
        <v>37</v>
      </c>
      <c r="D2508">
        <v>334</v>
      </c>
      <c r="E2508">
        <v>30162531000141</v>
      </c>
      <c r="F2508">
        <v>801</v>
      </c>
      <c r="G2508" s="10">
        <v>177705445846601</v>
      </c>
      <c r="H2508" t="s">
        <v>167</v>
      </c>
      <c r="I2508">
        <v>3003</v>
      </c>
      <c r="J2508" t="s">
        <v>22</v>
      </c>
      <c r="K2508" t="s">
        <v>23</v>
      </c>
      <c r="L2508" t="s">
        <v>31</v>
      </c>
      <c r="M2508" t="s">
        <v>636</v>
      </c>
      <c r="N2508" t="s">
        <v>53</v>
      </c>
      <c r="O2508">
        <v>128</v>
      </c>
      <c r="R2508" s="11">
        <v>8.1018518518518516E-5</v>
      </c>
      <c r="S2508" t="s">
        <v>37</v>
      </c>
      <c r="T2508" t="str">
        <f>IF(Tabela1[[#This Row],[STATUS_NEGOCIO]]="Enviar E-mail",1,"")</f>
        <v/>
      </c>
      <c r="U2508" t="str">
        <f>TEXT(Tabela1[[#This Row],[DATA]],"dd/mm/aaaa")</f>
        <v>24/04/2026</v>
      </c>
    </row>
    <row r="2509" spans="1:21" x14ac:dyDescent="0.25">
      <c r="A2509" s="9">
        <v>46136.635439814818</v>
      </c>
      <c r="B2509" t="s">
        <v>19</v>
      </c>
      <c r="C2509" t="s">
        <v>37</v>
      </c>
      <c r="D2509">
        <v>335</v>
      </c>
      <c r="E2509">
        <v>30165203000107</v>
      </c>
      <c r="F2509">
        <v>802</v>
      </c>
      <c r="G2509" s="10">
        <v>177705450246621</v>
      </c>
      <c r="H2509" t="s">
        <v>89</v>
      </c>
      <c r="I2509">
        <v>3003</v>
      </c>
      <c r="J2509" t="s">
        <v>22</v>
      </c>
      <c r="K2509" t="s">
        <v>23</v>
      </c>
      <c r="L2509" t="s">
        <v>31</v>
      </c>
      <c r="M2509" t="s">
        <v>636</v>
      </c>
      <c r="N2509" t="s">
        <v>53</v>
      </c>
      <c r="O2509">
        <v>128</v>
      </c>
      <c r="R2509" s="11">
        <v>8.1018518518518516E-5</v>
      </c>
      <c r="S2509" t="s">
        <v>37</v>
      </c>
      <c r="T2509" t="str">
        <f>IF(Tabela1[[#This Row],[STATUS_NEGOCIO]]="Enviar E-mail",1,"")</f>
        <v/>
      </c>
      <c r="U2509" t="str">
        <f>TEXT(Tabela1[[#This Row],[DATA]],"dd/mm/aaaa")</f>
        <v>24/04/2026</v>
      </c>
    </row>
    <row r="2510" spans="1:21" x14ac:dyDescent="0.25">
      <c r="A2510" s="9">
        <v>46136.635648148149</v>
      </c>
      <c r="B2510" t="s">
        <v>19</v>
      </c>
      <c r="C2510" t="s">
        <v>37</v>
      </c>
      <c r="D2510">
        <v>336</v>
      </c>
      <c r="E2510">
        <v>30168759000149</v>
      </c>
      <c r="F2510">
        <v>803</v>
      </c>
      <c r="G2510" s="10">
        <v>177705452046681</v>
      </c>
      <c r="H2510" t="s">
        <v>493</v>
      </c>
      <c r="I2510" t="s">
        <v>52</v>
      </c>
      <c r="J2510" t="s">
        <v>22</v>
      </c>
      <c r="K2510" t="s">
        <v>36</v>
      </c>
      <c r="L2510" t="s">
        <v>36</v>
      </c>
      <c r="M2510" t="s">
        <v>636</v>
      </c>
      <c r="N2510" t="s">
        <v>53</v>
      </c>
      <c r="O2510">
        <v>1</v>
      </c>
      <c r="R2510" s="11">
        <v>0</v>
      </c>
      <c r="S2510" t="s">
        <v>37</v>
      </c>
      <c r="T2510" t="str">
        <f>IF(Tabela1[[#This Row],[STATUS_NEGOCIO]]="Enviar E-mail",1,"")</f>
        <v/>
      </c>
      <c r="U2510" t="str">
        <f>TEXT(Tabela1[[#This Row],[DATA]],"dd/mm/aaaa")</f>
        <v>24/04/2026</v>
      </c>
    </row>
    <row r="2511" spans="1:21" x14ac:dyDescent="0.25">
      <c r="A2511" s="9">
        <v>46136.635659722226</v>
      </c>
      <c r="B2511" t="s">
        <v>19</v>
      </c>
      <c r="C2511" t="s">
        <v>37</v>
      </c>
      <c r="D2511">
        <v>337</v>
      </c>
      <c r="E2511">
        <v>30182814000155</v>
      </c>
      <c r="F2511">
        <v>804</v>
      </c>
      <c r="G2511" s="10">
        <v>177705452146691</v>
      </c>
      <c r="H2511" t="s">
        <v>494</v>
      </c>
      <c r="I2511">
        <v>3003</v>
      </c>
      <c r="J2511" t="s">
        <v>22</v>
      </c>
      <c r="K2511" t="s">
        <v>23</v>
      </c>
      <c r="L2511" t="s">
        <v>31</v>
      </c>
      <c r="M2511" t="s">
        <v>636</v>
      </c>
      <c r="N2511" t="s">
        <v>53</v>
      </c>
      <c r="O2511">
        <v>128</v>
      </c>
      <c r="R2511" s="11">
        <v>8.1018518518518516E-5</v>
      </c>
      <c r="S2511" t="s">
        <v>37</v>
      </c>
      <c r="T2511" t="str">
        <f>IF(Tabela1[[#This Row],[STATUS_NEGOCIO]]="Enviar E-mail",1,"")</f>
        <v/>
      </c>
      <c r="U2511" t="str">
        <f>TEXT(Tabela1[[#This Row],[DATA]],"dd/mm/aaaa")</f>
        <v>24/04/2026</v>
      </c>
    </row>
    <row r="2512" spans="1:21" x14ac:dyDescent="0.25">
      <c r="A2512" s="9">
        <v>46136.635729166665</v>
      </c>
      <c r="B2512" t="s">
        <v>19</v>
      </c>
      <c r="C2512" t="s">
        <v>20</v>
      </c>
      <c r="D2512">
        <v>338</v>
      </c>
      <c r="E2512">
        <v>30220686000197</v>
      </c>
      <c r="F2512">
        <v>805</v>
      </c>
      <c r="G2512" s="10">
        <v>177705452746721</v>
      </c>
      <c r="H2512" t="s">
        <v>495</v>
      </c>
      <c r="I2512">
        <v>3003</v>
      </c>
      <c r="J2512" t="s">
        <v>22</v>
      </c>
      <c r="K2512" t="s">
        <v>23</v>
      </c>
      <c r="L2512" t="s">
        <v>265</v>
      </c>
      <c r="M2512" t="s">
        <v>636</v>
      </c>
      <c r="N2512" t="s">
        <v>32</v>
      </c>
      <c r="O2512">
        <v>16</v>
      </c>
      <c r="R2512" s="11">
        <v>3.0092592592592595E-4</v>
      </c>
      <c r="S2512" s="11">
        <v>2.7777777777777778E-4</v>
      </c>
      <c r="T2512" t="str">
        <f>IF(Tabela1[[#This Row],[STATUS_NEGOCIO]]="Enviar E-mail",1,"")</f>
        <v/>
      </c>
      <c r="U2512" t="str">
        <f>TEXT(Tabela1[[#This Row],[DATA]],"dd/mm/aaaa")</f>
        <v>24/04/2026</v>
      </c>
    </row>
    <row r="2513" spans="1:21" x14ac:dyDescent="0.25">
      <c r="A2513" s="9">
        <v>46136.635833333334</v>
      </c>
      <c r="B2513" t="s">
        <v>19</v>
      </c>
      <c r="C2513" t="s">
        <v>37</v>
      </c>
      <c r="D2513">
        <v>340</v>
      </c>
      <c r="E2513">
        <v>30301105000141</v>
      </c>
      <c r="F2513">
        <v>806</v>
      </c>
      <c r="G2513" s="10">
        <v>177705453646781</v>
      </c>
      <c r="H2513" t="s">
        <v>496</v>
      </c>
      <c r="I2513">
        <v>3003</v>
      </c>
      <c r="J2513" t="s">
        <v>22</v>
      </c>
      <c r="K2513" t="s">
        <v>23</v>
      </c>
      <c r="L2513" t="s">
        <v>31</v>
      </c>
      <c r="M2513" t="s">
        <v>636</v>
      </c>
      <c r="N2513" t="s">
        <v>53</v>
      </c>
      <c r="O2513">
        <v>128</v>
      </c>
      <c r="R2513" s="11">
        <v>6.9444444444444444E-5</v>
      </c>
      <c r="S2513" t="s">
        <v>37</v>
      </c>
      <c r="T2513" t="str">
        <f>IF(Tabela1[[#This Row],[STATUS_NEGOCIO]]="Enviar E-mail",1,"")</f>
        <v/>
      </c>
      <c r="U2513" t="str">
        <f>TEXT(Tabela1[[#This Row],[DATA]],"dd/mm/aaaa")</f>
        <v>24/04/2026</v>
      </c>
    </row>
    <row r="2514" spans="1:21" x14ac:dyDescent="0.25">
      <c r="A2514" s="9">
        <v>46136.636018518519</v>
      </c>
      <c r="B2514" t="s">
        <v>19</v>
      </c>
      <c r="C2514" t="s">
        <v>37</v>
      </c>
      <c r="D2514">
        <v>342</v>
      </c>
      <c r="E2514">
        <v>30540991000166</v>
      </c>
      <c r="F2514">
        <v>807</v>
      </c>
      <c r="G2514" s="10">
        <v>177705455246861</v>
      </c>
      <c r="H2514" t="s">
        <v>497</v>
      </c>
      <c r="I2514">
        <v>3003</v>
      </c>
      <c r="J2514" t="s">
        <v>22</v>
      </c>
      <c r="K2514" t="s">
        <v>23</v>
      </c>
      <c r="L2514" t="s">
        <v>31</v>
      </c>
      <c r="M2514" t="s">
        <v>636</v>
      </c>
      <c r="N2514" t="s">
        <v>53</v>
      </c>
      <c r="O2514">
        <v>128</v>
      </c>
      <c r="R2514" s="11">
        <v>8.1018518518518516E-5</v>
      </c>
      <c r="S2514" t="s">
        <v>37</v>
      </c>
      <c r="T2514" t="str">
        <f>IF(Tabela1[[#This Row],[STATUS_NEGOCIO]]="Enviar E-mail",1,"")</f>
        <v/>
      </c>
      <c r="U2514" t="str">
        <f>TEXT(Tabela1[[#This Row],[DATA]],"dd/mm/aaaa")</f>
        <v>24/04/2026</v>
      </c>
    </row>
    <row r="2515" spans="1:21" x14ac:dyDescent="0.25">
      <c r="A2515" s="9">
        <v>46136.636134259257</v>
      </c>
      <c r="B2515" t="s">
        <v>19</v>
      </c>
      <c r="C2515" t="s">
        <v>37</v>
      </c>
      <c r="D2515">
        <v>343</v>
      </c>
      <c r="E2515">
        <v>30546429000140</v>
      </c>
      <c r="F2515">
        <v>808</v>
      </c>
      <c r="G2515" s="10">
        <v>177705456246881</v>
      </c>
      <c r="H2515" t="s">
        <v>498</v>
      </c>
      <c r="I2515">
        <v>3003</v>
      </c>
      <c r="J2515" t="s">
        <v>22</v>
      </c>
      <c r="K2515" t="s">
        <v>23</v>
      </c>
      <c r="L2515" t="s">
        <v>31</v>
      </c>
      <c r="M2515" t="s">
        <v>636</v>
      </c>
      <c r="N2515" t="s">
        <v>53</v>
      </c>
      <c r="O2515">
        <v>128</v>
      </c>
      <c r="R2515" s="11">
        <v>8.1018518518518516E-5</v>
      </c>
      <c r="S2515" t="s">
        <v>37</v>
      </c>
      <c r="T2515" t="str">
        <f>IF(Tabela1[[#This Row],[STATUS_NEGOCIO]]="Enviar E-mail",1,"")</f>
        <v/>
      </c>
      <c r="U2515" t="str">
        <f>TEXT(Tabela1[[#This Row],[DATA]],"dd/mm/aaaa")</f>
        <v>24/04/2026</v>
      </c>
    </row>
    <row r="2516" spans="1:21" x14ac:dyDescent="0.25">
      <c r="A2516" s="9">
        <v>46136.636319444442</v>
      </c>
      <c r="B2516" t="s">
        <v>19</v>
      </c>
      <c r="C2516" t="s">
        <v>37</v>
      </c>
      <c r="D2516">
        <v>344</v>
      </c>
      <c r="E2516">
        <v>30548467000131</v>
      </c>
      <c r="F2516">
        <v>809</v>
      </c>
      <c r="G2516" s="10">
        <v>177705457847011</v>
      </c>
      <c r="H2516" t="s">
        <v>499</v>
      </c>
      <c r="I2516" t="s">
        <v>52</v>
      </c>
      <c r="J2516" t="s">
        <v>22</v>
      </c>
      <c r="K2516" t="s">
        <v>36</v>
      </c>
      <c r="L2516" t="s">
        <v>36</v>
      </c>
      <c r="M2516" t="s">
        <v>636</v>
      </c>
      <c r="N2516" t="s">
        <v>53</v>
      </c>
      <c r="O2516">
        <v>1</v>
      </c>
      <c r="R2516" s="11">
        <v>0</v>
      </c>
      <c r="S2516" t="s">
        <v>37</v>
      </c>
      <c r="T2516" t="str">
        <f>IF(Tabela1[[#This Row],[STATUS_NEGOCIO]]="Enviar E-mail",1,"")</f>
        <v/>
      </c>
      <c r="U2516" t="str">
        <f>TEXT(Tabela1[[#This Row],[DATA]],"dd/mm/aaaa")</f>
        <v>24/04/2026</v>
      </c>
    </row>
    <row r="2517" spans="1:21" x14ac:dyDescent="0.25">
      <c r="A2517" s="9">
        <v>46136.636481481481</v>
      </c>
      <c r="B2517" t="s">
        <v>19</v>
      </c>
      <c r="C2517" t="s">
        <v>37</v>
      </c>
      <c r="D2517">
        <v>345</v>
      </c>
      <c r="E2517">
        <v>30603615000173</v>
      </c>
      <c r="F2517">
        <v>810</v>
      </c>
      <c r="G2517" s="10">
        <v>177705459247091</v>
      </c>
      <c r="H2517" t="s">
        <v>500</v>
      </c>
      <c r="I2517">
        <v>3003</v>
      </c>
      <c r="J2517" t="s">
        <v>22</v>
      </c>
      <c r="K2517" t="s">
        <v>23</v>
      </c>
      <c r="L2517" t="s">
        <v>31</v>
      </c>
      <c r="M2517" t="s">
        <v>636</v>
      </c>
      <c r="N2517" t="s">
        <v>53</v>
      </c>
      <c r="O2517">
        <v>128</v>
      </c>
      <c r="R2517" s="11">
        <v>8.1018518518518516E-5</v>
      </c>
      <c r="S2517" t="s">
        <v>37</v>
      </c>
      <c r="T2517" t="str">
        <f>IF(Tabela1[[#This Row],[STATUS_NEGOCIO]]="Enviar E-mail",1,"")</f>
        <v/>
      </c>
      <c r="U2517" t="str">
        <f>TEXT(Tabela1[[#This Row],[DATA]],"dd/mm/aaaa")</f>
        <v>24/04/2026</v>
      </c>
    </row>
    <row r="2518" spans="1:21" x14ac:dyDescent="0.25">
      <c r="A2518" s="9">
        <v>46136.636678240742</v>
      </c>
      <c r="B2518" t="s">
        <v>19</v>
      </c>
      <c r="C2518" t="s">
        <v>37</v>
      </c>
      <c r="D2518">
        <v>346</v>
      </c>
      <c r="E2518">
        <v>30704910000116</v>
      </c>
      <c r="F2518">
        <v>811</v>
      </c>
      <c r="G2518" s="10">
        <v>177705460947171</v>
      </c>
      <c r="H2518" t="s">
        <v>501</v>
      </c>
      <c r="I2518">
        <v>3003</v>
      </c>
      <c r="J2518" t="s">
        <v>22</v>
      </c>
      <c r="K2518" t="s">
        <v>23</v>
      </c>
      <c r="L2518" t="s">
        <v>31</v>
      </c>
      <c r="M2518" t="s">
        <v>636</v>
      </c>
      <c r="N2518" t="s">
        <v>53</v>
      </c>
      <c r="O2518">
        <v>128</v>
      </c>
      <c r="R2518" s="11">
        <v>8.1018518518518516E-5</v>
      </c>
      <c r="S2518" t="s">
        <v>37</v>
      </c>
      <c r="T2518" t="str">
        <f>IF(Tabela1[[#This Row],[STATUS_NEGOCIO]]="Enviar E-mail",1,"")</f>
        <v/>
      </c>
      <c r="U2518" t="str">
        <f>TEXT(Tabela1[[#This Row],[DATA]],"dd/mm/aaaa")</f>
        <v>24/04/2026</v>
      </c>
    </row>
    <row r="2519" spans="1:21" x14ac:dyDescent="0.25">
      <c r="A2519" s="9">
        <v>46136.636678240742</v>
      </c>
      <c r="B2519" t="s">
        <v>19</v>
      </c>
      <c r="C2519" t="s">
        <v>37</v>
      </c>
      <c r="D2519">
        <v>347</v>
      </c>
      <c r="E2519">
        <v>30780625000184</v>
      </c>
      <c r="F2519">
        <v>812</v>
      </c>
      <c r="G2519" s="10">
        <v>177705460947181</v>
      </c>
      <c r="H2519" t="s">
        <v>502</v>
      </c>
      <c r="I2519">
        <v>3003</v>
      </c>
      <c r="J2519" t="s">
        <v>22</v>
      </c>
      <c r="K2519" t="s">
        <v>23</v>
      </c>
      <c r="L2519" t="s">
        <v>31</v>
      </c>
      <c r="M2519" t="s">
        <v>636</v>
      </c>
      <c r="N2519" t="s">
        <v>53</v>
      </c>
      <c r="O2519">
        <v>128</v>
      </c>
      <c r="R2519" s="11">
        <v>6.9444444444444444E-5</v>
      </c>
      <c r="S2519" t="s">
        <v>37</v>
      </c>
      <c r="T2519" t="str">
        <f>IF(Tabela1[[#This Row],[STATUS_NEGOCIO]]="Enviar E-mail",1,"")</f>
        <v/>
      </c>
      <c r="U2519" t="str">
        <f>TEXT(Tabela1[[#This Row],[DATA]],"dd/mm/aaaa")</f>
        <v>24/04/2026</v>
      </c>
    </row>
    <row r="2520" spans="1:21" x14ac:dyDescent="0.25">
      <c r="A2520" s="9">
        <v>46136.636817129627</v>
      </c>
      <c r="B2520" t="s">
        <v>19</v>
      </c>
      <c r="C2520" t="s">
        <v>37</v>
      </c>
      <c r="D2520">
        <v>348</v>
      </c>
      <c r="E2520">
        <v>30828743000115</v>
      </c>
      <c r="F2520">
        <v>813</v>
      </c>
      <c r="G2520" s="10">
        <v>177705462147221</v>
      </c>
      <c r="H2520" t="s">
        <v>503</v>
      </c>
      <c r="I2520">
        <v>3003</v>
      </c>
      <c r="J2520" t="s">
        <v>22</v>
      </c>
      <c r="K2520" t="s">
        <v>23</v>
      </c>
      <c r="L2520" t="s">
        <v>31</v>
      </c>
      <c r="M2520" t="s">
        <v>636</v>
      </c>
      <c r="N2520" t="s">
        <v>53</v>
      </c>
      <c r="O2520">
        <v>128</v>
      </c>
      <c r="R2520" s="11">
        <v>8.1018518518518516E-5</v>
      </c>
      <c r="S2520" t="s">
        <v>37</v>
      </c>
      <c r="T2520" t="str">
        <f>IF(Tabela1[[#This Row],[STATUS_NEGOCIO]]="Enviar E-mail",1,"")</f>
        <v/>
      </c>
      <c r="U2520" t="str">
        <f>TEXT(Tabela1[[#This Row],[DATA]],"dd/mm/aaaa")</f>
        <v>24/04/2026</v>
      </c>
    </row>
    <row r="2521" spans="1:21" x14ac:dyDescent="0.25">
      <c r="A2521" s="9">
        <v>46136.63689814815</v>
      </c>
      <c r="B2521" t="s">
        <v>19</v>
      </c>
      <c r="C2521" t="s">
        <v>37</v>
      </c>
      <c r="D2521">
        <v>349</v>
      </c>
      <c r="E2521">
        <v>30905379000140</v>
      </c>
      <c r="F2521">
        <v>814</v>
      </c>
      <c r="G2521" s="10">
        <v>177705462847241</v>
      </c>
      <c r="H2521" t="s">
        <v>108</v>
      </c>
      <c r="I2521">
        <v>3003</v>
      </c>
      <c r="J2521" t="s">
        <v>22</v>
      </c>
      <c r="K2521" t="s">
        <v>23</v>
      </c>
      <c r="L2521" t="s">
        <v>31</v>
      </c>
      <c r="M2521" t="s">
        <v>636</v>
      </c>
      <c r="N2521" t="s">
        <v>53</v>
      </c>
      <c r="O2521">
        <v>128</v>
      </c>
      <c r="R2521" s="11">
        <v>8.1018518518518516E-5</v>
      </c>
      <c r="S2521" t="s">
        <v>37</v>
      </c>
      <c r="T2521" t="str">
        <f>IF(Tabela1[[#This Row],[STATUS_NEGOCIO]]="Enviar E-mail",1,"")</f>
        <v/>
      </c>
      <c r="U2521" t="str">
        <f>TEXT(Tabela1[[#This Row],[DATA]],"dd/mm/aaaa")</f>
        <v>24/04/2026</v>
      </c>
    </row>
    <row r="2522" spans="1:21" x14ac:dyDescent="0.25">
      <c r="A2522" s="9">
        <v>46136.643993055557</v>
      </c>
      <c r="B2522" t="s">
        <v>19</v>
      </c>
      <c r="C2522" t="s">
        <v>37</v>
      </c>
      <c r="D2522">
        <v>350</v>
      </c>
      <c r="E2522">
        <v>31084270000151</v>
      </c>
      <c r="F2522">
        <v>815</v>
      </c>
      <c r="G2522" s="10">
        <v>177705524148501</v>
      </c>
      <c r="H2522" t="s">
        <v>146</v>
      </c>
      <c r="I2522">
        <v>3003</v>
      </c>
      <c r="J2522" t="s">
        <v>22</v>
      </c>
      <c r="K2522" t="s">
        <v>23</v>
      </c>
      <c r="L2522" t="s">
        <v>31</v>
      </c>
      <c r="M2522" t="s">
        <v>636</v>
      </c>
      <c r="N2522" t="s">
        <v>53</v>
      </c>
      <c r="O2522">
        <v>128</v>
      </c>
      <c r="R2522" s="11">
        <v>8.1018518518518516E-5</v>
      </c>
      <c r="S2522" t="s">
        <v>37</v>
      </c>
      <c r="T2522" t="str">
        <f>IF(Tabela1[[#This Row],[STATUS_NEGOCIO]]="Enviar E-mail",1,"")</f>
        <v/>
      </c>
      <c r="U2522" t="str">
        <f>TEXT(Tabela1[[#This Row],[DATA]],"dd/mm/aaaa")</f>
        <v>24/04/2026</v>
      </c>
    </row>
    <row r="2523" spans="1:21" x14ac:dyDescent="0.25">
      <c r="A2523" s="9">
        <v>46136.643993055557</v>
      </c>
      <c r="B2523" t="s">
        <v>19</v>
      </c>
      <c r="C2523" t="s">
        <v>37</v>
      </c>
      <c r="D2523">
        <v>351</v>
      </c>
      <c r="E2523">
        <v>31086168000195</v>
      </c>
      <c r="F2523">
        <v>816</v>
      </c>
      <c r="G2523" s="10">
        <v>177705524148511</v>
      </c>
      <c r="H2523" t="s">
        <v>222</v>
      </c>
      <c r="I2523" t="s">
        <v>52</v>
      </c>
      <c r="J2523" t="s">
        <v>22</v>
      </c>
      <c r="K2523" t="s">
        <v>36</v>
      </c>
      <c r="L2523" t="s">
        <v>36</v>
      </c>
      <c r="M2523" t="s">
        <v>636</v>
      </c>
      <c r="N2523" t="s">
        <v>53</v>
      </c>
      <c r="O2523">
        <v>1</v>
      </c>
      <c r="R2523" s="11">
        <v>0</v>
      </c>
      <c r="S2523" t="s">
        <v>37</v>
      </c>
      <c r="T2523" t="str">
        <f>IF(Tabela1[[#This Row],[STATUS_NEGOCIO]]="Enviar E-mail",1,"")</f>
        <v/>
      </c>
      <c r="U2523" t="str">
        <f>TEXT(Tabela1[[#This Row],[DATA]],"dd/mm/aaaa")</f>
        <v>24/04/2026</v>
      </c>
    </row>
    <row r="2524" spans="1:21" x14ac:dyDescent="0.25">
      <c r="A2524" s="9">
        <v>46136.644004629627</v>
      </c>
      <c r="B2524" t="s">
        <v>19</v>
      </c>
      <c r="C2524" t="s">
        <v>37</v>
      </c>
      <c r="D2524">
        <v>352</v>
      </c>
      <c r="E2524">
        <v>31131246000126</v>
      </c>
      <c r="F2524">
        <v>817</v>
      </c>
      <c r="G2524" s="10">
        <v>177705524248521</v>
      </c>
      <c r="H2524" t="s">
        <v>270</v>
      </c>
      <c r="I2524">
        <v>3003</v>
      </c>
      <c r="J2524" t="s">
        <v>22</v>
      </c>
      <c r="K2524" t="s">
        <v>23</v>
      </c>
      <c r="L2524" t="s">
        <v>31</v>
      </c>
      <c r="M2524" t="s">
        <v>636</v>
      </c>
      <c r="N2524" t="s">
        <v>53</v>
      </c>
      <c r="O2524">
        <v>128</v>
      </c>
      <c r="R2524" s="11">
        <v>8.1018518518518516E-5</v>
      </c>
      <c r="S2524" t="s">
        <v>37</v>
      </c>
      <c r="T2524" t="str">
        <f>IF(Tabela1[[#This Row],[STATUS_NEGOCIO]]="Enviar E-mail",1,"")</f>
        <v/>
      </c>
      <c r="U2524" t="str">
        <f>TEXT(Tabela1[[#This Row],[DATA]],"dd/mm/aaaa")</f>
        <v>24/04/2026</v>
      </c>
    </row>
    <row r="2525" spans="1:21" x14ac:dyDescent="0.25">
      <c r="A2525" s="9">
        <v>46136.644189814811</v>
      </c>
      <c r="B2525" t="s">
        <v>19</v>
      </c>
      <c r="C2525" t="s">
        <v>37</v>
      </c>
      <c r="D2525">
        <v>353</v>
      </c>
      <c r="E2525">
        <v>31131998000197</v>
      </c>
      <c r="F2525">
        <v>818</v>
      </c>
      <c r="G2525" s="10">
        <v>177705525848541</v>
      </c>
      <c r="H2525" t="s">
        <v>124</v>
      </c>
      <c r="I2525">
        <v>3003</v>
      </c>
      <c r="J2525" t="s">
        <v>22</v>
      </c>
      <c r="K2525" t="s">
        <v>23</v>
      </c>
      <c r="L2525" t="s">
        <v>31</v>
      </c>
      <c r="M2525" t="s">
        <v>636</v>
      </c>
      <c r="N2525" t="s">
        <v>53</v>
      </c>
      <c r="O2525">
        <v>128</v>
      </c>
      <c r="R2525" s="11">
        <v>8.1018518518518516E-5</v>
      </c>
      <c r="S2525" t="s">
        <v>37</v>
      </c>
      <c r="T2525" t="str">
        <f>IF(Tabela1[[#This Row],[STATUS_NEGOCIO]]="Enviar E-mail",1,"")</f>
        <v/>
      </c>
      <c r="U2525" t="str">
        <f>TEXT(Tabela1[[#This Row],[DATA]],"dd/mm/aaaa")</f>
        <v>24/04/2026</v>
      </c>
    </row>
    <row r="2526" spans="1:21" x14ac:dyDescent="0.25">
      <c r="A2526" s="9">
        <v>46136.644490740742</v>
      </c>
      <c r="B2526" t="s">
        <v>19</v>
      </c>
      <c r="C2526" t="s">
        <v>37</v>
      </c>
      <c r="D2526">
        <v>354</v>
      </c>
      <c r="E2526">
        <v>31142292000120</v>
      </c>
      <c r="F2526">
        <v>819</v>
      </c>
      <c r="G2526" s="10">
        <v>177705528448621</v>
      </c>
      <c r="H2526" t="s">
        <v>504</v>
      </c>
      <c r="I2526">
        <v>3003</v>
      </c>
      <c r="J2526" t="s">
        <v>22</v>
      </c>
      <c r="K2526" t="s">
        <v>23</v>
      </c>
      <c r="L2526" t="s">
        <v>31</v>
      </c>
      <c r="M2526" t="s">
        <v>636</v>
      </c>
      <c r="N2526" t="s">
        <v>53</v>
      </c>
      <c r="O2526">
        <v>128</v>
      </c>
      <c r="R2526" s="11">
        <v>8.1018518518518516E-5</v>
      </c>
      <c r="S2526" t="s">
        <v>37</v>
      </c>
      <c r="T2526" t="str">
        <f>IF(Tabela1[[#This Row],[STATUS_NEGOCIO]]="Enviar E-mail",1,"")</f>
        <v/>
      </c>
      <c r="U2526" t="str">
        <f>TEXT(Tabela1[[#This Row],[DATA]],"dd/mm/aaaa")</f>
        <v>24/04/2026</v>
      </c>
    </row>
    <row r="2527" spans="1:21" x14ac:dyDescent="0.25">
      <c r="A2527" s="9">
        <v>46136.644537037035</v>
      </c>
      <c r="B2527" t="s">
        <v>19</v>
      </c>
      <c r="C2527" t="s">
        <v>37</v>
      </c>
      <c r="D2527">
        <v>355</v>
      </c>
      <c r="E2527">
        <v>31142572000139</v>
      </c>
      <c r="F2527">
        <v>820</v>
      </c>
      <c r="G2527" s="10">
        <v>177705528848651</v>
      </c>
      <c r="H2527" t="s">
        <v>505</v>
      </c>
      <c r="I2527">
        <v>3003</v>
      </c>
      <c r="J2527" t="s">
        <v>22</v>
      </c>
      <c r="K2527" t="s">
        <v>23</v>
      </c>
      <c r="L2527" t="s">
        <v>31</v>
      </c>
      <c r="M2527" t="s">
        <v>636</v>
      </c>
      <c r="N2527" t="s">
        <v>53</v>
      </c>
      <c r="O2527">
        <v>128</v>
      </c>
      <c r="R2527" s="11">
        <v>8.1018518518518516E-5</v>
      </c>
      <c r="S2527" t="s">
        <v>37</v>
      </c>
      <c r="T2527" t="str">
        <f>IF(Tabela1[[#This Row],[STATUS_NEGOCIO]]="Enviar E-mail",1,"")</f>
        <v/>
      </c>
      <c r="U2527" t="str">
        <f>TEXT(Tabela1[[#This Row],[DATA]],"dd/mm/aaaa")</f>
        <v>24/04/2026</v>
      </c>
    </row>
    <row r="2528" spans="1:21" x14ac:dyDescent="0.25">
      <c r="A2528" s="9">
        <v>46136.644861111112</v>
      </c>
      <c r="B2528" t="s">
        <v>19</v>
      </c>
      <c r="C2528" t="s">
        <v>37</v>
      </c>
      <c r="D2528">
        <v>356</v>
      </c>
      <c r="E2528">
        <v>31301737000178</v>
      </c>
      <c r="F2528">
        <v>821</v>
      </c>
      <c r="G2528" s="10">
        <v>177705531648731</v>
      </c>
      <c r="H2528" t="s">
        <v>159</v>
      </c>
      <c r="I2528">
        <v>3003</v>
      </c>
      <c r="J2528" t="s">
        <v>22</v>
      </c>
      <c r="K2528" t="s">
        <v>23</v>
      </c>
      <c r="L2528" t="s">
        <v>31</v>
      </c>
      <c r="M2528" t="s">
        <v>636</v>
      </c>
      <c r="N2528" t="s">
        <v>53</v>
      </c>
      <c r="O2528">
        <v>128</v>
      </c>
      <c r="R2528" s="11">
        <v>8.1018518518518516E-5</v>
      </c>
      <c r="S2528" t="s">
        <v>37</v>
      </c>
      <c r="T2528" t="str">
        <f>IF(Tabela1[[#This Row],[STATUS_NEGOCIO]]="Enviar E-mail",1,"")</f>
        <v/>
      </c>
      <c r="U2528" t="str">
        <f>TEXT(Tabela1[[#This Row],[DATA]],"dd/mm/aaaa")</f>
        <v>24/04/2026</v>
      </c>
    </row>
    <row r="2529" spans="1:21" x14ac:dyDescent="0.25">
      <c r="A2529" s="9">
        <v>46136.645092592589</v>
      </c>
      <c r="B2529" t="s">
        <v>19</v>
      </c>
      <c r="C2529" t="s">
        <v>37</v>
      </c>
      <c r="D2529">
        <v>357</v>
      </c>
      <c r="E2529">
        <v>31307787000162</v>
      </c>
      <c r="F2529">
        <v>822</v>
      </c>
      <c r="G2529" s="10">
        <v>177705533648751</v>
      </c>
      <c r="H2529" t="s">
        <v>506</v>
      </c>
      <c r="I2529">
        <v>3003</v>
      </c>
      <c r="J2529" t="s">
        <v>22</v>
      </c>
      <c r="K2529" t="s">
        <v>23</v>
      </c>
      <c r="L2529" t="s">
        <v>31</v>
      </c>
      <c r="M2529" t="s">
        <v>636</v>
      </c>
      <c r="N2529" t="s">
        <v>53</v>
      </c>
      <c r="O2529">
        <v>128</v>
      </c>
      <c r="R2529" s="11">
        <v>8.1018518518518516E-5</v>
      </c>
      <c r="S2529" t="s">
        <v>37</v>
      </c>
      <c r="T2529" t="str">
        <f>IF(Tabela1[[#This Row],[STATUS_NEGOCIO]]="Enviar E-mail",1,"")</f>
        <v/>
      </c>
      <c r="U2529" t="str">
        <f>TEXT(Tabela1[[#This Row],[DATA]],"dd/mm/aaaa")</f>
        <v>24/04/2026</v>
      </c>
    </row>
    <row r="2530" spans="1:21" x14ac:dyDescent="0.25">
      <c r="A2530" s="9">
        <v>46136.645231481481</v>
      </c>
      <c r="B2530" t="s">
        <v>19</v>
      </c>
      <c r="C2530" t="s">
        <v>37</v>
      </c>
      <c r="D2530">
        <v>358</v>
      </c>
      <c r="E2530">
        <v>31396511000106</v>
      </c>
      <c r="F2530">
        <v>823</v>
      </c>
      <c r="G2530" s="10">
        <v>177705534848771</v>
      </c>
      <c r="H2530" t="s">
        <v>507</v>
      </c>
      <c r="I2530">
        <v>3003</v>
      </c>
      <c r="J2530" t="s">
        <v>22</v>
      </c>
      <c r="K2530" t="s">
        <v>23</v>
      </c>
      <c r="L2530" t="s">
        <v>31</v>
      </c>
      <c r="M2530" t="s">
        <v>636</v>
      </c>
      <c r="N2530" t="s">
        <v>53</v>
      </c>
      <c r="O2530">
        <v>128</v>
      </c>
      <c r="R2530" s="11">
        <v>8.1018518518518516E-5</v>
      </c>
      <c r="S2530" t="s">
        <v>37</v>
      </c>
      <c r="T2530" t="str">
        <f>IF(Tabela1[[#This Row],[STATUS_NEGOCIO]]="Enviar E-mail",1,"")</f>
        <v/>
      </c>
      <c r="U2530" t="str">
        <f>TEXT(Tabela1[[#This Row],[DATA]],"dd/mm/aaaa")</f>
        <v>24/04/2026</v>
      </c>
    </row>
    <row r="2531" spans="1:21" x14ac:dyDescent="0.25">
      <c r="A2531" s="9">
        <v>46136.645416666666</v>
      </c>
      <c r="B2531" t="s">
        <v>19</v>
      </c>
      <c r="C2531" t="s">
        <v>37</v>
      </c>
      <c r="D2531">
        <v>359</v>
      </c>
      <c r="E2531">
        <v>31441165000122</v>
      </c>
      <c r="F2531">
        <v>824</v>
      </c>
      <c r="G2531" s="10">
        <v>177705536448791</v>
      </c>
      <c r="H2531" t="s">
        <v>508</v>
      </c>
      <c r="I2531">
        <v>3003</v>
      </c>
      <c r="J2531" t="s">
        <v>22</v>
      </c>
      <c r="K2531" t="s">
        <v>23</v>
      </c>
      <c r="L2531" t="s">
        <v>31</v>
      </c>
      <c r="M2531" t="s">
        <v>636</v>
      </c>
      <c r="N2531" t="s">
        <v>53</v>
      </c>
      <c r="O2531">
        <v>128</v>
      </c>
      <c r="R2531" s="11">
        <v>8.1018518518518516E-5</v>
      </c>
      <c r="S2531" t="s">
        <v>37</v>
      </c>
      <c r="T2531" t="str">
        <f>IF(Tabela1[[#This Row],[STATUS_NEGOCIO]]="Enviar E-mail",1,"")</f>
        <v/>
      </c>
      <c r="U2531" t="str">
        <f>TEXT(Tabela1[[#This Row],[DATA]],"dd/mm/aaaa")</f>
        <v>24/04/2026</v>
      </c>
    </row>
    <row r="2532" spans="1:21" x14ac:dyDescent="0.25">
      <c r="A2532" s="9">
        <v>46136.645474537036</v>
      </c>
      <c r="B2532" t="s">
        <v>19</v>
      </c>
      <c r="C2532" t="s">
        <v>37</v>
      </c>
      <c r="D2532">
        <v>361</v>
      </c>
      <c r="E2532">
        <v>31591969000108</v>
      </c>
      <c r="F2532">
        <v>825</v>
      </c>
      <c r="G2532" s="10">
        <v>177705536948811</v>
      </c>
      <c r="H2532" t="s">
        <v>509</v>
      </c>
      <c r="I2532">
        <v>3003</v>
      </c>
      <c r="J2532" t="s">
        <v>22</v>
      </c>
      <c r="K2532" t="s">
        <v>23</v>
      </c>
      <c r="L2532" t="s">
        <v>31</v>
      </c>
      <c r="M2532" t="s">
        <v>636</v>
      </c>
      <c r="N2532" t="s">
        <v>53</v>
      </c>
      <c r="O2532">
        <v>128</v>
      </c>
      <c r="R2532" s="11">
        <v>8.1018518518518516E-5</v>
      </c>
      <c r="S2532" t="s">
        <v>37</v>
      </c>
      <c r="T2532" t="str">
        <f>IF(Tabela1[[#This Row],[STATUS_NEGOCIO]]="Enviar E-mail",1,"")</f>
        <v/>
      </c>
      <c r="U2532" t="str">
        <f>TEXT(Tabela1[[#This Row],[DATA]],"dd/mm/aaaa")</f>
        <v>24/04/2026</v>
      </c>
    </row>
    <row r="2533" spans="1:21" x14ac:dyDescent="0.25">
      <c r="A2533" s="9">
        <v>46136.645636574074</v>
      </c>
      <c r="B2533" t="s">
        <v>19</v>
      </c>
      <c r="C2533" t="s">
        <v>37</v>
      </c>
      <c r="D2533">
        <v>362</v>
      </c>
      <c r="E2533">
        <v>31627306000104</v>
      </c>
      <c r="F2533">
        <v>826</v>
      </c>
      <c r="G2533" s="10">
        <v>177705538348911</v>
      </c>
      <c r="H2533" t="s">
        <v>112</v>
      </c>
      <c r="I2533">
        <v>3003</v>
      </c>
      <c r="J2533" t="s">
        <v>22</v>
      </c>
      <c r="K2533" t="s">
        <v>23</v>
      </c>
      <c r="L2533" t="s">
        <v>31</v>
      </c>
      <c r="M2533" t="s">
        <v>636</v>
      </c>
      <c r="N2533" t="s">
        <v>53</v>
      </c>
      <c r="O2533">
        <v>128</v>
      </c>
      <c r="R2533" s="11">
        <v>8.1018518518518516E-5</v>
      </c>
      <c r="S2533" t="s">
        <v>37</v>
      </c>
      <c r="T2533" t="str">
        <f>IF(Tabela1[[#This Row],[STATUS_NEGOCIO]]="Enviar E-mail",1,"")</f>
        <v/>
      </c>
      <c r="U2533" t="str">
        <f>TEXT(Tabela1[[#This Row],[DATA]],"dd/mm/aaaa")</f>
        <v>24/04/2026</v>
      </c>
    </row>
    <row r="2534" spans="1:21" x14ac:dyDescent="0.25">
      <c r="A2534" s="9">
        <v>46136.645729166667</v>
      </c>
      <c r="B2534" t="s">
        <v>19</v>
      </c>
      <c r="C2534" t="s">
        <v>37</v>
      </c>
      <c r="D2534">
        <v>364</v>
      </c>
      <c r="E2534">
        <v>31669377000161</v>
      </c>
      <c r="F2534">
        <v>827</v>
      </c>
      <c r="G2534" s="10">
        <v>177705539148931</v>
      </c>
      <c r="H2534" t="s">
        <v>511</v>
      </c>
      <c r="I2534" t="s">
        <v>52</v>
      </c>
      <c r="J2534" t="s">
        <v>22</v>
      </c>
      <c r="K2534" t="s">
        <v>36</v>
      </c>
      <c r="L2534" t="s">
        <v>36</v>
      </c>
      <c r="M2534" t="s">
        <v>636</v>
      </c>
      <c r="N2534" t="s">
        <v>53</v>
      </c>
      <c r="O2534">
        <v>1</v>
      </c>
      <c r="R2534" s="11">
        <v>0</v>
      </c>
      <c r="S2534" t="s">
        <v>37</v>
      </c>
      <c r="T2534" t="str">
        <f>IF(Tabela1[[#This Row],[STATUS_NEGOCIO]]="Enviar E-mail",1,"")</f>
        <v/>
      </c>
      <c r="U2534" t="str">
        <f>TEXT(Tabela1[[#This Row],[DATA]],"dd/mm/aaaa")</f>
        <v>24/04/2026</v>
      </c>
    </row>
    <row r="2535" spans="1:21" x14ac:dyDescent="0.25">
      <c r="A2535" s="9">
        <v>46136.645740740743</v>
      </c>
      <c r="B2535" t="s">
        <v>19</v>
      </c>
      <c r="C2535" t="s">
        <v>37</v>
      </c>
      <c r="D2535">
        <v>365</v>
      </c>
      <c r="E2535">
        <v>31865488000143</v>
      </c>
      <c r="F2535">
        <v>828</v>
      </c>
      <c r="G2535" s="10">
        <v>177705539248941</v>
      </c>
      <c r="H2535" t="s">
        <v>512</v>
      </c>
      <c r="I2535">
        <v>3003</v>
      </c>
      <c r="J2535" t="s">
        <v>22</v>
      </c>
      <c r="K2535" t="s">
        <v>23</v>
      </c>
      <c r="L2535" t="s">
        <v>31</v>
      </c>
      <c r="M2535" t="s">
        <v>636</v>
      </c>
      <c r="N2535" t="s">
        <v>53</v>
      </c>
      <c r="O2535">
        <v>128</v>
      </c>
      <c r="R2535" s="11">
        <v>8.1018518518518516E-5</v>
      </c>
      <c r="S2535" t="s">
        <v>37</v>
      </c>
      <c r="T2535" t="str">
        <f>IF(Tabela1[[#This Row],[STATUS_NEGOCIO]]="Enviar E-mail",1,"")</f>
        <v/>
      </c>
      <c r="U2535" t="str">
        <f>TEXT(Tabela1[[#This Row],[DATA]],"dd/mm/aaaa")</f>
        <v>24/04/2026</v>
      </c>
    </row>
    <row r="2536" spans="1:21" x14ac:dyDescent="0.25">
      <c r="A2536" s="9">
        <v>46136.645752314813</v>
      </c>
      <c r="B2536" t="s">
        <v>19</v>
      </c>
      <c r="C2536" t="s">
        <v>37</v>
      </c>
      <c r="D2536">
        <v>366</v>
      </c>
      <c r="E2536">
        <v>31967201000196</v>
      </c>
      <c r="F2536">
        <v>829</v>
      </c>
      <c r="G2536" s="10">
        <v>177705539348961</v>
      </c>
      <c r="H2536" t="s">
        <v>513</v>
      </c>
      <c r="I2536">
        <v>3003</v>
      </c>
      <c r="J2536" t="s">
        <v>22</v>
      </c>
      <c r="K2536" t="s">
        <v>23</v>
      </c>
      <c r="L2536" t="s">
        <v>31</v>
      </c>
      <c r="M2536" t="s">
        <v>636</v>
      </c>
      <c r="N2536" t="s">
        <v>53</v>
      </c>
      <c r="O2536">
        <v>128</v>
      </c>
      <c r="R2536" s="11">
        <v>8.1018518518518516E-5</v>
      </c>
      <c r="S2536" t="s">
        <v>37</v>
      </c>
      <c r="T2536" t="str">
        <f>IF(Tabela1[[#This Row],[STATUS_NEGOCIO]]="Enviar E-mail",1,"")</f>
        <v/>
      </c>
      <c r="U2536" t="str">
        <f>TEXT(Tabela1[[#This Row],[DATA]],"dd/mm/aaaa")</f>
        <v>24/04/2026</v>
      </c>
    </row>
    <row r="2537" spans="1:21" x14ac:dyDescent="0.25">
      <c r="A2537" s="9">
        <v>46136.645914351851</v>
      </c>
      <c r="B2537" t="s">
        <v>19</v>
      </c>
      <c r="C2537" t="s">
        <v>37</v>
      </c>
      <c r="D2537">
        <v>367</v>
      </c>
      <c r="E2537">
        <v>31969017000185</v>
      </c>
      <c r="F2537">
        <v>830</v>
      </c>
      <c r="G2537" s="10">
        <v>177705540749001</v>
      </c>
      <c r="H2537" t="s">
        <v>116</v>
      </c>
      <c r="I2537">
        <v>3003</v>
      </c>
      <c r="J2537" t="s">
        <v>22</v>
      </c>
      <c r="K2537" t="s">
        <v>23</v>
      </c>
      <c r="L2537" t="s">
        <v>31</v>
      </c>
      <c r="M2537" t="s">
        <v>636</v>
      </c>
      <c r="N2537" t="s">
        <v>53</v>
      </c>
      <c r="O2537">
        <v>128</v>
      </c>
      <c r="R2537" s="11">
        <v>8.1018518518518516E-5</v>
      </c>
      <c r="S2537" t="s">
        <v>37</v>
      </c>
      <c r="T2537" t="str">
        <f>IF(Tabela1[[#This Row],[STATUS_NEGOCIO]]="Enviar E-mail",1,"")</f>
        <v/>
      </c>
      <c r="U2537" t="str">
        <f>TEXT(Tabela1[[#This Row],[DATA]],"dd/mm/aaaa")</f>
        <v>24/04/2026</v>
      </c>
    </row>
    <row r="2538" spans="1:21" x14ac:dyDescent="0.25">
      <c r="A2538" s="9">
        <v>46136.645983796298</v>
      </c>
      <c r="B2538" t="s">
        <v>19</v>
      </c>
      <c r="C2538" t="s">
        <v>37</v>
      </c>
      <c r="D2538">
        <v>368</v>
      </c>
      <c r="E2538">
        <v>32020943000172</v>
      </c>
      <c r="F2538">
        <v>831</v>
      </c>
      <c r="G2538" s="10">
        <v>177705541349031</v>
      </c>
      <c r="H2538" t="s">
        <v>514</v>
      </c>
      <c r="I2538">
        <v>3003</v>
      </c>
      <c r="J2538" t="s">
        <v>22</v>
      </c>
      <c r="K2538" t="s">
        <v>23</v>
      </c>
      <c r="L2538" t="s">
        <v>31</v>
      </c>
      <c r="M2538" t="s">
        <v>636</v>
      </c>
      <c r="N2538" t="s">
        <v>53</v>
      </c>
      <c r="O2538">
        <v>128</v>
      </c>
      <c r="R2538" s="11">
        <v>8.1018518518518516E-5</v>
      </c>
      <c r="S2538" t="s">
        <v>37</v>
      </c>
      <c r="T2538" t="str">
        <f>IF(Tabela1[[#This Row],[STATUS_NEGOCIO]]="Enviar E-mail",1,"")</f>
        <v/>
      </c>
      <c r="U2538" t="str">
        <f>TEXT(Tabela1[[#This Row],[DATA]],"dd/mm/aaaa")</f>
        <v>24/04/2026</v>
      </c>
    </row>
    <row r="2539" spans="1:21" x14ac:dyDescent="0.25">
      <c r="A2539" s="9">
        <v>46136.646180555559</v>
      </c>
      <c r="B2539" t="s">
        <v>19</v>
      </c>
      <c r="C2539" t="s">
        <v>37</v>
      </c>
      <c r="D2539">
        <v>370</v>
      </c>
      <c r="E2539">
        <v>32256448000167</v>
      </c>
      <c r="F2539">
        <v>833</v>
      </c>
      <c r="G2539" s="10">
        <v>177705543049081</v>
      </c>
      <c r="H2539" t="s">
        <v>516</v>
      </c>
      <c r="I2539">
        <v>3003</v>
      </c>
      <c r="J2539" t="s">
        <v>22</v>
      </c>
      <c r="K2539" t="s">
        <v>23</v>
      </c>
      <c r="L2539" t="s">
        <v>31</v>
      </c>
      <c r="M2539" t="s">
        <v>636</v>
      </c>
      <c r="N2539" t="s">
        <v>53</v>
      </c>
      <c r="O2539">
        <v>128</v>
      </c>
      <c r="R2539" s="11">
        <v>8.1018518518518516E-5</v>
      </c>
      <c r="S2539" t="s">
        <v>37</v>
      </c>
      <c r="T2539" t="str">
        <f>IF(Tabela1[[#This Row],[STATUS_NEGOCIO]]="Enviar E-mail",1,"")</f>
        <v/>
      </c>
      <c r="U2539" t="str">
        <f>TEXT(Tabela1[[#This Row],[DATA]],"dd/mm/aaaa")</f>
        <v>24/04/2026</v>
      </c>
    </row>
    <row r="2540" spans="1:21" x14ac:dyDescent="0.25">
      <c r="A2540" s="9">
        <v>46136.646412037036</v>
      </c>
      <c r="B2540" t="s">
        <v>19</v>
      </c>
      <c r="C2540" t="s">
        <v>37</v>
      </c>
      <c r="D2540">
        <v>369</v>
      </c>
      <c r="E2540">
        <v>32121837000185</v>
      </c>
      <c r="F2540">
        <v>832</v>
      </c>
      <c r="G2540" s="10">
        <v>177705541949051</v>
      </c>
      <c r="H2540" t="s">
        <v>515</v>
      </c>
      <c r="I2540">
        <v>3003</v>
      </c>
      <c r="J2540" t="s">
        <v>22</v>
      </c>
      <c r="K2540" t="s">
        <v>23</v>
      </c>
      <c r="L2540" t="s">
        <v>31</v>
      </c>
      <c r="M2540" t="s">
        <v>636</v>
      </c>
      <c r="N2540" t="s">
        <v>26</v>
      </c>
      <c r="O2540">
        <v>131</v>
      </c>
      <c r="R2540" s="11">
        <v>3.1250000000000001E-4</v>
      </c>
      <c r="S2540" t="s">
        <v>37</v>
      </c>
      <c r="T2540" t="str">
        <f>IF(Tabela1[[#This Row],[STATUS_NEGOCIO]]="Enviar E-mail",1,"")</f>
        <v/>
      </c>
      <c r="U2540" t="str">
        <f>TEXT(Tabela1[[#This Row],[DATA]],"dd/mm/aaaa")</f>
        <v>24/04/2026</v>
      </c>
    </row>
    <row r="2541" spans="1:21" x14ac:dyDescent="0.25">
      <c r="A2541" s="9">
        <v>46136.646493055552</v>
      </c>
      <c r="B2541" t="s">
        <v>19</v>
      </c>
      <c r="C2541" t="s">
        <v>37</v>
      </c>
      <c r="D2541">
        <v>371</v>
      </c>
      <c r="E2541">
        <v>32258196000105</v>
      </c>
      <c r="F2541">
        <v>834</v>
      </c>
      <c r="G2541" s="10">
        <v>177705545749141</v>
      </c>
      <c r="H2541" t="s">
        <v>517</v>
      </c>
      <c r="I2541">
        <v>3003</v>
      </c>
      <c r="J2541" t="s">
        <v>22</v>
      </c>
      <c r="K2541" t="s">
        <v>23</v>
      </c>
      <c r="L2541" t="s">
        <v>31</v>
      </c>
      <c r="M2541" t="s">
        <v>636</v>
      </c>
      <c r="N2541" t="s">
        <v>53</v>
      </c>
      <c r="O2541">
        <v>128</v>
      </c>
      <c r="R2541" s="11">
        <v>8.1018518518518516E-5</v>
      </c>
      <c r="S2541" t="s">
        <v>37</v>
      </c>
      <c r="T2541" t="str">
        <f>IF(Tabela1[[#This Row],[STATUS_NEGOCIO]]="Enviar E-mail",1,"")</f>
        <v/>
      </c>
      <c r="U2541" t="str">
        <f>TEXT(Tabela1[[#This Row],[DATA]],"dd/mm/aaaa")</f>
        <v>24/04/2026</v>
      </c>
    </row>
    <row r="2542" spans="1:21" x14ac:dyDescent="0.25">
      <c r="A2542" s="9">
        <v>46136.646504629629</v>
      </c>
      <c r="B2542" t="s">
        <v>19</v>
      </c>
      <c r="C2542" t="s">
        <v>37</v>
      </c>
      <c r="D2542">
        <v>372</v>
      </c>
      <c r="E2542">
        <v>32303404000140</v>
      </c>
      <c r="F2542">
        <v>835</v>
      </c>
      <c r="G2542" s="10">
        <v>177705545849161</v>
      </c>
      <c r="H2542" t="s">
        <v>518</v>
      </c>
      <c r="I2542">
        <v>3003</v>
      </c>
      <c r="J2542" t="s">
        <v>22</v>
      </c>
      <c r="K2542" t="s">
        <v>23</v>
      </c>
      <c r="L2542" t="s">
        <v>31</v>
      </c>
      <c r="M2542" t="s">
        <v>636</v>
      </c>
      <c r="N2542" t="s">
        <v>53</v>
      </c>
      <c r="O2542">
        <v>128</v>
      </c>
      <c r="R2542" s="11">
        <v>8.1018518518518516E-5</v>
      </c>
      <c r="S2542" t="s">
        <v>37</v>
      </c>
      <c r="T2542" t="str">
        <f>IF(Tabela1[[#This Row],[STATUS_NEGOCIO]]="Enviar E-mail",1,"")</f>
        <v/>
      </c>
      <c r="U2542" t="str">
        <f>TEXT(Tabela1[[#This Row],[DATA]],"dd/mm/aaaa")</f>
        <v>24/04/2026</v>
      </c>
    </row>
    <row r="2543" spans="1:21" x14ac:dyDescent="0.25">
      <c r="A2543" s="9">
        <v>46136.646608796298</v>
      </c>
      <c r="B2543" t="s">
        <v>19</v>
      </c>
      <c r="C2543" t="s">
        <v>37</v>
      </c>
      <c r="D2543">
        <v>373</v>
      </c>
      <c r="E2543">
        <v>32333337000107</v>
      </c>
      <c r="F2543">
        <v>836</v>
      </c>
      <c r="G2543" s="10">
        <v>177705546749181</v>
      </c>
      <c r="H2543" t="s">
        <v>38</v>
      </c>
      <c r="I2543">
        <v>3003</v>
      </c>
      <c r="J2543" t="s">
        <v>22</v>
      </c>
      <c r="K2543" t="s">
        <v>23</v>
      </c>
      <c r="L2543" t="s">
        <v>31</v>
      </c>
      <c r="M2543" t="s">
        <v>636</v>
      </c>
      <c r="N2543" t="s">
        <v>53</v>
      </c>
      <c r="O2543">
        <v>128</v>
      </c>
      <c r="R2543" s="11">
        <v>6.9444444444444444E-5</v>
      </c>
      <c r="S2543" t="s">
        <v>37</v>
      </c>
      <c r="T2543" t="str">
        <f>IF(Tabela1[[#This Row],[STATUS_NEGOCIO]]="Enviar E-mail",1,"")</f>
        <v/>
      </c>
      <c r="U2543" t="str">
        <f>TEXT(Tabela1[[#This Row],[DATA]],"dd/mm/aaaa")</f>
        <v>24/04/2026</v>
      </c>
    </row>
    <row r="2544" spans="1:21" x14ac:dyDescent="0.25">
      <c r="A2544" s="9">
        <v>46136.64702546296</v>
      </c>
      <c r="B2544" t="s">
        <v>19</v>
      </c>
      <c r="C2544" t="s">
        <v>37</v>
      </c>
      <c r="D2544">
        <v>374</v>
      </c>
      <c r="E2544">
        <v>32514234000143</v>
      </c>
      <c r="F2544">
        <v>837</v>
      </c>
      <c r="G2544" s="10">
        <v>177705550349201</v>
      </c>
      <c r="H2544" t="s">
        <v>278</v>
      </c>
      <c r="I2544">
        <v>3003</v>
      </c>
      <c r="J2544" t="s">
        <v>22</v>
      </c>
      <c r="K2544" t="s">
        <v>23</v>
      </c>
      <c r="L2544" t="s">
        <v>31</v>
      </c>
      <c r="M2544" t="s">
        <v>636</v>
      </c>
      <c r="N2544" t="s">
        <v>53</v>
      </c>
      <c r="O2544">
        <v>128</v>
      </c>
      <c r="R2544" s="11">
        <v>8.1018518518518516E-5</v>
      </c>
      <c r="S2544" t="s">
        <v>37</v>
      </c>
      <c r="T2544" t="str">
        <f>IF(Tabela1[[#This Row],[STATUS_NEGOCIO]]="Enviar E-mail",1,"")</f>
        <v/>
      </c>
      <c r="U2544" t="str">
        <f>TEXT(Tabela1[[#This Row],[DATA]],"dd/mm/aaaa")</f>
        <v>24/04/2026</v>
      </c>
    </row>
    <row r="2545" spans="1:21" x14ac:dyDescent="0.25">
      <c r="A2545" s="9">
        <v>46136.647118055553</v>
      </c>
      <c r="B2545" t="s">
        <v>19</v>
      </c>
      <c r="C2545" t="s">
        <v>37</v>
      </c>
      <c r="D2545">
        <v>375</v>
      </c>
      <c r="E2545">
        <v>32579807000117</v>
      </c>
      <c r="F2545">
        <v>838</v>
      </c>
      <c r="G2545" s="10">
        <v>177705551149221</v>
      </c>
      <c r="H2545" t="s">
        <v>519</v>
      </c>
      <c r="I2545">
        <v>3003</v>
      </c>
      <c r="J2545" t="s">
        <v>22</v>
      </c>
      <c r="K2545" t="s">
        <v>23</v>
      </c>
      <c r="L2545" t="s">
        <v>31</v>
      </c>
      <c r="M2545" t="s">
        <v>636</v>
      </c>
      <c r="N2545" t="s">
        <v>53</v>
      </c>
      <c r="O2545">
        <v>128</v>
      </c>
      <c r="R2545" s="11">
        <v>6.9444444444444444E-5</v>
      </c>
      <c r="S2545" t="s">
        <v>37</v>
      </c>
      <c r="T2545" t="str">
        <f>IF(Tabela1[[#This Row],[STATUS_NEGOCIO]]="Enviar E-mail",1,"")</f>
        <v/>
      </c>
      <c r="U2545" t="str">
        <f>TEXT(Tabela1[[#This Row],[DATA]],"dd/mm/aaaa")</f>
        <v>24/04/2026</v>
      </c>
    </row>
    <row r="2546" spans="1:21" x14ac:dyDescent="0.25">
      <c r="A2546" s="9">
        <v>46136.647199074076</v>
      </c>
      <c r="B2546" t="s">
        <v>19</v>
      </c>
      <c r="C2546" t="s">
        <v>37</v>
      </c>
      <c r="D2546">
        <v>376</v>
      </c>
      <c r="E2546">
        <v>32599342000166</v>
      </c>
      <c r="F2546">
        <v>839</v>
      </c>
      <c r="G2546" s="10">
        <v>177705551849241</v>
      </c>
      <c r="H2546" t="s">
        <v>520</v>
      </c>
      <c r="I2546">
        <v>3003</v>
      </c>
      <c r="J2546" t="s">
        <v>22</v>
      </c>
      <c r="K2546" t="s">
        <v>23</v>
      </c>
      <c r="L2546" t="s">
        <v>31</v>
      </c>
      <c r="M2546" t="s">
        <v>636</v>
      </c>
      <c r="N2546" t="s">
        <v>53</v>
      </c>
      <c r="O2546">
        <v>128</v>
      </c>
      <c r="R2546" s="11">
        <v>6.9444444444444444E-5</v>
      </c>
      <c r="S2546" t="s">
        <v>37</v>
      </c>
      <c r="T2546" t="str">
        <f>IF(Tabela1[[#This Row],[STATUS_NEGOCIO]]="Enviar E-mail",1,"")</f>
        <v/>
      </c>
      <c r="U2546" t="str">
        <f>TEXT(Tabela1[[#This Row],[DATA]],"dd/mm/aaaa")</f>
        <v>24/04/2026</v>
      </c>
    </row>
    <row r="2547" spans="1:21" x14ac:dyDescent="0.25">
      <c r="A2547" s="9">
        <v>46136.647372685184</v>
      </c>
      <c r="B2547" t="s">
        <v>19</v>
      </c>
      <c r="C2547" t="s">
        <v>37</v>
      </c>
      <c r="D2547">
        <v>377</v>
      </c>
      <c r="E2547">
        <v>32956821000192</v>
      </c>
      <c r="F2547">
        <v>840</v>
      </c>
      <c r="G2547" s="10">
        <v>177705553349261</v>
      </c>
      <c r="H2547" t="s">
        <v>521</v>
      </c>
      <c r="I2547">
        <v>3003</v>
      </c>
      <c r="J2547" t="s">
        <v>22</v>
      </c>
      <c r="K2547" t="s">
        <v>23</v>
      </c>
      <c r="L2547" t="s">
        <v>31</v>
      </c>
      <c r="M2547" t="s">
        <v>636</v>
      </c>
      <c r="N2547" t="s">
        <v>53</v>
      </c>
      <c r="O2547">
        <v>128</v>
      </c>
      <c r="R2547" s="11">
        <v>8.1018518518518516E-5</v>
      </c>
      <c r="S2547" t="s">
        <v>37</v>
      </c>
      <c r="T2547" t="str">
        <f>IF(Tabela1[[#This Row],[STATUS_NEGOCIO]]="Enviar E-mail",1,"")</f>
        <v/>
      </c>
      <c r="U2547" t="str">
        <f>TEXT(Tabela1[[#This Row],[DATA]],"dd/mm/aaaa")</f>
        <v>24/04/2026</v>
      </c>
    </row>
    <row r="2548" spans="1:21" x14ac:dyDescent="0.25">
      <c r="A2548" s="9">
        <v>46136.647581018522</v>
      </c>
      <c r="B2548" t="s">
        <v>19</v>
      </c>
      <c r="C2548" t="s">
        <v>37</v>
      </c>
      <c r="D2548">
        <v>378</v>
      </c>
      <c r="E2548">
        <v>32968396000151</v>
      </c>
      <c r="F2548">
        <v>841</v>
      </c>
      <c r="G2548" s="10">
        <v>177705555149281</v>
      </c>
      <c r="H2548" t="s">
        <v>522</v>
      </c>
      <c r="I2548">
        <v>3003</v>
      </c>
      <c r="J2548" t="s">
        <v>22</v>
      </c>
      <c r="K2548" t="s">
        <v>23</v>
      </c>
      <c r="L2548" t="s">
        <v>31</v>
      </c>
      <c r="M2548" t="s">
        <v>636</v>
      </c>
      <c r="N2548" t="s">
        <v>53</v>
      </c>
      <c r="O2548">
        <v>128</v>
      </c>
      <c r="R2548" s="11">
        <v>8.1018518518518516E-5</v>
      </c>
      <c r="S2548" t="s">
        <v>37</v>
      </c>
      <c r="T2548" t="str">
        <f>IF(Tabela1[[#This Row],[STATUS_NEGOCIO]]="Enviar E-mail",1,"")</f>
        <v/>
      </c>
      <c r="U2548" t="str">
        <f>TEXT(Tabela1[[#This Row],[DATA]],"dd/mm/aaaa")</f>
        <v>24/04/2026</v>
      </c>
    </row>
    <row r="2549" spans="1:21" x14ac:dyDescent="0.25">
      <c r="A2549" s="9">
        <v>46136.647615740738</v>
      </c>
      <c r="B2549" t="s">
        <v>19</v>
      </c>
      <c r="C2549" t="s">
        <v>37</v>
      </c>
      <c r="D2549">
        <v>379</v>
      </c>
      <c r="E2549">
        <v>33045782000134</v>
      </c>
      <c r="F2549">
        <v>842</v>
      </c>
      <c r="G2549" s="10">
        <v>177705555449351</v>
      </c>
      <c r="H2549" t="s">
        <v>523</v>
      </c>
      <c r="I2549">
        <v>3003</v>
      </c>
      <c r="J2549" t="s">
        <v>22</v>
      </c>
      <c r="K2549" t="s">
        <v>23</v>
      </c>
      <c r="L2549" t="s">
        <v>31</v>
      </c>
      <c r="M2549" t="s">
        <v>636</v>
      </c>
      <c r="N2549" t="s">
        <v>53</v>
      </c>
      <c r="O2549">
        <v>128</v>
      </c>
      <c r="R2549" s="11">
        <v>8.1018518518518516E-5</v>
      </c>
      <c r="S2549" t="s">
        <v>37</v>
      </c>
      <c r="T2549" t="str">
        <f>IF(Tabela1[[#This Row],[STATUS_NEGOCIO]]="Enviar E-mail",1,"")</f>
        <v/>
      </c>
      <c r="U2549" t="str">
        <f>TEXT(Tabela1[[#This Row],[DATA]],"dd/mm/aaaa")</f>
        <v>24/04/2026</v>
      </c>
    </row>
    <row r="2550" spans="1:21" x14ac:dyDescent="0.25">
      <c r="A2550" s="9">
        <v>46136.647766203707</v>
      </c>
      <c r="B2550" t="s">
        <v>19</v>
      </c>
      <c r="C2550" t="s">
        <v>20</v>
      </c>
      <c r="D2550">
        <v>380</v>
      </c>
      <c r="E2550">
        <v>33117243000163</v>
      </c>
      <c r="F2550">
        <v>843</v>
      </c>
      <c r="G2550" s="10">
        <v>177705556749451</v>
      </c>
      <c r="H2550" t="s">
        <v>276</v>
      </c>
      <c r="I2550">
        <v>3003</v>
      </c>
      <c r="J2550" t="s">
        <v>22</v>
      </c>
      <c r="K2550" t="s">
        <v>23</v>
      </c>
      <c r="L2550" t="s">
        <v>152</v>
      </c>
      <c r="M2550" t="s">
        <v>636</v>
      </c>
      <c r="N2550" t="s">
        <v>26</v>
      </c>
      <c r="O2550">
        <v>16</v>
      </c>
      <c r="R2550" s="11">
        <v>2.3379629629629631E-3</v>
      </c>
      <c r="S2550" s="11">
        <v>2.2800925925925927E-3</v>
      </c>
      <c r="T2550" t="str">
        <f>IF(Tabela1[[#This Row],[STATUS_NEGOCIO]]="Enviar E-mail",1,"")</f>
        <v/>
      </c>
      <c r="U2550" t="str">
        <f>TEXT(Tabela1[[#This Row],[DATA]],"dd/mm/aaaa")</f>
        <v>24/04/2026</v>
      </c>
    </row>
    <row r="2551" spans="1:21" x14ac:dyDescent="0.25">
      <c r="A2551" s="9">
        <v>46136.647766203707</v>
      </c>
      <c r="B2551" t="s">
        <v>19</v>
      </c>
      <c r="C2551" t="s">
        <v>37</v>
      </c>
      <c r="D2551">
        <v>381</v>
      </c>
      <c r="E2551">
        <v>33208034000125</v>
      </c>
      <c r="F2551">
        <v>844</v>
      </c>
      <c r="G2551" s="10">
        <v>177705556749461</v>
      </c>
      <c r="H2551" t="s">
        <v>524</v>
      </c>
      <c r="I2551">
        <v>3003</v>
      </c>
      <c r="J2551" t="s">
        <v>22</v>
      </c>
      <c r="K2551" t="s">
        <v>23</v>
      </c>
      <c r="L2551" t="s">
        <v>31</v>
      </c>
      <c r="M2551" t="s">
        <v>636</v>
      </c>
      <c r="N2551" t="s">
        <v>53</v>
      </c>
      <c r="O2551">
        <v>147</v>
      </c>
      <c r="R2551" s="11">
        <v>8.1018518518518516E-5</v>
      </c>
      <c r="S2551" t="s">
        <v>37</v>
      </c>
      <c r="T2551" t="str">
        <f>IF(Tabela1[[#This Row],[STATUS_NEGOCIO]]="Enviar E-mail",1,"")</f>
        <v/>
      </c>
      <c r="U2551" t="str">
        <f>TEXT(Tabela1[[#This Row],[DATA]],"dd/mm/aaaa")</f>
        <v>24/04/2026</v>
      </c>
    </row>
    <row r="2552" spans="1:21" x14ac:dyDescent="0.25">
      <c r="A2552" s="9">
        <v>46136.647974537038</v>
      </c>
      <c r="B2552" t="s">
        <v>19</v>
      </c>
      <c r="C2552" t="s">
        <v>37</v>
      </c>
      <c r="D2552">
        <v>382</v>
      </c>
      <c r="E2552">
        <v>33208174000101</v>
      </c>
      <c r="F2552">
        <v>845</v>
      </c>
      <c r="G2552" s="10">
        <v>177705558549561</v>
      </c>
      <c r="H2552" t="s">
        <v>525</v>
      </c>
      <c r="I2552">
        <v>3003</v>
      </c>
      <c r="J2552" t="s">
        <v>22</v>
      </c>
      <c r="K2552" t="s">
        <v>23</v>
      </c>
      <c r="L2552" t="s">
        <v>31</v>
      </c>
      <c r="M2552" t="s">
        <v>636</v>
      </c>
      <c r="N2552" t="s">
        <v>53</v>
      </c>
      <c r="O2552">
        <v>128</v>
      </c>
      <c r="R2552" s="11">
        <v>8.1018518518518516E-5</v>
      </c>
      <c r="S2552" t="s">
        <v>37</v>
      </c>
      <c r="T2552" t="str">
        <f>IF(Tabela1[[#This Row],[STATUS_NEGOCIO]]="Enviar E-mail",1,"")</f>
        <v/>
      </c>
      <c r="U2552" t="str">
        <f>TEXT(Tabela1[[#This Row],[DATA]],"dd/mm/aaaa")</f>
        <v>24/04/2026</v>
      </c>
    </row>
    <row r="2553" spans="1:21" x14ac:dyDescent="0.25">
      <c r="A2553" s="9">
        <v>46136.648344907408</v>
      </c>
      <c r="B2553" t="s">
        <v>19</v>
      </c>
      <c r="C2553" t="s">
        <v>37</v>
      </c>
      <c r="D2553">
        <v>383</v>
      </c>
      <c r="E2553">
        <v>33242199000113</v>
      </c>
      <c r="F2553">
        <v>846</v>
      </c>
      <c r="G2553" s="10">
        <v>177705561749591</v>
      </c>
      <c r="H2553" t="s">
        <v>526</v>
      </c>
      <c r="I2553" t="s">
        <v>52</v>
      </c>
      <c r="J2553" t="s">
        <v>22</v>
      </c>
      <c r="K2553" t="s">
        <v>62</v>
      </c>
      <c r="L2553" t="s">
        <v>62</v>
      </c>
      <c r="M2553" t="s">
        <v>636</v>
      </c>
      <c r="N2553" t="s">
        <v>53</v>
      </c>
      <c r="O2553">
        <v>17</v>
      </c>
      <c r="R2553" s="11">
        <v>0</v>
      </c>
      <c r="S2553" t="s">
        <v>37</v>
      </c>
      <c r="T2553" t="str">
        <f>IF(Tabela1[[#This Row],[STATUS_NEGOCIO]]="Enviar E-mail",1,"")</f>
        <v/>
      </c>
      <c r="U2553" t="str">
        <f>TEXT(Tabela1[[#This Row],[DATA]],"dd/mm/aaaa")</f>
        <v>24/04/2026</v>
      </c>
    </row>
    <row r="2554" spans="1:21" x14ac:dyDescent="0.25">
      <c r="A2554" s="9">
        <v>46136.648402777777</v>
      </c>
      <c r="B2554" t="s">
        <v>19</v>
      </c>
      <c r="C2554" t="s">
        <v>37</v>
      </c>
      <c r="D2554">
        <v>385</v>
      </c>
      <c r="E2554">
        <v>33472846000183</v>
      </c>
      <c r="F2554">
        <v>847</v>
      </c>
      <c r="G2554" s="10">
        <v>177705562249601</v>
      </c>
      <c r="H2554" t="s">
        <v>527</v>
      </c>
      <c r="I2554" t="s">
        <v>52</v>
      </c>
      <c r="J2554" t="s">
        <v>22</v>
      </c>
      <c r="K2554" t="s">
        <v>36</v>
      </c>
      <c r="L2554" t="s">
        <v>36</v>
      </c>
      <c r="M2554" t="s">
        <v>636</v>
      </c>
      <c r="N2554" t="s">
        <v>53</v>
      </c>
      <c r="O2554">
        <v>19</v>
      </c>
      <c r="R2554" s="11">
        <v>0</v>
      </c>
      <c r="S2554" t="s">
        <v>37</v>
      </c>
      <c r="T2554" t="str">
        <f>IF(Tabela1[[#This Row],[STATUS_NEGOCIO]]="Enviar E-mail",1,"")</f>
        <v/>
      </c>
      <c r="U2554" t="str">
        <f>TEXT(Tabela1[[#This Row],[DATA]],"dd/mm/aaaa")</f>
        <v>24/04/2026</v>
      </c>
    </row>
    <row r="2555" spans="1:21" x14ac:dyDescent="0.25">
      <c r="A2555" s="9">
        <v>46136.648981481485</v>
      </c>
      <c r="B2555" t="s">
        <v>19</v>
      </c>
      <c r="C2555" t="s">
        <v>37</v>
      </c>
      <c r="D2555">
        <v>386</v>
      </c>
      <c r="E2555">
        <v>33524117000123</v>
      </c>
      <c r="F2555">
        <v>848</v>
      </c>
      <c r="G2555" s="10">
        <v>177705567249741</v>
      </c>
      <c r="H2555" t="s">
        <v>168</v>
      </c>
      <c r="I2555">
        <v>3003</v>
      </c>
      <c r="J2555" t="s">
        <v>22</v>
      </c>
      <c r="K2555" t="s">
        <v>23</v>
      </c>
      <c r="L2555" t="s">
        <v>31</v>
      </c>
      <c r="M2555" t="s">
        <v>636</v>
      </c>
      <c r="N2555" t="s">
        <v>53</v>
      </c>
      <c r="O2555">
        <v>128</v>
      </c>
      <c r="R2555" s="11">
        <v>6.9444444444444444E-5</v>
      </c>
      <c r="S2555" t="s">
        <v>37</v>
      </c>
      <c r="T2555" t="str">
        <f>IF(Tabela1[[#This Row],[STATUS_NEGOCIO]]="Enviar E-mail",1,"")</f>
        <v/>
      </c>
      <c r="U2555" t="str">
        <f>TEXT(Tabela1[[#This Row],[DATA]],"dd/mm/aaaa")</f>
        <v>24/04/2026</v>
      </c>
    </row>
    <row r="2556" spans="1:21" x14ac:dyDescent="0.25">
      <c r="A2556" s="9">
        <v>46136.64947916667</v>
      </c>
      <c r="B2556" t="s">
        <v>19</v>
      </c>
      <c r="C2556" t="s">
        <v>37</v>
      </c>
      <c r="D2556">
        <v>387</v>
      </c>
      <c r="E2556">
        <v>33524950000174</v>
      </c>
      <c r="F2556">
        <v>849</v>
      </c>
      <c r="G2556" s="10">
        <v>177705571549891</v>
      </c>
      <c r="H2556" t="s">
        <v>104</v>
      </c>
      <c r="I2556">
        <v>3003</v>
      </c>
      <c r="J2556" t="s">
        <v>22</v>
      </c>
      <c r="K2556" t="s">
        <v>23</v>
      </c>
      <c r="L2556" t="s">
        <v>31</v>
      </c>
      <c r="M2556" t="s">
        <v>636</v>
      </c>
      <c r="N2556" t="s">
        <v>53</v>
      </c>
      <c r="O2556">
        <v>128</v>
      </c>
      <c r="R2556" s="11">
        <v>8.1018518518518516E-5</v>
      </c>
      <c r="S2556" t="s">
        <v>37</v>
      </c>
      <c r="T2556" t="str">
        <f>IF(Tabela1[[#This Row],[STATUS_NEGOCIO]]="Enviar E-mail",1,"")</f>
        <v/>
      </c>
      <c r="U2556" t="str">
        <f>TEXT(Tabela1[[#This Row],[DATA]],"dd/mm/aaaa")</f>
        <v>24/04/2026</v>
      </c>
    </row>
    <row r="2557" spans="1:21" x14ac:dyDescent="0.25">
      <c r="A2557" s="9">
        <v>46136.649606481478</v>
      </c>
      <c r="B2557" t="s">
        <v>19</v>
      </c>
      <c r="C2557" t="s">
        <v>37</v>
      </c>
      <c r="D2557">
        <v>388</v>
      </c>
      <c r="E2557">
        <v>33833660000102</v>
      </c>
      <c r="F2557">
        <v>850</v>
      </c>
      <c r="G2557" s="10">
        <v>177705572649911</v>
      </c>
      <c r="H2557" t="s">
        <v>155</v>
      </c>
      <c r="I2557">
        <v>3003</v>
      </c>
      <c r="J2557" t="s">
        <v>22</v>
      </c>
      <c r="K2557" t="s">
        <v>23</v>
      </c>
      <c r="L2557" t="s">
        <v>31</v>
      </c>
      <c r="M2557" t="s">
        <v>636</v>
      </c>
      <c r="N2557" t="s">
        <v>53</v>
      </c>
      <c r="O2557">
        <v>128</v>
      </c>
      <c r="R2557" s="11">
        <v>8.1018518518518516E-5</v>
      </c>
      <c r="S2557" t="s">
        <v>37</v>
      </c>
      <c r="T2557" t="str">
        <f>IF(Tabela1[[#This Row],[STATUS_NEGOCIO]]="Enviar E-mail",1,"")</f>
        <v/>
      </c>
      <c r="U2557" t="str">
        <f>TEXT(Tabela1[[#This Row],[DATA]],"dd/mm/aaaa")</f>
        <v>24/04/2026</v>
      </c>
    </row>
    <row r="2558" spans="1:21" x14ac:dyDescent="0.25">
      <c r="A2558" s="9">
        <v>46136.64980324074</v>
      </c>
      <c r="B2558" t="s">
        <v>19</v>
      </c>
      <c r="C2558" t="s">
        <v>37</v>
      </c>
      <c r="D2558">
        <v>389</v>
      </c>
      <c r="E2558">
        <v>33863778000183</v>
      </c>
      <c r="F2558">
        <v>851</v>
      </c>
      <c r="G2558" s="10">
        <v>177705574349971</v>
      </c>
      <c r="H2558" t="s">
        <v>528</v>
      </c>
      <c r="I2558">
        <v>3003</v>
      </c>
      <c r="J2558" t="s">
        <v>22</v>
      </c>
      <c r="K2558" t="s">
        <v>23</v>
      </c>
      <c r="L2558" t="s">
        <v>31</v>
      </c>
      <c r="M2558" t="s">
        <v>636</v>
      </c>
      <c r="N2558" t="s">
        <v>53</v>
      </c>
      <c r="O2558">
        <v>128</v>
      </c>
      <c r="R2558" s="11">
        <v>8.1018518518518516E-5</v>
      </c>
      <c r="S2558" t="s">
        <v>37</v>
      </c>
      <c r="T2558" t="str">
        <f>IF(Tabela1[[#This Row],[STATUS_NEGOCIO]]="Enviar E-mail",1,"")</f>
        <v/>
      </c>
      <c r="U2558" t="str">
        <f>TEXT(Tabela1[[#This Row],[DATA]],"dd/mm/aaaa")</f>
        <v>24/04/2026</v>
      </c>
    </row>
    <row r="2559" spans="1:21" x14ac:dyDescent="0.25">
      <c r="A2559" s="9">
        <v>46136.649930555555</v>
      </c>
      <c r="B2559" t="s">
        <v>19</v>
      </c>
      <c r="C2559" t="s">
        <v>37</v>
      </c>
      <c r="D2559">
        <v>390</v>
      </c>
      <c r="E2559">
        <v>33880863000150</v>
      </c>
      <c r="F2559">
        <v>852</v>
      </c>
      <c r="G2559" s="10">
        <v>177705575450001</v>
      </c>
      <c r="H2559" t="s">
        <v>153</v>
      </c>
      <c r="I2559">
        <v>3003</v>
      </c>
      <c r="J2559" t="s">
        <v>22</v>
      </c>
      <c r="K2559" t="s">
        <v>23</v>
      </c>
      <c r="L2559" t="s">
        <v>31</v>
      </c>
      <c r="M2559" t="s">
        <v>636</v>
      </c>
      <c r="N2559" t="s">
        <v>53</v>
      </c>
      <c r="O2559">
        <v>128</v>
      </c>
      <c r="R2559" s="11">
        <v>6.9444444444444444E-5</v>
      </c>
      <c r="S2559" t="s">
        <v>37</v>
      </c>
      <c r="T2559" t="str">
        <f>IF(Tabela1[[#This Row],[STATUS_NEGOCIO]]="Enviar E-mail",1,"")</f>
        <v/>
      </c>
      <c r="U2559" t="str">
        <f>TEXT(Tabela1[[#This Row],[DATA]],"dd/mm/aaaa")</f>
        <v>24/04/2026</v>
      </c>
    </row>
    <row r="2560" spans="1:21" x14ac:dyDescent="0.25">
      <c r="A2560" s="9">
        <v>46136.650185185186</v>
      </c>
      <c r="B2560" t="s">
        <v>19</v>
      </c>
      <c r="C2560" t="s">
        <v>37</v>
      </c>
      <c r="D2560">
        <v>391</v>
      </c>
      <c r="E2560">
        <v>33889341000119</v>
      </c>
      <c r="F2560">
        <v>853</v>
      </c>
      <c r="G2560" s="10">
        <v>177705577650061</v>
      </c>
      <c r="H2560" t="s">
        <v>200</v>
      </c>
      <c r="I2560">
        <v>3003</v>
      </c>
      <c r="J2560" t="s">
        <v>22</v>
      </c>
      <c r="K2560" t="s">
        <v>23</v>
      </c>
      <c r="L2560" t="s">
        <v>31</v>
      </c>
      <c r="M2560" t="s">
        <v>636</v>
      </c>
      <c r="N2560" t="s">
        <v>53</v>
      </c>
      <c r="O2560">
        <v>128</v>
      </c>
      <c r="R2560" s="11">
        <v>8.1018518518518516E-5</v>
      </c>
      <c r="S2560" t="s">
        <v>37</v>
      </c>
      <c r="T2560" t="str">
        <f>IF(Tabela1[[#This Row],[STATUS_NEGOCIO]]="Enviar E-mail",1,"")</f>
        <v/>
      </c>
      <c r="U2560" t="str">
        <f>TEXT(Tabela1[[#This Row],[DATA]],"dd/mm/aaaa")</f>
        <v>24/04/2026</v>
      </c>
    </row>
    <row r="2561" spans="1:21" x14ac:dyDescent="0.25">
      <c r="A2561" s="9">
        <v>46136.650277777779</v>
      </c>
      <c r="B2561" t="s">
        <v>19</v>
      </c>
      <c r="C2561" t="s">
        <v>37</v>
      </c>
      <c r="D2561">
        <v>392</v>
      </c>
      <c r="E2561">
        <v>33979964000182</v>
      </c>
      <c r="F2561">
        <v>854</v>
      </c>
      <c r="G2561" s="10">
        <v>177705578450081</v>
      </c>
      <c r="H2561" t="s">
        <v>529</v>
      </c>
      <c r="I2561">
        <v>3003</v>
      </c>
      <c r="J2561" t="s">
        <v>22</v>
      </c>
      <c r="K2561" t="s">
        <v>23</v>
      </c>
      <c r="L2561" t="s">
        <v>31</v>
      </c>
      <c r="M2561" t="s">
        <v>636</v>
      </c>
      <c r="N2561" t="s">
        <v>53</v>
      </c>
      <c r="O2561">
        <v>128</v>
      </c>
      <c r="R2561" s="11">
        <v>8.1018518518518516E-5</v>
      </c>
      <c r="S2561" t="s">
        <v>37</v>
      </c>
      <c r="T2561" t="str">
        <f>IF(Tabela1[[#This Row],[STATUS_NEGOCIO]]="Enviar E-mail",1,"")</f>
        <v/>
      </c>
      <c r="U2561" t="str">
        <f>TEXT(Tabela1[[#This Row],[DATA]],"dd/mm/aaaa")</f>
        <v>24/04/2026</v>
      </c>
    </row>
    <row r="2562" spans="1:21" x14ac:dyDescent="0.25">
      <c r="A2562" s="9">
        <v>46136.650648148148</v>
      </c>
      <c r="B2562" t="s">
        <v>19</v>
      </c>
      <c r="C2562" t="s">
        <v>37</v>
      </c>
      <c r="D2562">
        <v>393</v>
      </c>
      <c r="E2562">
        <v>34005108000199</v>
      </c>
      <c r="F2562">
        <v>855</v>
      </c>
      <c r="G2562" s="10">
        <v>177705581650101</v>
      </c>
      <c r="H2562" t="s">
        <v>530</v>
      </c>
      <c r="I2562">
        <v>3003</v>
      </c>
      <c r="J2562" t="s">
        <v>22</v>
      </c>
      <c r="K2562" t="s">
        <v>23</v>
      </c>
      <c r="L2562" t="s">
        <v>31</v>
      </c>
      <c r="M2562" t="s">
        <v>636</v>
      </c>
      <c r="N2562" t="s">
        <v>53</v>
      </c>
      <c r="O2562">
        <v>128</v>
      </c>
      <c r="R2562" s="11">
        <v>3.4722222222222222E-5</v>
      </c>
      <c r="S2562" t="s">
        <v>37</v>
      </c>
      <c r="T2562" t="str">
        <f>IF(Tabela1[[#This Row],[STATUS_NEGOCIO]]="Enviar E-mail",1,"")</f>
        <v/>
      </c>
      <c r="U2562" t="str">
        <f>TEXT(Tabela1[[#This Row],[DATA]],"dd/mm/aaaa")</f>
        <v>24/04/2026</v>
      </c>
    </row>
    <row r="2563" spans="1:21" x14ac:dyDescent="0.25">
      <c r="A2563" s="9">
        <v>46136.650648148148</v>
      </c>
      <c r="B2563" t="s">
        <v>19</v>
      </c>
      <c r="C2563" t="s">
        <v>37</v>
      </c>
      <c r="D2563">
        <v>394</v>
      </c>
      <c r="E2563">
        <v>34050567000194</v>
      </c>
      <c r="F2563">
        <v>856</v>
      </c>
      <c r="G2563" s="10">
        <v>177705581650121</v>
      </c>
      <c r="H2563" t="s">
        <v>531</v>
      </c>
      <c r="I2563">
        <v>3003</v>
      </c>
      <c r="J2563" t="s">
        <v>22</v>
      </c>
      <c r="K2563" t="s">
        <v>23</v>
      </c>
      <c r="L2563" t="s">
        <v>31</v>
      </c>
      <c r="M2563" t="s">
        <v>636</v>
      </c>
      <c r="N2563" t="s">
        <v>53</v>
      </c>
      <c r="O2563">
        <v>128</v>
      </c>
      <c r="R2563" s="11">
        <v>8.1018518518518516E-5</v>
      </c>
      <c r="S2563" t="s">
        <v>37</v>
      </c>
      <c r="T2563" t="str">
        <f>IF(Tabela1[[#This Row],[STATUS_NEGOCIO]]="Enviar E-mail",1,"")</f>
        <v/>
      </c>
      <c r="U2563" t="str">
        <f>TEXT(Tabela1[[#This Row],[DATA]],"dd/mm/aaaa")</f>
        <v>24/04/2026</v>
      </c>
    </row>
    <row r="2564" spans="1:21" x14ac:dyDescent="0.25">
      <c r="A2564" s="9">
        <v>46136.650740740741</v>
      </c>
      <c r="B2564" t="s">
        <v>19</v>
      </c>
      <c r="C2564" t="s">
        <v>37</v>
      </c>
      <c r="D2564">
        <v>395</v>
      </c>
      <c r="E2564">
        <v>34058701000101</v>
      </c>
      <c r="F2564">
        <v>857</v>
      </c>
      <c r="G2564" s="10">
        <v>177705582450141</v>
      </c>
      <c r="H2564" t="s">
        <v>532</v>
      </c>
      <c r="I2564">
        <v>3003</v>
      </c>
      <c r="J2564" t="s">
        <v>22</v>
      </c>
      <c r="K2564" t="s">
        <v>23</v>
      </c>
      <c r="L2564" t="s">
        <v>31</v>
      </c>
      <c r="M2564" t="s">
        <v>636</v>
      </c>
      <c r="N2564" t="s">
        <v>53</v>
      </c>
      <c r="O2564">
        <v>147</v>
      </c>
      <c r="R2564" s="11">
        <v>8.1018518518518516E-5</v>
      </c>
      <c r="S2564" t="s">
        <v>37</v>
      </c>
      <c r="T2564" t="str">
        <f>IF(Tabela1[[#This Row],[STATUS_NEGOCIO]]="Enviar E-mail",1,"")</f>
        <v/>
      </c>
      <c r="U2564" t="str">
        <f>TEXT(Tabela1[[#This Row],[DATA]],"dd/mm/aaaa")</f>
        <v>24/04/2026</v>
      </c>
    </row>
    <row r="2565" spans="1:21" x14ac:dyDescent="0.25">
      <c r="A2565" s="9">
        <v>46136.650925925926</v>
      </c>
      <c r="B2565" t="s">
        <v>19</v>
      </c>
      <c r="C2565" t="s">
        <v>37</v>
      </c>
      <c r="D2565">
        <v>396</v>
      </c>
      <c r="E2565">
        <v>34413663000150</v>
      </c>
      <c r="F2565">
        <v>858</v>
      </c>
      <c r="G2565" s="10">
        <v>177705584050161</v>
      </c>
      <c r="H2565" t="s">
        <v>45</v>
      </c>
      <c r="I2565" t="s">
        <v>52</v>
      </c>
      <c r="J2565" t="s">
        <v>22</v>
      </c>
      <c r="K2565" t="s">
        <v>36</v>
      </c>
      <c r="L2565" t="s">
        <v>36</v>
      </c>
      <c r="M2565" t="s">
        <v>636</v>
      </c>
      <c r="N2565" t="s">
        <v>53</v>
      </c>
      <c r="O2565">
        <v>19</v>
      </c>
      <c r="R2565" s="11">
        <v>0</v>
      </c>
      <c r="S2565" t="s">
        <v>37</v>
      </c>
      <c r="T2565" t="str">
        <f>IF(Tabela1[[#This Row],[STATUS_NEGOCIO]]="Enviar E-mail",1,"")</f>
        <v/>
      </c>
      <c r="U2565" t="str">
        <f>TEXT(Tabela1[[#This Row],[DATA]],"dd/mm/aaaa")</f>
        <v>24/04/2026</v>
      </c>
    </row>
    <row r="2566" spans="1:21" x14ac:dyDescent="0.25">
      <c r="A2566" s="9">
        <v>46136.651006944441</v>
      </c>
      <c r="B2566" t="s">
        <v>19</v>
      </c>
      <c r="C2566" t="s">
        <v>37</v>
      </c>
      <c r="D2566">
        <v>397</v>
      </c>
      <c r="E2566">
        <v>34484975000154</v>
      </c>
      <c r="F2566">
        <v>859</v>
      </c>
      <c r="G2566" s="10">
        <v>177705584750181</v>
      </c>
      <c r="H2566" t="s">
        <v>173</v>
      </c>
      <c r="I2566">
        <v>3003</v>
      </c>
      <c r="J2566" t="s">
        <v>22</v>
      </c>
      <c r="K2566" t="s">
        <v>23</v>
      </c>
      <c r="L2566" t="s">
        <v>31</v>
      </c>
      <c r="M2566" t="s">
        <v>636</v>
      </c>
      <c r="N2566" t="s">
        <v>53</v>
      </c>
      <c r="O2566">
        <v>128</v>
      </c>
      <c r="R2566" s="11">
        <v>8.1018518518518516E-5</v>
      </c>
      <c r="S2566" t="s">
        <v>37</v>
      </c>
      <c r="T2566" t="str">
        <f>IF(Tabela1[[#This Row],[STATUS_NEGOCIO]]="Enviar E-mail",1,"")</f>
        <v/>
      </c>
      <c r="U2566" t="str">
        <f>TEXT(Tabela1[[#This Row],[DATA]],"dd/mm/aaaa")</f>
        <v>24/04/2026</v>
      </c>
    </row>
    <row r="2567" spans="1:21" x14ac:dyDescent="0.25">
      <c r="A2567" s="9">
        <v>46136.651122685187</v>
      </c>
      <c r="B2567" t="s">
        <v>19</v>
      </c>
      <c r="C2567" t="s">
        <v>37</v>
      </c>
      <c r="D2567">
        <v>398</v>
      </c>
      <c r="E2567">
        <v>34851161000100</v>
      </c>
      <c r="F2567">
        <v>860</v>
      </c>
      <c r="G2567" s="10">
        <v>177705585750201</v>
      </c>
      <c r="H2567" t="s">
        <v>533</v>
      </c>
      <c r="I2567">
        <v>3003</v>
      </c>
      <c r="J2567" t="s">
        <v>22</v>
      </c>
      <c r="K2567" t="s">
        <v>23</v>
      </c>
      <c r="L2567" t="s">
        <v>31</v>
      </c>
      <c r="M2567" t="s">
        <v>636</v>
      </c>
      <c r="N2567" t="s">
        <v>53</v>
      </c>
      <c r="O2567">
        <v>128</v>
      </c>
      <c r="R2567" s="11">
        <v>8.1018518518518516E-5</v>
      </c>
      <c r="S2567" t="s">
        <v>37</v>
      </c>
      <c r="T2567" t="str">
        <f>IF(Tabela1[[#This Row],[STATUS_NEGOCIO]]="Enviar E-mail",1,"")</f>
        <v/>
      </c>
      <c r="U2567" t="str">
        <f>TEXT(Tabela1[[#This Row],[DATA]],"dd/mm/aaaa")</f>
        <v>24/04/2026</v>
      </c>
    </row>
    <row r="2568" spans="1:21" x14ac:dyDescent="0.25">
      <c r="A2568" s="9">
        <v>46136.651331018518</v>
      </c>
      <c r="B2568" t="s">
        <v>19</v>
      </c>
      <c r="C2568" t="s">
        <v>37</v>
      </c>
      <c r="D2568">
        <v>399</v>
      </c>
      <c r="E2568">
        <v>34978275000116</v>
      </c>
      <c r="F2568">
        <v>861</v>
      </c>
      <c r="G2568" s="10">
        <v>177705587550221</v>
      </c>
      <c r="H2568" t="s">
        <v>77</v>
      </c>
      <c r="I2568">
        <v>3003</v>
      </c>
      <c r="J2568" t="s">
        <v>22</v>
      </c>
      <c r="K2568" t="s">
        <v>23</v>
      </c>
      <c r="L2568" t="s">
        <v>31</v>
      </c>
      <c r="M2568" t="s">
        <v>636</v>
      </c>
      <c r="N2568" t="s">
        <v>53</v>
      </c>
      <c r="O2568">
        <v>128</v>
      </c>
      <c r="R2568" s="11">
        <v>8.1018518518518516E-5</v>
      </c>
      <c r="S2568" t="s">
        <v>37</v>
      </c>
      <c r="T2568" t="str">
        <f>IF(Tabela1[[#This Row],[STATUS_NEGOCIO]]="Enviar E-mail",1,"")</f>
        <v/>
      </c>
      <c r="U2568" t="str">
        <f>TEXT(Tabela1[[#This Row],[DATA]],"dd/mm/aaaa")</f>
        <v>24/04/2026</v>
      </c>
    </row>
    <row r="2569" spans="1:21" x14ac:dyDescent="0.25">
      <c r="A2569" s="9">
        <v>46136.651516203703</v>
      </c>
      <c r="B2569" t="s">
        <v>19</v>
      </c>
      <c r="C2569" t="s">
        <v>37</v>
      </c>
      <c r="D2569">
        <v>400</v>
      </c>
      <c r="E2569">
        <v>35055430000195</v>
      </c>
      <c r="F2569">
        <v>862</v>
      </c>
      <c r="G2569" s="10">
        <v>177705589150301</v>
      </c>
      <c r="H2569" t="s">
        <v>534</v>
      </c>
      <c r="I2569">
        <v>3003</v>
      </c>
      <c r="J2569" t="s">
        <v>22</v>
      </c>
      <c r="K2569" t="s">
        <v>23</v>
      </c>
      <c r="L2569" t="s">
        <v>31</v>
      </c>
      <c r="M2569" t="s">
        <v>636</v>
      </c>
      <c r="N2569" t="s">
        <v>53</v>
      </c>
      <c r="O2569">
        <v>128</v>
      </c>
      <c r="R2569" s="11">
        <v>8.1018518518518516E-5</v>
      </c>
      <c r="S2569" t="s">
        <v>37</v>
      </c>
      <c r="T2569" t="str">
        <f>IF(Tabela1[[#This Row],[STATUS_NEGOCIO]]="Enviar E-mail",1,"")</f>
        <v/>
      </c>
      <c r="U2569" t="str">
        <f>TEXT(Tabela1[[#This Row],[DATA]],"dd/mm/aaaa")</f>
        <v>24/04/2026</v>
      </c>
    </row>
    <row r="2570" spans="1:21" x14ac:dyDescent="0.25">
      <c r="A2570" s="9">
        <v>46136.651516203703</v>
      </c>
      <c r="B2570" t="s">
        <v>19</v>
      </c>
      <c r="C2570" t="s">
        <v>37</v>
      </c>
      <c r="D2570">
        <v>401</v>
      </c>
      <c r="E2570">
        <v>35152881000140</v>
      </c>
      <c r="F2570">
        <v>863</v>
      </c>
      <c r="G2570" s="10">
        <v>177705589150311</v>
      </c>
      <c r="H2570" t="s">
        <v>120</v>
      </c>
      <c r="I2570">
        <v>3003</v>
      </c>
      <c r="J2570" t="s">
        <v>22</v>
      </c>
      <c r="K2570" t="s">
        <v>23</v>
      </c>
      <c r="L2570" t="s">
        <v>31</v>
      </c>
      <c r="M2570" t="s">
        <v>636</v>
      </c>
      <c r="N2570" t="s">
        <v>53</v>
      </c>
      <c r="O2570">
        <v>128</v>
      </c>
      <c r="R2570" s="11">
        <v>8.1018518518518516E-5</v>
      </c>
      <c r="S2570" t="s">
        <v>37</v>
      </c>
      <c r="T2570" t="str">
        <f>IF(Tabela1[[#This Row],[STATUS_NEGOCIO]]="Enviar E-mail",1,"")</f>
        <v/>
      </c>
      <c r="U2570" t="str">
        <f>TEXT(Tabela1[[#This Row],[DATA]],"dd/mm/aaaa")</f>
        <v>24/04/2026</v>
      </c>
    </row>
    <row r="2571" spans="1:21" x14ac:dyDescent="0.25">
      <c r="A2571" s="9">
        <v>46136.651712962965</v>
      </c>
      <c r="B2571" t="s">
        <v>19</v>
      </c>
      <c r="C2571" t="s">
        <v>37</v>
      </c>
      <c r="D2571">
        <v>402</v>
      </c>
      <c r="E2571">
        <v>35700816000102</v>
      </c>
      <c r="F2571">
        <v>864</v>
      </c>
      <c r="G2571" s="10">
        <v>177705590850331</v>
      </c>
      <c r="H2571" t="s">
        <v>535</v>
      </c>
      <c r="I2571" t="s">
        <v>52</v>
      </c>
      <c r="J2571" t="s">
        <v>22</v>
      </c>
      <c r="K2571" t="s">
        <v>36</v>
      </c>
      <c r="L2571" t="s">
        <v>36</v>
      </c>
      <c r="M2571" t="s">
        <v>636</v>
      </c>
      <c r="N2571" t="s">
        <v>53</v>
      </c>
      <c r="O2571">
        <v>19</v>
      </c>
      <c r="R2571" s="11">
        <v>0</v>
      </c>
      <c r="S2571" t="s">
        <v>37</v>
      </c>
      <c r="T2571" t="str">
        <f>IF(Tabela1[[#This Row],[STATUS_NEGOCIO]]="Enviar E-mail",1,"")</f>
        <v/>
      </c>
      <c r="U2571" t="str">
        <f>TEXT(Tabela1[[#This Row],[DATA]],"dd/mm/aaaa")</f>
        <v>24/04/2026</v>
      </c>
    </row>
    <row r="2572" spans="1:21" x14ac:dyDescent="0.25">
      <c r="A2572" s="9">
        <v>46136.652048611111</v>
      </c>
      <c r="B2572" t="s">
        <v>19</v>
      </c>
      <c r="C2572" t="s">
        <v>37</v>
      </c>
      <c r="D2572">
        <v>403</v>
      </c>
      <c r="E2572">
        <v>35765734000146</v>
      </c>
      <c r="F2572">
        <v>865</v>
      </c>
      <c r="G2572" s="10">
        <v>177705593750361</v>
      </c>
      <c r="H2572" t="s">
        <v>536</v>
      </c>
      <c r="I2572">
        <v>3003</v>
      </c>
      <c r="J2572" t="s">
        <v>22</v>
      </c>
      <c r="K2572" t="s">
        <v>23</v>
      </c>
      <c r="L2572" t="s">
        <v>31</v>
      </c>
      <c r="M2572" t="s">
        <v>636</v>
      </c>
      <c r="N2572" t="s">
        <v>53</v>
      </c>
      <c r="O2572">
        <v>128</v>
      </c>
      <c r="R2572" s="11">
        <v>8.1018518518518516E-5</v>
      </c>
      <c r="S2572" t="s">
        <v>37</v>
      </c>
      <c r="T2572" t="str">
        <f>IF(Tabela1[[#This Row],[STATUS_NEGOCIO]]="Enviar E-mail",1,"")</f>
        <v/>
      </c>
      <c r="U2572" t="str">
        <f>TEXT(Tabela1[[#This Row],[DATA]],"dd/mm/aaaa")</f>
        <v>24/04/2026</v>
      </c>
    </row>
    <row r="2573" spans="1:21" x14ac:dyDescent="0.25">
      <c r="A2573" s="9">
        <v>46136.652291666665</v>
      </c>
      <c r="B2573" t="s">
        <v>19</v>
      </c>
      <c r="C2573" t="s">
        <v>37</v>
      </c>
      <c r="D2573">
        <v>404</v>
      </c>
      <c r="E2573">
        <v>35872118000194</v>
      </c>
      <c r="F2573">
        <v>866</v>
      </c>
      <c r="G2573" s="10">
        <v>177705595850391</v>
      </c>
      <c r="H2573" t="s">
        <v>537</v>
      </c>
      <c r="I2573">
        <v>3003</v>
      </c>
      <c r="J2573" t="s">
        <v>22</v>
      </c>
      <c r="K2573" t="s">
        <v>23</v>
      </c>
      <c r="L2573" t="s">
        <v>31</v>
      </c>
      <c r="M2573" t="s">
        <v>636</v>
      </c>
      <c r="N2573" t="s">
        <v>53</v>
      </c>
      <c r="O2573">
        <v>147</v>
      </c>
      <c r="R2573" s="11">
        <v>8.1018518518518516E-5</v>
      </c>
      <c r="S2573" t="s">
        <v>37</v>
      </c>
      <c r="T2573" t="str">
        <f>IF(Tabela1[[#This Row],[STATUS_NEGOCIO]]="Enviar E-mail",1,"")</f>
        <v/>
      </c>
      <c r="U2573" t="str">
        <f>TEXT(Tabela1[[#This Row],[DATA]],"dd/mm/aaaa")</f>
        <v>24/04/2026</v>
      </c>
    </row>
    <row r="2574" spans="1:21" x14ac:dyDescent="0.25">
      <c r="A2574" s="9">
        <v>46136.652291666665</v>
      </c>
      <c r="B2574" t="s">
        <v>19</v>
      </c>
      <c r="C2574" t="s">
        <v>37</v>
      </c>
      <c r="D2574">
        <v>405</v>
      </c>
      <c r="E2574">
        <v>35981385000108</v>
      </c>
      <c r="F2574">
        <v>867</v>
      </c>
      <c r="G2574" s="10">
        <v>177705595850421</v>
      </c>
      <c r="H2574" t="s">
        <v>76</v>
      </c>
      <c r="I2574">
        <v>3003</v>
      </c>
      <c r="J2574" t="s">
        <v>22</v>
      </c>
      <c r="K2574" t="s">
        <v>23</v>
      </c>
      <c r="L2574" t="s">
        <v>31</v>
      </c>
      <c r="M2574" t="s">
        <v>636</v>
      </c>
      <c r="N2574" t="s">
        <v>53</v>
      </c>
      <c r="O2574">
        <v>128</v>
      </c>
      <c r="R2574" s="11">
        <v>8.1018518518518516E-5</v>
      </c>
      <c r="S2574" t="s">
        <v>37</v>
      </c>
      <c r="T2574" t="str">
        <f>IF(Tabela1[[#This Row],[STATUS_NEGOCIO]]="Enviar E-mail",1,"")</f>
        <v/>
      </c>
      <c r="U2574" t="str">
        <f>TEXT(Tabela1[[#This Row],[DATA]],"dd/mm/aaaa")</f>
        <v>24/04/2026</v>
      </c>
    </row>
    <row r="2575" spans="1:21" x14ac:dyDescent="0.25">
      <c r="A2575" s="9">
        <v>46136.652569444443</v>
      </c>
      <c r="B2575" t="s">
        <v>19</v>
      </c>
      <c r="C2575" t="s">
        <v>37</v>
      </c>
      <c r="D2575">
        <v>406</v>
      </c>
      <c r="E2575">
        <v>35982209000182</v>
      </c>
      <c r="F2575">
        <v>868</v>
      </c>
      <c r="G2575" s="10">
        <v>177705598250471</v>
      </c>
      <c r="H2575" t="s">
        <v>204</v>
      </c>
      <c r="I2575">
        <v>3003</v>
      </c>
      <c r="J2575" t="s">
        <v>22</v>
      </c>
      <c r="K2575" t="s">
        <v>23</v>
      </c>
      <c r="L2575" t="s">
        <v>31</v>
      </c>
      <c r="M2575" t="s">
        <v>636</v>
      </c>
      <c r="N2575" t="s">
        <v>53</v>
      </c>
      <c r="O2575">
        <v>128</v>
      </c>
      <c r="R2575" s="11">
        <v>8.1018518518518516E-5</v>
      </c>
      <c r="S2575" t="s">
        <v>37</v>
      </c>
      <c r="T2575" t="str">
        <f>IF(Tabela1[[#This Row],[STATUS_NEGOCIO]]="Enviar E-mail",1,"")</f>
        <v/>
      </c>
      <c r="U2575" t="str">
        <f>TEXT(Tabela1[[#This Row],[DATA]],"dd/mm/aaaa")</f>
        <v>24/04/2026</v>
      </c>
    </row>
    <row r="2576" spans="1:21" x14ac:dyDescent="0.25">
      <c r="A2576" s="9">
        <v>46136.652662037035</v>
      </c>
      <c r="B2576" t="s">
        <v>19</v>
      </c>
      <c r="C2576" t="s">
        <v>20</v>
      </c>
      <c r="D2576">
        <v>407</v>
      </c>
      <c r="E2576">
        <v>36073112000110</v>
      </c>
      <c r="F2576">
        <v>869</v>
      </c>
      <c r="G2576" s="10">
        <v>177705599050501</v>
      </c>
      <c r="H2576" t="s">
        <v>538</v>
      </c>
      <c r="I2576">
        <v>3003</v>
      </c>
      <c r="J2576" t="s">
        <v>22</v>
      </c>
      <c r="K2576" t="s">
        <v>23</v>
      </c>
      <c r="L2576" t="s">
        <v>31</v>
      </c>
      <c r="M2576" t="s">
        <v>636</v>
      </c>
      <c r="N2576" t="s">
        <v>26</v>
      </c>
      <c r="O2576">
        <v>16</v>
      </c>
      <c r="R2576" s="11">
        <v>8.1018518518518516E-5</v>
      </c>
      <c r="S2576" s="11">
        <v>1.1574074074074073E-5</v>
      </c>
      <c r="T2576" t="str">
        <f>IF(Tabela1[[#This Row],[STATUS_NEGOCIO]]="Enviar E-mail",1,"")</f>
        <v/>
      </c>
      <c r="U2576" t="str">
        <f>TEXT(Tabela1[[#This Row],[DATA]],"dd/mm/aaaa")</f>
        <v>24/04/2026</v>
      </c>
    </row>
    <row r="2577" spans="1:21" x14ac:dyDescent="0.25">
      <c r="A2577" s="9">
        <v>46136.65284722222</v>
      </c>
      <c r="B2577" t="s">
        <v>19</v>
      </c>
      <c r="C2577" t="s">
        <v>37</v>
      </c>
      <c r="D2577">
        <v>408</v>
      </c>
      <c r="E2577">
        <v>36085439000101</v>
      </c>
      <c r="F2577">
        <v>870</v>
      </c>
      <c r="G2577" s="10">
        <v>177705600650531</v>
      </c>
      <c r="H2577" t="s">
        <v>539</v>
      </c>
      <c r="I2577">
        <v>3003</v>
      </c>
      <c r="J2577" t="s">
        <v>22</v>
      </c>
      <c r="K2577" t="s">
        <v>23</v>
      </c>
      <c r="L2577" t="s">
        <v>31</v>
      </c>
      <c r="M2577" t="s">
        <v>636</v>
      </c>
      <c r="N2577" t="s">
        <v>53</v>
      </c>
      <c r="O2577">
        <v>128</v>
      </c>
      <c r="R2577" s="11">
        <v>3.4722222222222222E-5</v>
      </c>
      <c r="S2577" t="s">
        <v>37</v>
      </c>
      <c r="T2577" t="str">
        <f>IF(Tabela1[[#This Row],[STATUS_NEGOCIO]]="Enviar E-mail",1,"")</f>
        <v/>
      </c>
      <c r="U2577" t="str">
        <f>TEXT(Tabela1[[#This Row],[DATA]],"dd/mm/aaaa")</f>
        <v>24/04/2026</v>
      </c>
    </row>
    <row r="2578" spans="1:21" x14ac:dyDescent="0.25">
      <c r="A2578" s="9">
        <v>46136.653009259258</v>
      </c>
      <c r="B2578" t="s">
        <v>19</v>
      </c>
      <c r="C2578" t="s">
        <v>37</v>
      </c>
      <c r="D2578">
        <v>409</v>
      </c>
      <c r="E2578">
        <v>36158632000125</v>
      </c>
      <c r="F2578">
        <v>871</v>
      </c>
      <c r="G2578" s="10">
        <v>177705602050611</v>
      </c>
      <c r="H2578" t="s">
        <v>166</v>
      </c>
      <c r="I2578">
        <v>3003</v>
      </c>
      <c r="J2578" t="s">
        <v>22</v>
      </c>
      <c r="K2578" t="s">
        <v>23</v>
      </c>
      <c r="L2578" t="s">
        <v>31</v>
      </c>
      <c r="M2578" t="s">
        <v>636</v>
      </c>
      <c r="N2578" t="s">
        <v>53</v>
      </c>
      <c r="O2578">
        <v>128</v>
      </c>
      <c r="R2578" s="11">
        <v>6.9444444444444444E-5</v>
      </c>
      <c r="S2578" t="s">
        <v>37</v>
      </c>
      <c r="T2578" t="str">
        <f>IF(Tabela1[[#This Row],[STATUS_NEGOCIO]]="Enviar E-mail",1,"")</f>
        <v/>
      </c>
      <c r="U2578" t="str">
        <f>TEXT(Tabela1[[#This Row],[DATA]],"dd/mm/aaaa")</f>
        <v>24/04/2026</v>
      </c>
    </row>
    <row r="2579" spans="1:21" x14ac:dyDescent="0.25">
      <c r="A2579" s="9">
        <v>46136.653043981481</v>
      </c>
      <c r="B2579" t="s">
        <v>19</v>
      </c>
      <c r="C2579" t="s">
        <v>37</v>
      </c>
      <c r="D2579">
        <v>410</v>
      </c>
      <c r="E2579">
        <v>36204923000102</v>
      </c>
      <c r="F2579">
        <v>872</v>
      </c>
      <c r="G2579" s="10">
        <v>177705602350661</v>
      </c>
      <c r="H2579" t="s">
        <v>540</v>
      </c>
      <c r="I2579">
        <v>3003</v>
      </c>
      <c r="J2579" t="s">
        <v>22</v>
      </c>
      <c r="K2579" t="s">
        <v>23</v>
      </c>
      <c r="L2579" t="s">
        <v>31</v>
      </c>
      <c r="M2579" t="s">
        <v>636</v>
      </c>
      <c r="N2579" t="s">
        <v>53</v>
      </c>
      <c r="O2579">
        <v>128</v>
      </c>
      <c r="R2579" s="11">
        <v>8.1018518518518516E-5</v>
      </c>
      <c r="S2579" t="s">
        <v>37</v>
      </c>
      <c r="T2579" t="str">
        <f>IF(Tabela1[[#This Row],[STATUS_NEGOCIO]]="Enviar E-mail",1,"")</f>
        <v/>
      </c>
      <c r="U2579" t="str">
        <f>TEXT(Tabela1[[#This Row],[DATA]],"dd/mm/aaaa")</f>
        <v>24/04/2026</v>
      </c>
    </row>
    <row r="2580" spans="1:21" x14ac:dyDescent="0.25">
      <c r="A2580" s="9">
        <v>46136.653368055559</v>
      </c>
      <c r="B2580" t="s">
        <v>19</v>
      </c>
      <c r="C2580" t="s">
        <v>37</v>
      </c>
      <c r="D2580">
        <v>411</v>
      </c>
      <c r="E2580">
        <v>36264719000187</v>
      </c>
      <c r="F2580">
        <v>873</v>
      </c>
      <c r="G2580" s="10">
        <v>177705605150711</v>
      </c>
      <c r="H2580" t="s">
        <v>541</v>
      </c>
      <c r="I2580">
        <v>3003</v>
      </c>
      <c r="J2580" t="s">
        <v>22</v>
      </c>
      <c r="K2580" t="s">
        <v>23</v>
      </c>
      <c r="L2580" t="s">
        <v>31</v>
      </c>
      <c r="M2580" t="s">
        <v>636</v>
      </c>
      <c r="N2580" t="s">
        <v>53</v>
      </c>
      <c r="O2580">
        <v>128</v>
      </c>
      <c r="R2580" s="11">
        <v>8.1018518518518516E-5</v>
      </c>
      <c r="S2580" t="s">
        <v>37</v>
      </c>
      <c r="T2580" t="str">
        <f>IF(Tabela1[[#This Row],[STATUS_NEGOCIO]]="Enviar E-mail",1,"")</f>
        <v/>
      </c>
      <c r="U2580" t="str">
        <f>TEXT(Tabela1[[#This Row],[DATA]],"dd/mm/aaaa")</f>
        <v>24/04/2026</v>
      </c>
    </row>
    <row r="2581" spans="1:21" x14ac:dyDescent="0.25">
      <c r="A2581" s="9">
        <v>46136.653379629628</v>
      </c>
      <c r="B2581" t="s">
        <v>19</v>
      </c>
      <c r="C2581" t="s">
        <v>37</v>
      </c>
      <c r="D2581">
        <v>413</v>
      </c>
      <c r="E2581">
        <v>36297125000172</v>
      </c>
      <c r="F2581">
        <v>874</v>
      </c>
      <c r="G2581" s="10">
        <v>177705605250731</v>
      </c>
      <c r="H2581" t="s">
        <v>642</v>
      </c>
      <c r="I2581">
        <v>3003</v>
      </c>
      <c r="J2581" t="s">
        <v>22</v>
      </c>
      <c r="K2581" t="s">
        <v>23</v>
      </c>
      <c r="L2581" t="s">
        <v>31</v>
      </c>
      <c r="M2581" t="s">
        <v>636</v>
      </c>
      <c r="N2581" t="s">
        <v>53</v>
      </c>
      <c r="O2581">
        <v>128</v>
      </c>
      <c r="R2581" s="11">
        <v>8.1018518518518516E-5</v>
      </c>
      <c r="S2581" t="s">
        <v>37</v>
      </c>
      <c r="T2581" t="str">
        <f>IF(Tabela1[[#This Row],[STATUS_NEGOCIO]]="Enviar E-mail",1,"")</f>
        <v/>
      </c>
      <c r="U2581" t="str">
        <f>TEXT(Tabela1[[#This Row],[DATA]],"dd/mm/aaaa")</f>
        <v>24/04/2026</v>
      </c>
    </row>
    <row r="2582" spans="1:21" x14ac:dyDescent="0.25">
      <c r="A2582" s="9">
        <v>46136.653703703705</v>
      </c>
      <c r="B2582" t="s">
        <v>19</v>
      </c>
      <c r="C2582" t="s">
        <v>37</v>
      </c>
      <c r="D2582">
        <v>414</v>
      </c>
      <c r="E2582">
        <v>36481984000117</v>
      </c>
      <c r="F2582">
        <v>875</v>
      </c>
      <c r="G2582" s="10">
        <v>177705608050751</v>
      </c>
      <c r="H2582" t="s">
        <v>543</v>
      </c>
      <c r="I2582">
        <v>3003</v>
      </c>
      <c r="J2582" t="s">
        <v>22</v>
      </c>
      <c r="K2582" t="s">
        <v>23</v>
      </c>
      <c r="L2582" t="s">
        <v>31</v>
      </c>
      <c r="M2582" t="s">
        <v>636</v>
      </c>
      <c r="N2582" t="s">
        <v>53</v>
      </c>
      <c r="O2582">
        <v>128</v>
      </c>
      <c r="R2582" s="11">
        <v>8.1018518518518516E-5</v>
      </c>
      <c r="S2582" t="s">
        <v>37</v>
      </c>
      <c r="T2582" t="str">
        <f>IF(Tabela1[[#This Row],[STATUS_NEGOCIO]]="Enviar E-mail",1,"")</f>
        <v/>
      </c>
      <c r="U2582" t="str">
        <f>TEXT(Tabela1[[#This Row],[DATA]],"dd/mm/aaaa")</f>
        <v>24/04/2026</v>
      </c>
    </row>
    <row r="2583" spans="1:21" x14ac:dyDescent="0.25">
      <c r="A2583" s="9">
        <v>46136.653749999998</v>
      </c>
      <c r="B2583" t="s">
        <v>19</v>
      </c>
      <c r="C2583" t="s">
        <v>37</v>
      </c>
      <c r="D2583">
        <v>415</v>
      </c>
      <c r="E2583">
        <v>36509446000193</v>
      </c>
      <c r="F2583">
        <v>876</v>
      </c>
      <c r="G2583" s="10">
        <v>177705608450771</v>
      </c>
      <c r="H2583" t="s">
        <v>544</v>
      </c>
      <c r="I2583">
        <v>3003</v>
      </c>
      <c r="J2583" t="s">
        <v>22</v>
      </c>
      <c r="K2583" t="s">
        <v>23</v>
      </c>
      <c r="L2583" t="s">
        <v>31</v>
      </c>
      <c r="M2583" t="s">
        <v>636</v>
      </c>
      <c r="N2583" t="s">
        <v>53</v>
      </c>
      <c r="O2583">
        <v>128</v>
      </c>
      <c r="R2583" s="11">
        <v>8.1018518518518516E-5</v>
      </c>
      <c r="S2583" t="s">
        <v>37</v>
      </c>
      <c r="T2583" t="str">
        <f>IF(Tabela1[[#This Row],[STATUS_NEGOCIO]]="Enviar E-mail",1,"")</f>
        <v/>
      </c>
      <c r="U2583" t="str">
        <f>TEXT(Tabela1[[#This Row],[DATA]],"dd/mm/aaaa")</f>
        <v>24/04/2026</v>
      </c>
    </row>
    <row r="2584" spans="1:21" x14ac:dyDescent="0.25">
      <c r="A2584" s="9">
        <v>46136.653935185182</v>
      </c>
      <c r="B2584" t="s">
        <v>19</v>
      </c>
      <c r="C2584" t="s">
        <v>37</v>
      </c>
      <c r="D2584">
        <v>416</v>
      </c>
      <c r="E2584">
        <v>36541506000155</v>
      </c>
      <c r="F2584">
        <v>877</v>
      </c>
      <c r="G2584" s="10">
        <v>177705610050801</v>
      </c>
      <c r="H2584" t="s">
        <v>227</v>
      </c>
      <c r="I2584" t="s">
        <v>52</v>
      </c>
      <c r="J2584" t="s">
        <v>22</v>
      </c>
      <c r="K2584" t="s">
        <v>36</v>
      </c>
      <c r="L2584" t="s">
        <v>36</v>
      </c>
      <c r="M2584" t="s">
        <v>636</v>
      </c>
      <c r="N2584" t="s">
        <v>53</v>
      </c>
      <c r="O2584">
        <v>1</v>
      </c>
      <c r="R2584" s="11">
        <v>0</v>
      </c>
      <c r="S2584" t="s">
        <v>37</v>
      </c>
      <c r="T2584" t="str">
        <f>IF(Tabela1[[#This Row],[STATUS_NEGOCIO]]="Enviar E-mail",1,"")</f>
        <v/>
      </c>
      <c r="U2584" t="str">
        <f>TEXT(Tabela1[[#This Row],[DATA]],"dd/mm/aaaa")</f>
        <v>24/04/2026</v>
      </c>
    </row>
    <row r="2585" spans="1:21" x14ac:dyDescent="0.25">
      <c r="A2585" s="9">
        <v>46136.653935185182</v>
      </c>
      <c r="B2585" t="s">
        <v>19</v>
      </c>
      <c r="C2585" t="s">
        <v>37</v>
      </c>
      <c r="D2585">
        <v>417</v>
      </c>
      <c r="E2585">
        <v>36565794000188</v>
      </c>
      <c r="F2585">
        <v>878</v>
      </c>
      <c r="G2585" s="10">
        <v>177705610050811</v>
      </c>
      <c r="H2585" t="s">
        <v>545</v>
      </c>
      <c r="I2585">
        <v>3003</v>
      </c>
      <c r="J2585" t="s">
        <v>22</v>
      </c>
      <c r="K2585" t="s">
        <v>23</v>
      </c>
      <c r="L2585" t="s">
        <v>31</v>
      </c>
      <c r="M2585" t="s">
        <v>636</v>
      </c>
      <c r="N2585" t="s">
        <v>53</v>
      </c>
      <c r="O2585">
        <v>128</v>
      </c>
      <c r="R2585" s="11">
        <v>8.1018518518518516E-5</v>
      </c>
      <c r="S2585" t="s">
        <v>37</v>
      </c>
      <c r="T2585" t="str">
        <f>IF(Tabela1[[#This Row],[STATUS_NEGOCIO]]="Enviar E-mail",1,"")</f>
        <v/>
      </c>
      <c r="U2585" t="str">
        <f>TEXT(Tabela1[[#This Row],[DATA]],"dd/mm/aaaa")</f>
        <v>24/04/2026</v>
      </c>
    </row>
    <row r="2586" spans="1:21" x14ac:dyDescent="0.25">
      <c r="A2586" s="9">
        <v>46136.653969907406</v>
      </c>
      <c r="B2586" t="s">
        <v>19</v>
      </c>
      <c r="C2586" t="s">
        <v>37</v>
      </c>
      <c r="D2586">
        <v>418</v>
      </c>
      <c r="E2586">
        <v>36567717000167</v>
      </c>
      <c r="F2586">
        <v>879</v>
      </c>
      <c r="G2586" s="10">
        <v>177705610350831</v>
      </c>
      <c r="H2586" t="s">
        <v>546</v>
      </c>
      <c r="I2586">
        <v>3003</v>
      </c>
      <c r="J2586" t="s">
        <v>22</v>
      </c>
      <c r="K2586" t="s">
        <v>23</v>
      </c>
      <c r="L2586" t="s">
        <v>31</v>
      </c>
      <c r="M2586" t="s">
        <v>636</v>
      </c>
      <c r="N2586" t="s">
        <v>53</v>
      </c>
      <c r="O2586">
        <v>128</v>
      </c>
      <c r="R2586" s="11">
        <v>8.1018518518518516E-5</v>
      </c>
      <c r="S2586" t="s">
        <v>37</v>
      </c>
      <c r="T2586" t="str">
        <f>IF(Tabela1[[#This Row],[STATUS_NEGOCIO]]="Enviar E-mail",1,"")</f>
        <v/>
      </c>
      <c r="U2586" t="str">
        <f>TEXT(Tabela1[[#This Row],[DATA]],"dd/mm/aaaa")</f>
        <v>24/04/2026</v>
      </c>
    </row>
    <row r="2587" spans="1:21" x14ac:dyDescent="0.25">
      <c r="A2587" s="9">
        <v>46136.654456018521</v>
      </c>
      <c r="B2587" t="s">
        <v>19</v>
      </c>
      <c r="C2587" t="s">
        <v>37</v>
      </c>
      <c r="D2587">
        <v>419</v>
      </c>
      <c r="E2587">
        <v>36572501000190</v>
      </c>
      <c r="F2587">
        <v>880</v>
      </c>
      <c r="G2587" s="10">
        <v>177705614551011</v>
      </c>
      <c r="H2587" t="s">
        <v>547</v>
      </c>
      <c r="I2587">
        <v>3003</v>
      </c>
      <c r="J2587" t="s">
        <v>22</v>
      </c>
      <c r="K2587" t="s">
        <v>23</v>
      </c>
      <c r="L2587" t="s">
        <v>31</v>
      </c>
      <c r="M2587" t="s">
        <v>636</v>
      </c>
      <c r="N2587" t="s">
        <v>53</v>
      </c>
      <c r="O2587">
        <v>128</v>
      </c>
      <c r="R2587" s="11">
        <v>8.1018518518518516E-5</v>
      </c>
      <c r="S2587" t="s">
        <v>37</v>
      </c>
      <c r="T2587" t="str">
        <f>IF(Tabela1[[#This Row],[STATUS_NEGOCIO]]="Enviar E-mail",1,"")</f>
        <v/>
      </c>
      <c r="U2587" t="str">
        <f>TEXT(Tabela1[[#This Row],[DATA]],"dd/mm/aaaa")</f>
        <v>24/04/2026</v>
      </c>
    </row>
    <row r="2588" spans="1:21" x14ac:dyDescent="0.25">
      <c r="A2588" s="9">
        <v>46136.654490740744</v>
      </c>
      <c r="B2588" t="s">
        <v>19</v>
      </c>
      <c r="C2588" t="s">
        <v>37</v>
      </c>
      <c r="D2588">
        <v>420</v>
      </c>
      <c r="E2588">
        <v>36936004000123</v>
      </c>
      <c r="F2588">
        <v>881</v>
      </c>
      <c r="G2588" s="10">
        <v>177705614851031</v>
      </c>
      <c r="H2588" t="s">
        <v>548</v>
      </c>
      <c r="I2588">
        <v>3003</v>
      </c>
      <c r="J2588" t="s">
        <v>22</v>
      </c>
      <c r="K2588" t="s">
        <v>23</v>
      </c>
      <c r="L2588" t="s">
        <v>31</v>
      </c>
      <c r="M2588" t="s">
        <v>636</v>
      </c>
      <c r="N2588" t="s">
        <v>53</v>
      </c>
      <c r="O2588">
        <v>128</v>
      </c>
      <c r="R2588" s="11">
        <v>8.1018518518518516E-5</v>
      </c>
      <c r="S2588" t="s">
        <v>37</v>
      </c>
      <c r="T2588" t="str">
        <f>IF(Tabela1[[#This Row],[STATUS_NEGOCIO]]="Enviar E-mail",1,"")</f>
        <v/>
      </c>
      <c r="U2588" t="str">
        <f>TEXT(Tabela1[[#This Row],[DATA]],"dd/mm/aaaa")</f>
        <v>24/04/2026</v>
      </c>
    </row>
    <row r="2589" spans="1:21" x14ac:dyDescent="0.25">
      <c r="A2589" s="9">
        <v>46136.654664351852</v>
      </c>
      <c r="B2589" t="s">
        <v>19</v>
      </c>
      <c r="C2589" t="s">
        <v>37</v>
      </c>
      <c r="D2589">
        <v>421</v>
      </c>
      <c r="E2589">
        <v>37285492000119</v>
      </c>
      <c r="F2589">
        <v>882</v>
      </c>
      <c r="G2589" s="10">
        <v>177705616351051</v>
      </c>
      <c r="H2589" t="s">
        <v>275</v>
      </c>
      <c r="I2589">
        <v>3003</v>
      </c>
      <c r="J2589" t="s">
        <v>22</v>
      </c>
      <c r="K2589" t="s">
        <v>23</v>
      </c>
      <c r="L2589" t="s">
        <v>31</v>
      </c>
      <c r="M2589" t="s">
        <v>636</v>
      </c>
      <c r="N2589" t="s">
        <v>53</v>
      </c>
      <c r="O2589">
        <v>147</v>
      </c>
      <c r="R2589" s="11">
        <v>8.1018518518518516E-5</v>
      </c>
      <c r="S2589" t="s">
        <v>37</v>
      </c>
      <c r="T2589" t="str">
        <f>IF(Tabela1[[#This Row],[STATUS_NEGOCIO]]="Enviar E-mail",1,"")</f>
        <v/>
      </c>
      <c r="U2589" t="str">
        <f>TEXT(Tabela1[[#This Row],[DATA]],"dd/mm/aaaa")</f>
        <v>24/04/2026</v>
      </c>
    </row>
    <row r="2590" spans="1:21" x14ac:dyDescent="0.25">
      <c r="A2590" s="9">
        <v>46136.654849537037</v>
      </c>
      <c r="B2590" t="s">
        <v>19</v>
      </c>
      <c r="C2590" t="s">
        <v>37</v>
      </c>
      <c r="D2590">
        <v>422</v>
      </c>
      <c r="E2590">
        <v>37407191000110</v>
      </c>
      <c r="F2590">
        <v>883</v>
      </c>
      <c r="G2590" s="10">
        <v>177705617951071</v>
      </c>
      <c r="H2590" t="s">
        <v>549</v>
      </c>
      <c r="I2590" t="s">
        <v>52</v>
      </c>
      <c r="J2590" t="s">
        <v>22</v>
      </c>
      <c r="K2590" t="s">
        <v>36</v>
      </c>
      <c r="L2590" t="s">
        <v>36</v>
      </c>
      <c r="M2590" t="s">
        <v>636</v>
      </c>
      <c r="N2590" t="s">
        <v>53</v>
      </c>
      <c r="O2590">
        <v>19</v>
      </c>
      <c r="R2590" s="11">
        <v>0</v>
      </c>
      <c r="S2590" t="s">
        <v>37</v>
      </c>
      <c r="T2590" t="str">
        <f>IF(Tabela1[[#This Row],[STATUS_NEGOCIO]]="Enviar E-mail",1,"")</f>
        <v/>
      </c>
      <c r="U2590" t="str">
        <f>TEXT(Tabela1[[#This Row],[DATA]],"dd/mm/aaaa")</f>
        <v>24/04/2026</v>
      </c>
    </row>
    <row r="2591" spans="1:21" x14ac:dyDescent="0.25">
      <c r="A2591" s="9">
        <v>46136.654965277776</v>
      </c>
      <c r="B2591" t="s">
        <v>19</v>
      </c>
      <c r="C2591" t="s">
        <v>37</v>
      </c>
      <c r="D2591">
        <v>423</v>
      </c>
      <c r="E2591">
        <v>37540163000177</v>
      </c>
      <c r="F2591">
        <v>884</v>
      </c>
      <c r="G2591" s="10">
        <v>177705618951091</v>
      </c>
      <c r="H2591" t="s">
        <v>550</v>
      </c>
      <c r="I2591">
        <v>3003</v>
      </c>
      <c r="J2591" t="s">
        <v>22</v>
      </c>
      <c r="K2591" t="s">
        <v>23</v>
      </c>
      <c r="L2591" t="s">
        <v>31</v>
      </c>
      <c r="M2591" t="s">
        <v>636</v>
      </c>
      <c r="N2591" t="s">
        <v>53</v>
      </c>
      <c r="O2591">
        <v>128</v>
      </c>
      <c r="R2591" s="11">
        <v>8.1018518518518516E-5</v>
      </c>
      <c r="S2591" t="s">
        <v>37</v>
      </c>
      <c r="T2591" t="str">
        <f>IF(Tabela1[[#This Row],[STATUS_NEGOCIO]]="Enviar E-mail",1,"")</f>
        <v/>
      </c>
      <c r="U2591" t="str">
        <f>TEXT(Tabela1[[#This Row],[DATA]],"dd/mm/aaaa")</f>
        <v>24/04/2026</v>
      </c>
    </row>
    <row r="2592" spans="1:21" x14ac:dyDescent="0.25">
      <c r="A2592" s="9">
        <v>46136.655173611114</v>
      </c>
      <c r="B2592" t="s">
        <v>19</v>
      </c>
      <c r="C2592" t="s">
        <v>37</v>
      </c>
      <c r="D2592">
        <v>424</v>
      </c>
      <c r="E2592">
        <v>37676685000109</v>
      </c>
      <c r="F2592">
        <v>885</v>
      </c>
      <c r="G2592" s="10">
        <v>177705620751151</v>
      </c>
      <c r="H2592" t="s">
        <v>551</v>
      </c>
      <c r="I2592">
        <v>3003</v>
      </c>
      <c r="J2592" t="s">
        <v>22</v>
      </c>
      <c r="K2592" t="s">
        <v>23</v>
      </c>
      <c r="L2592" t="s">
        <v>31</v>
      </c>
      <c r="M2592" t="s">
        <v>636</v>
      </c>
      <c r="N2592" t="s">
        <v>53</v>
      </c>
      <c r="O2592">
        <v>128</v>
      </c>
      <c r="R2592" s="11">
        <v>8.1018518518518516E-5</v>
      </c>
      <c r="S2592" t="s">
        <v>37</v>
      </c>
      <c r="T2592" t="str">
        <f>IF(Tabela1[[#This Row],[STATUS_NEGOCIO]]="Enviar E-mail",1,"")</f>
        <v/>
      </c>
      <c r="U2592" t="str">
        <f>TEXT(Tabela1[[#This Row],[DATA]],"dd/mm/aaaa")</f>
        <v>24/04/2026</v>
      </c>
    </row>
    <row r="2593" spans="1:21" x14ac:dyDescent="0.25">
      <c r="A2593" s="9">
        <v>46136.655381944445</v>
      </c>
      <c r="B2593" t="s">
        <v>19</v>
      </c>
      <c r="C2593" t="s">
        <v>37</v>
      </c>
      <c r="D2593">
        <v>425</v>
      </c>
      <c r="E2593">
        <v>37785014000178</v>
      </c>
      <c r="F2593">
        <v>886</v>
      </c>
      <c r="G2593" s="10">
        <v>177705622551171</v>
      </c>
      <c r="H2593" t="s">
        <v>552</v>
      </c>
      <c r="I2593">
        <v>3003</v>
      </c>
      <c r="J2593" t="s">
        <v>22</v>
      </c>
      <c r="K2593" t="s">
        <v>23</v>
      </c>
      <c r="L2593" t="s">
        <v>31</v>
      </c>
      <c r="M2593" t="s">
        <v>636</v>
      </c>
      <c r="N2593" t="s">
        <v>53</v>
      </c>
      <c r="O2593">
        <v>128</v>
      </c>
      <c r="R2593" s="11">
        <v>8.1018518518518516E-5</v>
      </c>
      <c r="S2593" t="s">
        <v>37</v>
      </c>
      <c r="T2593" t="str">
        <f>IF(Tabela1[[#This Row],[STATUS_NEGOCIO]]="Enviar E-mail",1,"")</f>
        <v/>
      </c>
      <c r="U2593" t="str">
        <f>TEXT(Tabela1[[#This Row],[DATA]],"dd/mm/aaaa")</f>
        <v>24/04/2026</v>
      </c>
    </row>
    <row r="2594" spans="1:21" x14ac:dyDescent="0.25">
      <c r="A2594" s="9">
        <v>46136.655416666668</v>
      </c>
      <c r="B2594" t="s">
        <v>19</v>
      </c>
      <c r="C2594" t="s">
        <v>37</v>
      </c>
      <c r="D2594">
        <v>426</v>
      </c>
      <c r="E2594">
        <v>37961934000108</v>
      </c>
      <c r="F2594">
        <v>887</v>
      </c>
      <c r="G2594" s="10">
        <v>177705622851181</v>
      </c>
      <c r="H2594" t="s">
        <v>553</v>
      </c>
      <c r="I2594">
        <v>3003</v>
      </c>
      <c r="J2594" t="s">
        <v>22</v>
      </c>
      <c r="K2594" t="s">
        <v>23</v>
      </c>
      <c r="L2594" t="s">
        <v>31</v>
      </c>
      <c r="M2594" t="s">
        <v>636</v>
      </c>
      <c r="N2594" t="s">
        <v>53</v>
      </c>
      <c r="O2594">
        <v>128</v>
      </c>
      <c r="R2594" s="11">
        <v>3.4722222222222222E-5</v>
      </c>
      <c r="S2594" t="s">
        <v>37</v>
      </c>
      <c r="T2594" t="str">
        <f>IF(Tabela1[[#This Row],[STATUS_NEGOCIO]]="Enviar E-mail",1,"")</f>
        <v/>
      </c>
      <c r="U2594" t="str">
        <f>TEXT(Tabela1[[#This Row],[DATA]],"dd/mm/aaaa")</f>
        <v>24/04/2026</v>
      </c>
    </row>
    <row r="2595" spans="1:21" x14ac:dyDescent="0.25">
      <c r="A2595" s="9">
        <v>46136.65556712963</v>
      </c>
      <c r="B2595" t="s">
        <v>19</v>
      </c>
      <c r="C2595" t="s">
        <v>37</v>
      </c>
      <c r="D2595">
        <v>427</v>
      </c>
      <c r="E2595">
        <v>38253250000106</v>
      </c>
      <c r="F2595">
        <v>888</v>
      </c>
      <c r="G2595" s="10">
        <v>177705624151241</v>
      </c>
      <c r="H2595" t="s">
        <v>199</v>
      </c>
      <c r="I2595">
        <v>3003</v>
      </c>
      <c r="J2595" t="s">
        <v>22</v>
      </c>
      <c r="K2595" t="s">
        <v>23</v>
      </c>
      <c r="L2595" t="s">
        <v>31</v>
      </c>
      <c r="M2595" t="s">
        <v>636</v>
      </c>
      <c r="N2595" t="s">
        <v>53</v>
      </c>
      <c r="O2595">
        <v>128</v>
      </c>
      <c r="R2595" s="11">
        <v>8.1018518518518516E-5</v>
      </c>
      <c r="S2595" t="s">
        <v>37</v>
      </c>
      <c r="T2595" t="str">
        <f>IF(Tabela1[[#This Row],[STATUS_NEGOCIO]]="Enviar E-mail",1,"")</f>
        <v/>
      </c>
      <c r="U2595" t="str">
        <f>TEXT(Tabela1[[#This Row],[DATA]],"dd/mm/aaaa")</f>
        <v>24/04/2026</v>
      </c>
    </row>
    <row r="2596" spans="1:21" x14ac:dyDescent="0.25">
      <c r="A2596" s="9">
        <v>46136.655694444446</v>
      </c>
      <c r="B2596" t="s">
        <v>19</v>
      </c>
      <c r="C2596" t="s">
        <v>37</v>
      </c>
      <c r="D2596">
        <v>428</v>
      </c>
      <c r="E2596">
        <v>38327906000198</v>
      </c>
      <c r="F2596">
        <v>889</v>
      </c>
      <c r="G2596" s="10">
        <v>177705625251261</v>
      </c>
      <c r="H2596" t="s">
        <v>554</v>
      </c>
      <c r="I2596">
        <v>3003</v>
      </c>
      <c r="J2596" t="s">
        <v>22</v>
      </c>
      <c r="K2596" t="s">
        <v>23</v>
      </c>
      <c r="L2596" t="s">
        <v>31</v>
      </c>
      <c r="M2596" t="s">
        <v>636</v>
      </c>
      <c r="N2596" t="s">
        <v>53</v>
      </c>
      <c r="O2596">
        <v>128</v>
      </c>
      <c r="R2596" s="11">
        <v>8.1018518518518516E-5</v>
      </c>
      <c r="S2596" t="s">
        <v>37</v>
      </c>
      <c r="T2596" t="str">
        <f>IF(Tabela1[[#This Row],[STATUS_NEGOCIO]]="Enviar E-mail",1,"")</f>
        <v/>
      </c>
      <c r="U2596" t="str">
        <f>TEXT(Tabela1[[#This Row],[DATA]],"dd/mm/aaaa")</f>
        <v>24/04/2026</v>
      </c>
    </row>
    <row r="2597" spans="1:21" x14ac:dyDescent="0.25">
      <c r="A2597" s="9">
        <v>46136.655740740738</v>
      </c>
      <c r="B2597" t="s">
        <v>19</v>
      </c>
      <c r="C2597" t="s">
        <v>37</v>
      </c>
      <c r="D2597">
        <v>429</v>
      </c>
      <c r="E2597">
        <v>38456890000113</v>
      </c>
      <c r="F2597">
        <v>890</v>
      </c>
      <c r="G2597" s="10">
        <v>177705625651281</v>
      </c>
      <c r="H2597" t="s">
        <v>555</v>
      </c>
      <c r="I2597">
        <v>3003</v>
      </c>
      <c r="J2597" t="s">
        <v>22</v>
      </c>
      <c r="K2597" t="s">
        <v>23</v>
      </c>
      <c r="L2597" t="s">
        <v>31</v>
      </c>
      <c r="M2597" t="s">
        <v>636</v>
      </c>
      <c r="N2597" t="s">
        <v>53</v>
      </c>
      <c r="O2597">
        <v>128</v>
      </c>
      <c r="R2597" s="11">
        <v>8.1018518518518516E-5</v>
      </c>
      <c r="S2597" t="s">
        <v>37</v>
      </c>
      <c r="T2597" t="str">
        <f>IF(Tabela1[[#This Row],[STATUS_NEGOCIO]]="Enviar E-mail",1,"")</f>
        <v/>
      </c>
      <c r="U2597" t="str">
        <f>TEXT(Tabela1[[#This Row],[DATA]],"dd/mm/aaaa")</f>
        <v>24/04/2026</v>
      </c>
    </row>
    <row r="2598" spans="1:21" x14ac:dyDescent="0.25">
      <c r="A2598" s="9">
        <v>46136.655925925923</v>
      </c>
      <c r="B2598" t="s">
        <v>19</v>
      </c>
      <c r="C2598" t="s">
        <v>37</v>
      </c>
      <c r="D2598">
        <v>430</v>
      </c>
      <c r="E2598">
        <v>39210513000162</v>
      </c>
      <c r="F2598">
        <v>891</v>
      </c>
      <c r="G2598" s="10">
        <v>177705627251301</v>
      </c>
      <c r="H2598" t="s">
        <v>556</v>
      </c>
      <c r="I2598">
        <v>3003</v>
      </c>
      <c r="J2598" t="s">
        <v>22</v>
      </c>
      <c r="K2598" t="s">
        <v>23</v>
      </c>
      <c r="L2598" t="s">
        <v>31</v>
      </c>
      <c r="M2598" t="s">
        <v>636</v>
      </c>
      <c r="N2598" t="s">
        <v>53</v>
      </c>
      <c r="O2598">
        <v>128</v>
      </c>
      <c r="R2598" s="11">
        <v>8.1018518518518516E-5</v>
      </c>
      <c r="S2598" t="s">
        <v>37</v>
      </c>
      <c r="T2598" t="str">
        <f>IF(Tabela1[[#This Row],[STATUS_NEGOCIO]]="Enviar E-mail",1,"")</f>
        <v/>
      </c>
      <c r="U2598" t="str">
        <f>TEXT(Tabela1[[#This Row],[DATA]],"dd/mm/aaaa")</f>
        <v>24/04/2026</v>
      </c>
    </row>
    <row r="2599" spans="1:21" x14ac:dyDescent="0.25">
      <c r="A2599" s="9">
        <v>46136.6562037037</v>
      </c>
      <c r="B2599" t="s">
        <v>19</v>
      </c>
      <c r="C2599" t="s">
        <v>37</v>
      </c>
      <c r="D2599">
        <v>431</v>
      </c>
      <c r="E2599">
        <v>39214150000133</v>
      </c>
      <c r="F2599">
        <v>892</v>
      </c>
      <c r="G2599" s="10">
        <v>177705629651321</v>
      </c>
      <c r="H2599" t="s">
        <v>557</v>
      </c>
      <c r="I2599" t="s">
        <v>52</v>
      </c>
      <c r="J2599" t="s">
        <v>22</v>
      </c>
      <c r="K2599" t="s">
        <v>36</v>
      </c>
      <c r="L2599" t="s">
        <v>36</v>
      </c>
      <c r="M2599" t="s">
        <v>636</v>
      </c>
      <c r="N2599" t="s">
        <v>53</v>
      </c>
      <c r="O2599">
        <v>19</v>
      </c>
      <c r="R2599" s="11">
        <v>0</v>
      </c>
      <c r="S2599" t="s">
        <v>37</v>
      </c>
      <c r="T2599" t="str">
        <f>IF(Tabela1[[#This Row],[STATUS_NEGOCIO]]="Enviar E-mail",1,"")</f>
        <v/>
      </c>
      <c r="U2599" t="str">
        <f>TEXT(Tabela1[[#This Row],[DATA]],"dd/mm/aaaa")</f>
        <v>24/04/2026</v>
      </c>
    </row>
    <row r="2600" spans="1:21" x14ac:dyDescent="0.25">
      <c r="A2600" s="9">
        <v>46136.656354166669</v>
      </c>
      <c r="B2600" t="s">
        <v>19</v>
      </c>
      <c r="C2600" t="s">
        <v>37</v>
      </c>
      <c r="D2600">
        <v>432</v>
      </c>
      <c r="E2600">
        <v>39216809000190</v>
      </c>
      <c r="F2600">
        <v>893</v>
      </c>
      <c r="G2600" s="10">
        <v>177705630951341</v>
      </c>
      <c r="H2600" t="s">
        <v>558</v>
      </c>
      <c r="I2600">
        <v>3003</v>
      </c>
      <c r="J2600" t="s">
        <v>22</v>
      </c>
      <c r="K2600" t="s">
        <v>23</v>
      </c>
      <c r="L2600" t="s">
        <v>31</v>
      </c>
      <c r="M2600" t="s">
        <v>636</v>
      </c>
      <c r="N2600" t="s">
        <v>53</v>
      </c>
      <c r="O2600">
        <v>128</v>
      </c>
      <c r="R2600" s="11">
        <v>8.1018518518518516E-5</v>
      </c>
      <c r="S2600" t="s">
        <v>37</v>
      </c>
      <c r="T2600" t="str">
        <f>IF(Tabela1[[#This Row],[STATUS_NEGOCIO]]="Enviar E-mail",1,"")</f>
        <v/>
      </c>
      <c r="U2600" t="str">
        <f>TEXT(Tabela1[[#This Row],[DATA]],"dd/mm/aaaa")</f>
        <v>24/04/2026</v>
      </c>
    </row>
    <row r="2601" spans="1:21" x14ac:dyDescent="0.25">
      <c r="A2601" s="9">
        <v>46136.656724537039</v>
      </c>
      <c r="B2601" t="s">
        <v>19</v>
      </c>
      <c r="C2601" t="s">
        <v>37</v>
      </c>
      <c r="D2601">
        <v>433</v>
      </c>
      <c r="E2601">
        <v>39220751000159</v>
      </c>
      <c r="F2601">
        <v>894</v>
      </c>
      <c r="G2601" s="10">
        <v>177705634151431</v>
      </c>
      <c r="H2601" t="s">
        <v>546</v>
      </c>
      <c r="I2601">
        <v>3003</v>
      </c>
      <c r="J2601" t="s">
        <v>22</v>
      </c>
      <c r="K2601" t="s">
        <v>23</v>
      </c>
      <c r="L2601" t="s">
        <v>31</v>
      </c>
      <c r="M2601" t="s">
        <v>636</v>
      </c>
      <c r="N2601" t="s">
        <v>53</v>
      </c>
      <c r="O2601">
        <v>128</v>
      </c>
      <c r="R2601" s="11">
        <v>8.1018518518518516E-5</v>
      </c>
      <c r="S2601" t="s">
        <v>37</v>
      </c>
      <c r="T2601" t="str">
        <f>IF(Tabela1[[#This Row],[STATUS_NEGOCIO]]="Enviar E-mail",1,"")</f>
        <v/>
      </c>
      <c r="U2601" t="str">
        <f>TEXT(Tabela1[[#This Row],[DATA]],"dd/mm/aaaa")</f>
        <v>24/04/2026</v>
      </c>
    </row>
    <row r="2602" spans="1:21" x14ac:dyDescent="0.25">
      <c r="A2602" s="9">
        <v>46136.656782407408</v>
      </c>
      <c r="B2602" t="s">
        <v>19</v>
      </c>
      <c r="C2602" t="s">
        <v>37</v>
      </c>
      <c r="D2602">
        <v>434</v>
      </c>
      <c r="E2602">
        <v>39227830000191</v>
      </c>
      <c r="F2602">
        <v>895</v>
      </c>
      <c r="G2602" s="10">
        <v>177705634651451</v>
      </c>
      <c r="H2602" t="s">
        <v>559</v>
      </c>
      <c r="I2602">
        <v>3003</v>
      </c>
      <c r="J2602" t="s">
        <v>22</v>
      </c>
      <c r="K2602" t="s">
        <v>23</v>
      </c>
      <c r="L2602" t="s">
        <v>31</v>
      </c>
      <c r="M2602" t="s">
        <v>636</v>
      </c>
      <c r="N2602" t="s">
        <v>26</v>
      </c>
      <c r="O2602">
        <v>131</v>
      </c>
      <c r="R2602" s="11">
        <v>9.2592592592592588E-5</v>
      </c>
      <c r="S2602" t="s">
        <v>37</v>
      </c>
      <c r="T2602" t="str">
        <f>IF(Tabela1[[#This Row],[STATUS_NEGOCIO]]="Enviar E-mail",1,"")</f>
        <v/>
      </c>
      <c r="U2602" t="str">
        <f>TEXT(Tabela1[[#This Row],[DATA]],"dd/mm/aaaa")</f>
        <v>24/04/2026</v>
      </c>
    </row>
    <row r="2603" spans="1:21" x14ac:dyDescent="0.25">
      <c r="A2603" s="9">
        <v>46136.656990740739</v>
      </c>
      <c r="B2603" t="s">
        <v>19</v>
      </c>
      <c r="C2603" t="s">
        <v>37</v>
      </c>
      <c r="D2603">
        <v>435</v>
      </c>
      <c r="E2603">
        <v>39468257000108</v>
      </c>
      <c r="F2603">
        <v>896</v>
      </c>
      <c r="G2603" s="10">
        <v>177705636451511</v>
      </c>
      <c r="H2603" t="s">
        <v>560</v>
      </c>
      <c r="I2603">
        <v>3003</v>
      </c>
      <c r="J2603" t="s">
        <v>22</v>
      </c>
      <c r="K2603" t="s">
        <v>23</v>
      </c>
      <c r="L2603" t="s">
        <v>31</v>
      </c>
      <c r="M2603" t="s">
        <v>636</v>
      </c>
      <c r="N2603" t="s">
        <v>53</v>
      </c>
      <c r="O2603">
        <v>147</v>
      </c>
      <c r="R2603" s="11">
        <v>8.1018518518518516E-5</v>
      </c>
      <c r="S2603" t="s">
        <v>37</v>
      </c>
      <c r="T2603" t="str">
        <f>IF(Tabela1[[#This Row],[STATUS_NEGOCIO]]="Enviar E-mail",1,"")</f>
        <v/>
      </c>
      <c r="U2603" t="str">
        <f>TEXT(Tabela1[[#This Row],[DATA]],"dd/mm/aaaa")</f>
        <v>24/04/2026</v>
      </c>
    </row>
    <row r="2604" spans="1:21" x14ac:dyDescent="0.25">
      <c r="A2604" s="9">
        <v>46136.657222222224</v>
      </c>
      <c r="B2604" t="s">
        <v>19</v>
      </c>
      <c r="C2604" t="s">
        <v>37</v>
      </c>
      <c r="D2604">
        <v>436</v>
      </c>
      <c r="E2604">
        <v>39556402000102</v>
      </c>
      <c r="F2604">
        <v>897</v>
      </c>
      <c r="G2604" s="10">
        <v>177705638451541</v>
      </c>
      <c r="H2604" t="s">
        <v>229</v>
      </c>
      <c r="I2604">
        <v>3003</v>
      </c>
      <c r="J2604" t="s">
        <v>22</v>
      </c>
      <c r="K2604" t="s">
        <v>23</v>
      </c>
      <c r="L2604" t="s">
        <v>31</v>
      </c>
      <c r="M2604" t="s">
        <v>636</v>
      </c>
      <c r="N2604" t="s">
        <v>53</v>
      </c>
      <c r="O2604">
        <v>147</v>
      </c>
      <c r="R2604" s="11">
        <v>8.1018518518518516E-5</v>
      </c>
      <c r="S2604" t="s">
        <v>37</v>
      </c>
      <c r="T2604" t="str">
        <f>IF(Tabela1[[#This Row],[STATUS_NEGOCIO]]="Enviar E-mail",1,"")</f>
        <v/>
      </c>
      <c r="U2604" t="str">
        <f>TEXT(Tabela1[[#This Row],[DATA]],"dd/mm/aaaa")</f>
        <v>24/04/2026</v>
      </c>
    </row>
    <row r="2605" spans="1:21" x14ac:dyDescent="0.25">
      <c r="A2605" s="9">
        <v>46136.657256944447</v>
      </c>
      <c r="B2605" t="s">
        <v>19</v>
      </c>
      <c r="C2605" t="s">
        <v>37</v>
      </c>
      <c r="D2605">
        <v>437</v>
      </c>
      <c r="E2605">
        <v>39596079000109</v>
      </c>
      <c r="F2605">
        <v>898</v>
      </c>
      <c r="G2605" s="10">
        <v>177705638751561</v>
      </c>
      <c r="H2605" t="s">
        <v>141</v>
      </c>
      <c r="I2605">
        <v>3003</v>
      </c>
      <c r="J2605" t="s">
        <v>22</v>
      </c>
      <c r="K2605" t="s">
        <v>23</v>
      </c>
      <c r="L2605" t="s">
        <v>31</v>
      </c>
      <c r="M2605" t="s">
        <v>636</v>
      </c>
      <c r="N2605" t="s">
        <v>53</v>
      </c>
      <c r="O2605">
        <v>128</v>
      </c>
      <c r="R2605" s="11">
        <v>8.1018518518518516E-5</v>
      </c>
      <c r="S2605" t="s">
        <v>37</v>
      </c>
      <c r="T2605" t="str">
        <f>IF(Tabela1[[#This Row],[STATUS_NEGOCIO]]="Enviar E-mail",1,"")</f>
        <v/>
      </c>
      <c r="U2605" t="str">
        <f>TEXT(Tabela1[[#This Row],[DATA]],"dd/mm/aaaa")</f>
        <v>24/04/2026</v>
      </c>
    </row>
    <row r="2606" spans="1:21" x14ac:dyDescent="0.25">
      <c r="A2606" s="9">
        <v>46136.657442129632</v>
      </c>
      <c r="B2606" t="s">
        <v>19</v>
      </c>
      <c r="C2606" t="s">
        <v>37</v>
      </c>
      <c r="D2606">
        <v>438</v>
      </c>
      <c r="E2606">
        <v>39929832000122</v>
      </c>
      <c r="F2606">
        <v>899</v>
      </c>
      <c r="G2606" s="10">
        <v>177705640351631</v>
      </c>
      <c r="H2606" t="s">
        <v>561</v>
      </c>
      <c r="I2606">
        <v>3003</v>
      </c>
      <c r="J2606" t="s">
        <v>22</v>
      </c>
      <c r="K2606" t="s">
        <v>23</v>
      </c>
      <c r="L2606" t="s">
        <v>31</v>
      </c>
      <c r="M2606" t="s">
        <v>636</v>
      </c>
      <c r="N2606" t="s">
        <v>53</v>
      </c>
      <c r="O2606">
        <v>147</v>
      </c>
      <c r="R2606" s="11">
        <v>8.1018518518518516E-5</v>
      </c>
      <c r="S2606" t="s">
        <v>37</v>
      </c>
      <c r="T2606" t="str">
        <f>IF(Tabela1[[#This Row],[STATUS_NEGOCIO]]="Enviar E-mail",1,"")</f>
        <v/>
      </c>
      <c r="U2606" t="str">
        <f>TEXT(Tabela1[[#This Row],[DATA]],"dd/mm/aaaa")</f>
        <v>24/04/2026</v>
      </c>
    </row>
    <row r="2607" spans="1:21" x14ac:dyDescent="0.25">
      <c r="A2607" s="9">
        <v>46136.657569444447</v>
      </c>
      <c r="B2607" t="s">
        <v>19</v>
      </c>
      <c r="C2607" t="s">
        <v>20</v>
      </c>
      <c r="D2607">
        <v>439</v>
      </c>
      <c r="E2607">
        <v>39935945000130</v>
      </c>
      <c r="F2607">
        <v>900</v>
      </c>
      <c r="G2607" s="10">
        <v>177705641451661</v>
      </c>
      <c r="H2607" t="s">
        <v>417</v>
      </c>
      <c r="I2607">
        <v>3003</v>
      </c>
      <c r="J2607" t="s">
        <v>22</v>
      </c>
      <c r="K2607" t="s">
        <v>23</v>
      </c>
      <c r="L2607" t="s">
        <v>265</v>
      </c>
      <c r="M2607" t="s">
        <v>636</v>
      </c>
      <c r="N2607" t="s">
        <v>32</v>
      </c>
      <c r="O2607">
        <v>16</v>
      </c>
      <c r="R2607" s="11">
        <v>2.8935185185185184E-4</v>
      </c>
      <c r="S2607" s="11">
        <v>2.4305555555555555E-4</v>
      </c>
      <c r="T2607" t="str">
        <f>IF(Tabela1[[#This Row],[STATUS_NEGOCIO]]="Enviar E-mail",1,"")</f>
        <v/>
      </c>
      <c r="U2607" t="str">
        <f>TEXT(Tabela1[[#This Row],[DATA]],"dd/mm/aaaa")</f>
        <v>24/04/2026</v>
      </c>
    </row>
    <row r="2608" spans="1:21" x14ac:dyDescent="0.25">
      <c r="A2608" s="9">
        <v>46136.657696759263</v>
      </c>
      <c r="B2608" t="s">
        <v>19</v>
      </c>
      <c r="C2608" t="s">
        <v>37</v>
      </c>
      <c r="D2608">
        <v>440</v>
      </c>
      <c r="E2608">
        <v>40019453000184</v>
      </c>
      <c r="F2608">
        <v>901</v>
      </c>
      <c r="G2608" s="10">
        <v>177705642551701</v>
      </c>
      <c r="H2608" t="s">
        <v>64</v>
      </c>
      <c r="I2608">
        <v>3003</v>
      </c>
      <c r="J2608" t="s">
        <v>22</v>
      </c>
      <c r="K2608" t="s">
        <v>23</v>
      </c>
      <c r="L2608" t="s">
        <v>31</v>
      </c>
      <c r="M2608" t="s">
        <v>636</v>
      </c>
      <c r="N2608" t="s">
        <v>53</v>
      </c>
      <c r="O2608">
        <v>128</v>
      </c>
      <c r="R2608" s="11">
        <v>8.1018518518518516E-5</v>
      </c>
      <c r="S2608" t="s">
        <v>37</v>
      </c>
      <c r="T2608" t="str">
        <f>IF(Tabela1[[#This Row],[STATUS_NEGOCIO]]="Enviar E-mail",1,"")</f>
        <v/>
      </c>
      <c r="U2608" t="str">
        <f>TEXT(Tabela1[[#This Row],[DATA]],"dd/mm/aaaa")</f>
        <v>24/04/2026</v>
      </c>
    </row>
    <row r="2609" spans="1:21" x14ac:dyDescent="0.25">
      <c r="A2609" s="9">
        <v>46136.65792824074</v>
      </c>
      <c r="B2609" t="s">
        <v>19</v>
      </c>
      <c r="C2609" t="s">
        <v>37</v>
      </c>
      <c r="D2609">
        <v>441</v>
      </c>
      <c r="E2609">
        <v>40127921000134</v>
      </c>
      <c r="F2609">
        <v>902</v>
      </c>
      <c r="G2609" s="10">
        <v>177705644551791</v>
      </c>
      <c r="H2609" t="s">
        <v>110</v>
      </c>
      <c r="I2609">
        <v>3003</v>
      </c>
      <c r="J2609" t="s">
        <v>22</v>
      </c>
      <c r="K2609" t="s">
        <v>23</v>
      </c>
      <c r="L2609" t="s">
        <v>31</v>
      </c>
      <c r="M2609" t="s">
        <v>636</v>
      </c>
      <c r="N2609" t="s">
        <v>53</v>
      </c>
      <c r="O2609">
        <v>128</v>
      </c>
      <c r="R2609" s="11">
        <v>6.9444444444444444E-5</v>
      </c>
      <c r="S2609" t="s">
        <v>37</v>
      </c>
      <c r="T2609" t="str">
        <f>IF(Tabela1[[#This Row],[STATUS_NEGOCIO]]="Enviar E-mail",1,"")</f>
        <v/>
      </c>
      <c r="U2609" t="str">
        <f>TEXT(Tabela1[[#This Row],[DATA]],"dd/mm/aaaa")</f>
        <v>24/04/2026</v>
      </c>
    </row>
    <row r="2610" spans="1:21" x14ac:dyDescent="0.25">
      <c r="A2610" s="9">
        <v>46136.658067129632</v>
      </c>
      <c r="B2610" t="s">
        <v>19</v>
      </c>
      <c r="C2610" t="s">
        <v>37</v>
      </c>
      <c r="D2610">
        <v>443</v>
      </c>
      <c r="E2610">
        <v>40159980000194</v>
      </c>
      <c r="F2610">
        <v>903</v>
      </c>
      <c r="G2610" s="10">
        <v>177705645751811</v>
      </c>
      <c r="H2610" t="s">
        <v>170</v>
      </c>
      <c r="I2610">
        <v>3003</v>
      </c>
      <c r="J2610" t="s">
        <v>22</v>
      </c>
      <c r="K2610" t="s">
        <v>23</v>
      </c>
      <c r="L2610" t="s">
        <v>31</v>
      </c>
      <c r="M2610" t="s">
        <v>636</v>
      </c>
      <c r="N2610" t="s">
        <v>53</v>
      </c>
      <c r="O2610">
        <v>128</v>
      </c>
      <c r="R2610" s="11">
        <v>8.1018518518518516E-5</v>
      </c>
      <c r="S2610" t="s">
        <v>37</v>
      </c>
      <c r="T2610" t="str">
        <f>IF(Tabela1[[#This Row],[STATUS_NEGOCIO]]="Enviar E-mail",1,"")</f>
        <v/>
      </c>
      <c r="U2610" t="str">
        <f>TEXT(Tabela1[[#This Row],[DATA]],"dd/mm/aaaa")</f>
        <v>24/04/2026</v>
      </c>
    </row>
    <row r="2611" spans="1:21" x14ac:dyDescent="0.25">
      <c r="A2611" s="9">
        <v>46136.658206018517</v>
      </c>
      <c r="B2611" t="s">
        <v>19</v>
      </c>
      <c r="C2611" t="s">
        <v>37</v>
      </c>
      <c r="D2611">
        <v>445</v>
      </c>
      <c r="E2611">
        <v>40205791000100</v>
      </c>
      <c r="F2611">
        <v>904</v>
      </c>
      <c r="G2611" s="10">
        <v>177705646951831</v>
      </c>
      <c r="H2611" t="s">
        <v>564</v>
      </c>
      <c r="I2611">
        <v>3003</v>
      </c>
      <c r="J2611" t="s">
        <v>22</v>
      </c>
      <c r="K2611" t="s">
        <v>23</v>
      </c>
      <c r="L2611" t="s">
        <v>31</v>
      </c>
      <c r="M2611" t="s">
        <v>636</v>
      </c>
      <c r="N2611" t="s">
        <v>53</v>
      </c>
      <c r="O2611">
        <v>128</v>
      </c>
      <c r="R2611" s="11">
        <v>6.9444444444444444E-5</v>
      </c>
      <c r="S2611" t="s">
        <v>37</v>
      </c>
      <c r="T2611" t="str">
        <f>IF(Tabela1[[#This Row],[STATUS_NEGOCIO]]="Enviar E-mail",1,"")</f>
        <v/>
      </c>
      <c r="U2611" t="str">
        <f>TEXT(Tabela1[[#This Row],[DATA]],"dd/mm/aaaa")</f>
        <v>24/04/2026</v>
      </c>
    </row>
    <row r="2612" spans="1:21" x14ac:dyDescent="0.25">
      <c r="A2612" s="9">
        <v>46136.658252314817</v>
      </c>
      <c r="B2612" t="s">
        <v>19</v>
      </c>
      <c r="C2612" t="s">
        <v>37</v>
      </c>
      <c r="D2612">
        <v>446</v>
      </c>
      <c r="E2612">
        <v>40217278000130</v>
      </c>
      <c r="F2612">
        <v>905</v>
      </c>
      <c r="G2612" s="10">
        <v>177705647351851</v>
      </c>
      <c r="H2612" t="s">
        <v>194</v>
      </c>
      <c r="I2612">
        <v>3003</v>
      </c>
      <c r="J2612" t="s">
        <v>22</v>
      </c>
      <c r="K2612" t="s">
        <v>23</v>
      </c>
      <c r="L2612" t="s">
        <v>31</v>
      </c>
      <c r="M2612" t="s">
        <v>636</v>
      </c>
      <c r="N2612" t="s">
        <v>53</v>
      </c>
      <c r="O2612">
        <v>128</v>
      </c>
      <c r="R2612" s="11">
        <v>6.9444444444444444E-5</v>
      </c>
      <c r="S2612" t="s">
        <v>37</v>
      </c>
      <c r="T2612" t="str">
        <f>IF(Tabela1[[#This Row],[STATUS_NEGOCIO]]="Enviar E-mail",1,"")</f>
        <v/>
      </c>
      <c r="U2612" t="str">
        <f>TEXT(Tabela1[[#This Row],[DATA]],"dd/mm/aaaa")</f>
        <v>24/04/2026</v>
      </c>
    </row>
    <row r="2613" spans="1:21" x14ac:dyDescent="0.25">
      <c r="A2613" s="9">
        <v>46136.658472222225</v>
      </c>
      <c r="B2613" t="s">
        <v>19</v>
      </c>
      <c r="C2613" t="s">
        <v>37</v>
      </c>
      <c r="D2613">
        <v>447</v>
      </c>
      <c r="E2613">
        <v>40290991000109</v>
      </c>
      <c r="F2613">
        <v>906</v>
      </c>
      <c r="G2613" s="10">
        <v>177705649251871</v>
      </c>
      <c r="H2613" t="s">
        <v>565</v>
      </c>
      <c r="I2613" t="s">
        <v>52</v>
      </c>
      <c r="J2613" t="s">
        <v>22</v>
      </c>
      <c r="K2613" t="s">
        <v>36</v>
      </c>
      <c r="L2613" t="s">
        <v>36</v>
      </c>
      <c r="M2613" t="s">
        <v>636</v>
      </c>
      <c r="N2613" t="s">
        <v>53</v>
      </c>
      <c r="O2613">
        <v>1</v>
      </c>
      <c r="R2613" s="11">
        <v>0</v>
      </c>
      <c r="S2613" t="s">
        <v>37</v>
      </c>
      <c r="T2613" t="str">
        <f>IF(Tabela1[[#This Row],[STATUS_NEGOCIO]]="Enviar E-mail",1,"")</f>
        <v/>
      </c>
      <c r="U2613" t="str">
        <f>TEXT(Tabela1[[#This Row],[DATA]],"dd/mm/aaaa")</f>
        <v>24/04/2026</v>
      </c>
    </row>
    <row r="2614" spans="1:21" x14ac:dyDescent="0.25">
      <c r="A2614" s="9">
        <v>46136.658576388887</v>
      </c>
      <c r="B2614" t="s">
        <v>19</v>
      </c>
      <c r="C2614" t="s">
        <v>37</v>
      </c>
      <c r="D2614">
        <v>449</v>
      </c>
      <c r="E2614">
        <v>40687859000135</v>
      </c>
      <c r="F2614">
        <v>908</v>
      </c>
      <c r="G2614" s="10">
        <v>177705650151901</v>
      </c>
      <c r="H2614" t="s">
        <v>567</v>
      </c>
      <c r="I2614">
        <v>3003</v>
      </c>
      <c r="J2614" t="s">
        <v>22</v>
      </c>
      <c r="K2614" t="s">
        <v>23</v>
      </c>
      <c r="L2614" t="s">
        <v>31</v>
      </c>
      <c r="M2614" t="s">
        <v>636</v>
      </c>
      <c r="N2614" t="s">
        <v>53</v>
      </c>
      <c r="O2614">
        <v>128</v>
      </c>
      <c r="R2614" s="11">
        <v>8.1018518518518516E-5</v>
      </c>
      <c r="S2614" t="s">
        <v>37</v>
      </c>
      <c r="T2614" t="str">
        <f>IF(Tabela1[[#This Row],[STATUS_NEGOCIO]]="Enviar E-mail",1,"")</f>
        <v/>
      </c>
      <c r="U2614" t="str">
        <f>TEXT(Tabela1[[#This Row],[DATA]],"dd/mm/aaaa")</f>
        <v>24/04/2026</v>
      </c>
    </row>
    <row r="2615" spans="1:21" x14ac:dyDescent="0.25">
      <c r="A2615" s="9">
        <v>46136.658796296295</v>
      </c>
      <c r="B2615" t="s">
        <v>19</v>
      </c>
      <c r="C2615" t="s">
        <v>37</v>
      </c>
      <c r="D2615">
        <v>450</v>
      </c>
      <c r="E2615">
        <v>40696152000195</v>
      </c>
      <c r="F2615">
        <v>909</v>
      </c>
      <c r="G2615" s="10">
        <v>177705652051931</v>
      </c>
      <c r="H2615" t="s">
        <v>188</v>
      </c>
      <c r="I2615">
        <v>3003</v>
      </c>
      <c r="J2615" t="s">
        <v>22</v>
      </c>
      <c r="K2615" t="s">
        <v>23</v>
      </c>
      <c r="L2615" t="s">
        <v>31</v>
      </c>
      <c r="M2615" t="s">
        <v>636</v>
      </c>
      <c r="N2615" t="s">
        <v>53</v>
      </c>
      <c r="O2615">
        <v>128</v>
      </c>
      <c r="R2615" s="11">
        <v>8.1018518518518516E-5</v>
      </c>
      <c r="S2615" t="s">
        <v>37</v>
      </c>
      <c r="T2615" t="str">
        <f>IF(Tabela1[[#This Row],[STATUS_NEGOCIO]]="Enviar E-mail",1,"")</f>
        <v/>
      </c>
      <c r="U2615" t="str">
        <f>TEXT(Tabela1[[#This Row],[DATA]],"dd/mm/aaaa")</f>
        <v>24/04/2026</v>
      </c>
    </row>
    <row r="2616" spans="1:21" x14ac:dyDescent="0.25">
      <c r="A2616" s="9">
        <v>46136.66306712963</v>
      </c>
      <c r="B2616" t="s">
        <v>19</v>
      </c>
      <c r="C2616" t="s">
        <v>37</v>
      </c>
      <c r="D2616">
        <v>448</v>
      </c>
      <c r="E2616">
        <v>40503929000158</v>
      </c>
      <c r="F2616">
        <v>907</v>
      </c>
      <c r="G2616" s="10">
        <v>177705649351881</v>
      </c>
      <c r="H2616" t="s">
        <v>566</v>
      </c>
      <c r="I2616">
        <v>3003</v>
      </c>
      <c r="J2616" t="s">
        <v>22</v>
      </c>
      <c r="K2616" t="s">
        <v>23</v>
      </c>
      <c r="L2616" t="s">
        <v>31</v>
      </c>
      <c r="M2616" t="s">
        <v>636</v>
      </c>
      <c r="N2616" t="s">
        <v>26</v>
      </c>
      <c r="O2616">
        <v>131</v>
      </c>
      <c r="R2616" s="11">
        <v>4.31712962962963E-3</v>
      </c>
      <c r="S2616" t="s">
        <v>37</v>
      </c>
      <c r="T2616" t="str">
        <f>IF(Tabela1[[#This Row],[STATUS_NEGOCIO]]="Enviar E-mail",1,"")</f>
        <v/>
      </c>
      <c r="U2616" t="str">
        <f>TEXT(Tabela1[[#This Row],[DATA]],"dd/mm/aaaa")</f>
        <v>24/04/2026</v>
      </c>
    </row>
    <row r="2617" spans="1:21" x14ac:dyDescent="0.25">
      <c r="A2617" s="9">
        <v>46136.663136574076</v>
      </c>
      <c r="B2617" t="s">
        <v>19</v>
      </c>
      <c r="C2617" t="s">
        <v>20</v>
      </c>
      <c r="D2617">
        <v>451</v>
      </c>
      <c r="E2617">
        <v>40713777000118</v>
      </c>
      <c r="F2617">
        <v>910</v>
      </c>
      <c r="G2617" s="10">
        <v>177705689552801</v>
      </c>
      <c r="H2617" t="s">
        <v>568</v>
      </c>
      <c r="I2617">
        <v>3003</v>
      </c>
      <c r="J2617" t="s">
        <v>22</v>
      </c>
      <c r="K2617" t="s">
        <v>23</v>
      </c>
      <c r="L2617" t="s">
        <v>265</v>
      </c>
      <c r="M2617" t="s">
        <v>636</v>
      </c>
      <c r="N2617" t="s">
        <v>26</v>
      </c>
      <c r="O2617">
        <v>16</v>
      </c>
      <c r="R2617" s="11">
        <v>1.3888888888888889E-4</v>
      </c>
      <c r="S2617" s="11">
        <v>9.2592592592592588E-5</v>
      </c>
      <c r="T2617" t="str">
        <f>IF(Tabela1[[#This Row],[STATUS_NEGOCIO]]="Enviar E-mail",1,"")</f>
        <v/>
      </c>
      <c r="U2617" t="str">
        <f>TEXT(Tabela1[[#This Row],[DATA]],"dd/mm/aaaa")</f>
        <v>24/04/2026</v>
      </c>
    </row>
    <row r="2618" spans="1:21" x14ac:dyDescent="0.25">
      <c r="A2618" s="9">
        <v>46136.663136574076</v>
      </c>
      <c r="B2618" t="s">
        <v>19</v>
      </c>
      <c r="C2618" t="s">
        <v>37</v>
      </c>
      <c r="D2618">
        <v>452</v>
      </c>
      <c r="E2618">
        <v>40904952000154</v>
      </c>
      <c r="F2618">
        <v>911</v>
      </c>
      <c r="G2618" s="10">
        <v>177705689552811</v>
      </c>
      <c r="H2618" t="s">
        <v>569</v>
      </c>
      <c r="I2618">
        <v>3003</v>
      </c>
      <c r="J2618" t="s">
        <v>22</v>
      </c>
      <c r="K2618" t="s">
        <v>23</v>
      </c>
      <c r="L2618" t="s">
        <v>31</v>
      </c>
      <c r="M2618" t="s">
        <v>636</v>
      </c>
      <c r="N2618" t="s">
        <v>53</v>
      </c>
      <c r="O2618">
        <v>128</v>
      </c>
      <c r="R2618" s="11">
        <v>8.1018518518518516E-5</v>
      </c>
      <c r="S2618" t="s">
        <v>37</v>
      </c>
      <c r="T2618" t="str">
        <f>IF(Tabela1[[#This Row],[STATUS_NEGOCIO]]="Enviar E-mail",1,"")</f>
        <v/>
      </c>
      <c r="U2618" t="str">
        <f>TEXT(Tabela1[[#This Row],[DATA]],"dd/mm/aaaa")</f>
        <v>24/04/2026</v>
      </c>
    </row>
    <row r="2619" spans="1:21" x14ac:dyDescent="0.25">
      <c r="A2619" s="9">
        <v>46136.663263888891</v>
      </c>
      <c r="B2619" t="s">
        <v>19</v>
      </c>
      <c r="C2619" t="s">
        <v>37</v>
      </c>
      <c r="D2619">
        <v>453</v>
      </c>
      <c r="E2619">
        <v>41284144000102</v>
      </c>
      <c r="F2619">
        <v>912</v>
      </c>
      <c r="G2619" s="10">
        <v>177705690652831</v>
      </c>
      <c r="H2619" t="s">
        <v>570</v>
      </c>
      <c r="I2619">
        <v>3003</v>
      </c>
      <c r="J2619" t="s">
        <v>22</v>
      </c>
      <c r="K2619" t="s">
        <v>23</v>
      </c>
      <c r="L2619" t="s">
        <v>31</v>
      </c>
      <c r="M2619" t="s">
        <v>636</v>
      </c>
      <c r="N2619" t="s">
        <v>53</v>
      </c>
      <c r="O2619">
        <v>128</v>
      </c>
      <c r="R2619" s="11">
        <v>8.1018518518518516E-5</v>
      </c>
      <c r="S2619" t="s">
        <v>37</v>
      </c>
      <c r="T2619" t="str">
        <f>IF(Tabela1[[#This Row],[STATUS_NEGOCIO]]="Enviar E-mail",1,"")</f>
        <v/>
      </c>
      <c r="U2619" t="str">
        <f>TEXT(Tabela1[[#This Row],[DATA]],"dd/mm/aaaa")</f>
        <v>24/04/2026</v>
      </c>
    </row>
    <row r="2620" spans="1:21" x14ac:dyDescent="0.25">
      <c r="A2620" s="9">
        <v>46136.663391203707</v>
      </c>
      <c r="B2620" t="s">
        <v>19</v>
      </c>
      <c r="C2620" t="s">
        <v>37</v>
      </c>
      <c r="D2620">
        <v>454</v>
      </c>
      <c r="E2620">
        <v>41433088000112</v>
      </c>
      <c r="F2620">
        <v>913</v>
      </c>
      <c r="G2620" s="10">
        <v>177705691752891</v>
      </c>
      <c r="H2620" t="s">
        <v>571</v>
      </c>
      <c r="I2620">
        <v>3003</v>
      </c>
      <c r="J2620" t="s">
        <v>22</v>
      </c>
      <c r="K2620" t="s">
        <v>23</v>
      </c>
      <c r="L2620" t="s">
        <v>31</v>
      </c>
      <c r="M2620" t="s">
        <v>636</v>
      </c>
      <c r="N2620" t="s">
        <v>53</v>
      </c>
      <c r="O2620">
        <v>128</v>
      </c>
      <c r="R2620" s="11">
        <v>8.1018518518518516E-5</v>
      </c>
      <c r="S2620" t="s">
        <v>37</v>
      </c>
      <c r="T2620" t="str">
        <f>IF(Tabela1[[#This Row],[STATUS_NEGOCIO]]="Enviar E-mail",1,"")</f>
        <v/>
      </c>
      <c r="U2620" t="str">
        <f>TEXT(Tabela1[[#This Row],[DATA]],"dd/mm/aaaa")</f>
        <v>24/04/2026</v>
      </c>
    </row>
    <row r="2621" spans="1:21" x14ac:dyDescent="0.25">
      <c r="A2621" s="9">
        <v>46136.663483796299</v>
      </c>
      <c r="B2621" t="s">
        <v>19</v>
      </c>
      <c r="C2621" t="s">
        <v>37</v>
      </c>
      <c r="D2621">
        <v>455</v>
      </c>
      <c r="E2621">
        <v>41601367000148</v>
      </c>
      <c r="F2621">
        <v>914</v>
      </c>
      <c r="G2621" s="10">
        <v>177705692552941</v>
      </c>
      <c r="H2621" t="s">
        <v>572</v>
      </c>
      <c r="I2621">
        <v>3003</v>
      </c>
      <c r="J2621" t="s">
        <v>22</v>
      </c>
      <c r="K2621" t="s">
        <v>23</v>
      </c>
      <c r="L2621" t="s">
        <v>31</v>
      </c>
      <c r="M2621" t="s">
        <v>636</v>
      </c>
      <c r="N2621" t="s">
        <v>53</v>
      </c>
      <c r="O2621">
        <v>128</v>
      </c>
      <c r="R2621" s="11">
        <v>8.1018518518518516E-5</v>
      </c>
      <c r="S2621" t="s">
        <v>37</v>
      </c>
      <c r="T2621" t="str">
        <f>IF(Tabela1[[#This Row],[STATUS_NEGOCIO]]="Enviar E-mail",1,"")</f>
        <v/>
      </c>
      <c r="U2621" t="str">
        <f>TEXT(Tabela1[[#This Row],[DATA]],"dd/mm/aaaa")</f>
        <v>24/04/2026</v>
      </c>
    </row>
    <row r="2622" spans="1:21" x14ac:dyDescent="0.25">
      <c r="A2622" s="9">
        <v>46136.663715277777</v>
      </c>
      <c r="B2622" t="s">
        <v>19</v>
      </c>
      <c r="C2622" t="s">
        <v>37</v>
      </c>
      <c r="D2622">
        <v>456</v>
      </c>
      <c r="E2622">
        <v>41907234000102</v>
      </c>
      <c r="F2622">
        <v>915</v>
      </c>
      <c r="G2622" s="10">
        <v>177705694553091</v>
      </c>
      <c r="H2622" t="s">
        <v>573</v>
      </c>
      <c r="I2622">
        <v>3003</v>
      </c>
      <c r="J2622" t="s">
        <v>22</v>
      </c>
      <c r="K2622" t="s">
        <v>23</v>
      </c>
      <c r="L2622" t="s">
        <v>31</v>
      </c>
      <c r="M2622" t="s">
        <v>636</v>
      </c>
      <c r="N2622" t="s">
        <v>53</v>
      </c>
      <c r="O2622">
        <v>128</v>
      </c>
      <c r="R2622" s="11">
        <v>8.1018518518518516E-5</v>
      </c>
      <c r="S2622" t="s">
        <v>37</v>
      </c>
      <c r="T2622" t="str">
        <f>IF(Tabela1[[#This Row],[STATUS_NEGOCIO]]="Enviar E-mail",1,"")</f>
        <v/>
      </c>
      <c r="U2622" t="str">
        <f>TEXT(Tabela1[[#This Row],[DATA]],"dd/mm/aaaa")</f>
        <v>24/04/2026</v>
      </c>
    </row>
    <row r="2623" spans="1:21" x14ac:dyDescent="0.25">
      <c r="A2623" s="9">
        <v>46136.664004629631</v>
      </c>
      <c r="B2623" t="s">
        <v>19</v>
      </c>
      <c r="C2623" t="s">
        <v>37</v>
      </c>
      <c r="D2623">
        <v>457</v>
      </c>
      <c r="E2623">
        <v>42081946000170</v>
      </c>
      <c r="F2623">
        <v>916</v>
      </c>
      <c r="G2623" s="10">
        <v>177705697053121</v>
      </c>
      <c r="H2623" t="s">
        <v>126</v>
      </c>
      <c r="I2623">
        <v>3003</v>
      </c>
      <c r="J2623" t="s">
        <v>22</v>
      </c>
      <c r="K2623" t="s">
        <v>23</v>
      </c>
      <c r="L2623" t="s">
        <v>31</v>
      </c>
      <c r="M2623" t="s">
        <v>636</v>
      </c>
      <c r="N2623" t="s">
        <v>53</v>
      </c>
      <c r="O2623">
        <v>128</v>
      </c>
      <c r="R2623" s="11">
        <v>8.1018518518518516E-5</v>
      </c>
      <c r="S2623" t="s">
        <v>37</v>
      </c>
      <c r="T2623" t="str">
        <f>IF(Tabela1[[#This Row],[STATUS_NEGOCIO]]="Enviar E-mail",1,"")</f>
        <v/>
      </c>
      <c r="U2623" t="str">
        <f>TEXT(Tabela1[[#This Row],[DATA]],"dd/mm/aaaa")</f>
        <v>24/04/2026</v>
      </c>
    </row>
    <row r="2624" spans="1:21" x14ac:dyDescent="0.25">
      <c r="A2624" s="9">
        <v>46136.664120370369</v>
      </c>
      <c r="B2624" t="s">
        <v>19</v>
      </c>
      <c r="C2624" t="s">
        <v>37</v>
      </c>
      <c r="D2624">
        <v>458</v>
      </c>
      <c r="E2624">
        <v>42427558000106</v>
      </c>
      <c r="F2624">
        <v>917</v>
      </c>
      <c r="G2624" s="10">
        <v>177705698053141</v>
      </c>
      <c r="H2624" t="s">
        <v>574</v>
      </c>
      <c r="I2624">
        <v>3003</v>
      </c>
      <c r="J2624" t="s">
        <v>22</v>
      </c>
      <c r="K2624" t="s">
        <v>23</v>
      </c>
      <c r="L2624" t="s">
        <v>31</v>
      </c>
      <c r="M2624" t="s">
        <v>636</v>
      </c>
      <c r="N2624" t="s">
        <v>53</v>
      </c>
      <c r="O2624">
        <v>128</v>
      </c>
      <c r="R2624" s="11">
        <v>8.1018518518518516E-5</v>
      </c>
      <c r="S2624" t="s">
        <v>37</v>
      </c>
      <c r="T2624" t="str">
        <f>IF(Tabela1[[#This Row],[STATUS_NEGOCIO]]="Enviar E-mail",1,"")</f>
        <v/>
      </c>
      <c r="U2624" t="str">
        <f>TEXT(Tabela1[[#This Row],[DATA]],"dd/mm/aaaa")</f>
        <v>24/04/2026</v>
      </c>
    </row>
    <row r="2625" spans="1:21" x14ac:dyDescent="0.25">
      <c r="A2625" s="9">
        <v>46136.664120370369</v>
      </c>
      <c r="B2625" t="s">
        <v>19</v>
      </c>
      <c r="C2625" t="s">
        <v>37</v>
      </c>
      <c r="D2625">
        <v>459</v>
      </c>
      <c r="E2625">
        <v>42430090000109</v>
      </c>
      <c r="F2625">
        <v>918</v>
      </c>
      <c r="G2625" s="10">
        <v>177705698053161</v>
      </c>
      <c r="H2625" t="s">
        <v>575</v>
      </c>
      <c r="I2625" t="s">
        <v>52</v>
      </c>
      <c r="J2625" t="s">
        <v>22</v>
      </c>
      <c r="K2625" t="s">
        <v>36</v>
      </c>
      <c r="L2625" t="s">
        <v>36</v>
      </c>
      <c r="M2625" t="s">
        <v>636</v>
      </c>
      <c r="N2625" t="s">
        <v>53</v>
      </c>
      <c r="O2625">
        <v>1</v>
      </c>
      <c r="R2625" s="11">
        <v>0</v>
      </c>
      <c r="S2625" t="s">
        <v>37</v>
      </c>
      <c r="T2625" t="str">
        <f>IF(Tabela1[[#This Row],[STATUS_NEGOCIO]]="Enviar E-mail",1,"")</f>
        <v/>
      </c>
      <c r="U2625" t="str">
        <f>TEXT(Tabela1[[#This Row],[DATA]],"dd/mm/aaaa")</f>
        <v>24/04/2026</v>
      </c>
    </row>
    <row r="2626" spans="1:21" x14ac:dyDescent="0.25">
      <c r="A2626" s="9">
        <v>46136.664131944446</v>
      </c>
      <c r="B2626" t="s">
        <v>19</v>
      </c>
      <c r="C2626" t="s">
        <v>37</v>
      </c>
      <c r="D2626">
        <v>460</v>
      </c>
      <c r="E2626">
        <v>42497263000106</v>
      </c>
      <c r="F2626">
        <v>919</v>
      </c>
      <c r="G2626" s="10">
        <v>177705698153171</v>
      </c>
      <c r="H2626" t="s">
        <v>576</v>
      </c>
      <c r="I2626">
        <v>3003</v>
      </c>
      <c r="J2626" t="s">
        <v>22</v>
      </c>
      <c r="K2626" t="s">
        <v>23</v>
      </c>
      <c r="L2626" t="s">
        <v>31</v>
      </c>
      <c r="M2626" t="s">
        <v>636</v>
      </c>
      <c r="N2626" t="s">
        <v>53</v>
      </c>
      <c r="O2626">
        <v>128</v>
      </c>
      <c r="R2626" s="11">
        <v>6.9444444444444444E-5</v>
      </c>
      <c r="S2626" t="s">
        <v>37</v>
      </c>
      <c r="T2626" t="str">
        <f>IF(Tabela1[[#This Row],[STATUS_NEGOCIO]]="Enviar E-mail",1,"")</f>
        <v/>
      </c>
      <c r="U2626" t="str">
        <f>TEXT(Tabela1[[#This Row],[DATA]],"dd/mm/aaaa")</f>
        <v>24/04/2026</v>
      </c>
    </row>
    <row r="2627" spans="1:21" x14ac:dyDescent="0.25">
      <c r="A2627" s="9">
        <v>46136.664224537039</v>
      </c>
      <c r="B2627" t="s">
        <v>19</v>
      </c>
      <c r="C2627" t="s">
        <v>37</v>
      </c>
      <c r="D2627">
        <v>461</v>
      </c>
      <c r="E2627">
        <v>42558791000110</v>
      </c>
      <c r="F2627">
        <v>920</v>
      </c>
      <c r="G2627" s="10">
        <v>177705698953251</v>
      </c>
      <c r="H2627" t="s">
        <v>149</v>
      </c>
      <c r="I2627" t="s">
        <v>52</v>
      </c>
      <c r="J2627" t="s">
        <v>22</v>
      </c>
      <c r="K2627" t="s">
        <v>36</v>
      </c>
      <c r="L2627" t="s">
        <v>36</v>
      </c>
      <c r="M2627" t="s">
        <v>636</v>
      </c>
      <c r="N2627" t="s">
        <v>53</v>
      </c>
      <c r="O2627">
        <v>19</v>
      </c>
      <c r="R2627" s="11">
        <v>0</v>
      </c>
      <c r="S2627" t="s">
        <v>37</v>
      </c>
      <c r="T2627" t="str">
        <f>IF(Tabela1[[#This Row],[STATUS_NEGOCIO]]="Enviar E-mail",1,"")</f>
        <v/>
      </c>
      <c r="U2627" t="str">
        <f>TEXT(Tabela1[[#This Row],[DATA]],"dd/mm/aaaa")</f>
        <v>24/04/2026</v>
      </c>
    </row>
    <row r="2628" spans="1:21" x14ac:dyDescent="0.25">
      <c r="A2628" s="9">
        <v>46136.664305555554</v>
      </c>
      <c r="B2628" t="s">
        <v>19</v>
      </c>
      <c r="C2628" t="s">
        <v>37</v>
      </c>
      <c r="D2628">
        <v>462</v>
      </c>
      <c r="E2628">
        <v>42564351000175</v>
      </c>
      <c r="F2628">
        <v>921</v>
      </c>
      <c r="G2628" s="10">
        <v>177705699653271</v>
      </c>
      <c r="H2628" t="s">
        <v>195</v>
      </c>
      <c r="I2628" t="s">
        <v>52</v>
      </c>
      <c r="J2628" t="s">
        <v>22</v>
      </c>
      <c r="K2628" t="s">
        <v>62</v>
      </c>
      <c r="L2628" t="s">
        <v>62</v>
      </c>
      <c r="M2628" t="s">
        <v>636</v>
      </c>
      <c r="N2628" t="s">
        <v>53</v>
      </c>
      <c r="O2628">
        <v>17</v>
      </c>
      <c r="R2628" s="11">
        <v>0</v>
      </c>
      <c r="S2628" t="s">
        <v>37</v>
      </c>
      <c r="T2628" t="str">
        <f>IF(Tabela1[[#This Row],[STATUS_NEGOCIO]]="Enviar E-mail",1,"")</f>
        <v/>
      </c>
      <c r="U2628" t="str">
        <f>TEXT(Tabela1[[#This Row],[DATA]],"dd/mm/aaaa")</f>
        <v>24/04/2026</v>
      </c>
    </row>
    <row r="2629" spans="1:21" x14ac:dyDescent="0.25">
      <c r="A2629" s="9">
        <v>46136.664722222224</v>
      </c>
      <c r="B2629" t="s">
        <v>19</v>
      </c>
      <c r="C2629" t="s">
        <v>37</v>
      </c>
      <c r="D2629">
        <v>463</v>
      </c>
      <c r="E2629">
        <v>42764642000107</v>
      </c>
      <c r="F2629">
        <v>922</v>
      </c>
      <c r="G2629" s="10">
        <v>177705703253291</v>
      </c>
      <c r="H2629" t="s">
        <v>577</v>
      </c>
      <c r="I2629">
        <v>3003</v>
      </c>
      <c r="J2629" t="s">
        <v>22</v>
      </c>
      <c r="K2629" t="s">
        <v>23</v>
      </c>
      <c r="L2629" t="s">
        <v>31</v>
      </c>
      <c r="M2629" t="s">
        <v>636</v>
      </c>
      <c r="N2629" t="s">
        <v>53</v>
      </c>
      <c r="O2629">
        <v>128</v>
      </c>
      <c r="R2629" s="11">
        <v>8.1018518518518516E-5</v>
      </c>
      <c r="S2629" t="s">
        <v>37</v>
      </c>
      <c r="T2629" t="str">
        <f>IF(Tabela1[[#This Row],[STATUS_NEGOCIO]]="Enviar E-mail",1,"")</f>
        <v/>
      </c>
      <c r="U2629" t="str">
        <f>TEXT(Tabela1[[#This Row],[DATA]],"dd/mm/aaaa")</f>
        <v>24/04/2026</v>
      </c>
    </row>
    <row r="2630" spans="1:21" x14ac:dyDescent="0.25">
      <c r="A2630" s="9">
        <v>46136.664780092593</v>
      </c>
      <c r="B2630" t="s">
        <v>19</v>
      </c>
      <c r="C2630" t="s">
        <v>37</v>
      </c>
      <c r="D2630">
        <v>464</v>
      </c>
      <c r="E2630">
        <v>42834744000151</v>
      </c>
      <c r="F2630">
        <v>923</v>
      </c>
      <c r="G2630" s="10">
        <v>177705703753341</v>
      </c>
      <c r="H2630" t="s">
        <v>578</v>
      </c>
      <c r="I2630" t="s">
        <v>52</v>
      </c>
      <c r="J2630" t="s">
        <v>22</v>
      </c>
      <c r="K2630" t="s">
        <v>36</v>
      </c>
      <c r="L2630" t="s">
        <v>36</v>
      </c>
      <c r="M2630" t="s">
        <v>636</v>
      </c>
      <c r="N2630" t="s">
        <v>53</v>
      </c>
      <c r="O2630">
        <v>34</v>
      </c>
      <c r="R2630" s="11">
        <v>0</v>
      </c>
      <c r="S2630" t="s">
        <v>37</v>
      </c>
      <c r="T2630" t="str">
        <f>IF(Tabela1[[#This Row],[STATUS_NEGOCIO]]="Enviar E-mail",1,"")</f>
        <v/>
      </c>
      <c r="U2630" t="str">
        <f>TEXT(Tabela1[[#This Row],[DATA]],"dd/mm/aaaa")</f>
        <v>24/04/2026</v>
      </c>
    </row>
    <row r="2631" spans="1:21" x14ac:dyDescent="0.25">
      <c r="A2631" s="9">
        <v>46136.664837962962</v>
      </c>
      <c r="B2631" t="s">
        <v>19</v>
      </c>
      <c r="C2631" t="s">
        <v>37</v>
      </c>
      <c r="D2631">
        <v>465</v>
      </c>
      <c r="E2631">
        <v>42895602000102</v>
      </c>
      <c r="F2631">
        <v>924</v>
      </c>
      <c r="G2631" s="10">
        <v>177705704253351</v>
      </c>
      <c r="H2631" t="s">
        <v>156</v>
      </c>
      <c r="I2631">
        <v>3003</v>
      </c>
      <c r="J2631" t="s">
        <v>22</v>
      </c>
      <c r="K2631" t="s">
        <v>23</v>
      </c>
      <c r="L2631" t="s">
        <v>31</v>
      </c>
      <c r="M2631" t="s">
        <v>636</v>
      </c>
      <c r="N2631" t="s">
        <v>53</v>
      </c>
      <c r="O2631">
        <v>147</v>
      </c>
      <c r="R2631" s="11">
        <v>8.1018518518518516E-5</v>
      </c>
      <c r="S2631" t="s">
        <v>37</v>
      </c>
      <c r="T2631" t="str">
        <f>IF(Tabela1[[#This Row],[STATUS_NEGOCIO]]="Enviar E-mail",1,"")</f>
        <v/>
      </c>
      <c r="U2631" t="str">
        <f>TEXT(Tabela1[[#This Row],[DATA]],"dd/mm/aaaa")</f>
        <v>24/04/2026</v>
      </c>
    </row>
    <row r="2632" spans="1:21" x14ac:dyDescent="0.25">
      <c r="A2632" s="9">
        <v>46136.664953703701</v>
      </c>
      <c r="B2632" t="s">
        <v>19</v>
      </c>
      <c r="C2632" t="s">
        <v>20</v>
      </c>
      <c r="D2632">
        <v>466</v>
      </c>
      <c r="E2632">
        <v>42946445000109</v>
      </c>
      <c r="F2632">
        <v>925</v>
      </c>
      <c r="G2632" s="10">
        <v>177705705253371</v>
      </c>
      <c r="H2632" t="s">
        <v>579</v>
      </c>
      <c r="I2632">
        <v>3003</v>
      </c>
      <c r="J2632" t="s">
        <v>22</v>
      </c>
      <c r="K2632" t="s">
        <v>23</v>
      </c>
      <c r="L2632" t="s">
        <v>152</v>
      </c>
      <c r="M2632" t="s">
        <v>636</v>
      </c>
      <c r="N2632" t="s">
        <v>32</v>
      </c>
      <c r="O2632">
        <v>16</v>
      </c>
      <c r="R2632" s="11">
        <v>4.9768518518518521E-4</v>
      </c>
      <c r="S2632" s="11">
        <v>4.3981481481481481E-4</v>
      </c>
      <c r="T2632" t="str">
        <f>IF(Tabela1[[#This Row],[STATUS_NEGOCIO]]="Enviar E-mail",1,"")</f>
        <v/>
      </c>
      <c r="U2632" t="str">
        <f>TEXT(Tabela1[[#This Row],[DATA]],"dd/mm/aaaa")</f>
        <v>24/04/2026</v>
      </c>
    </row>
    <row r="2633" spans="1:21" x14ac:dyDescent="0.25">
      <c r="A2633" s="9">
        <v>46136.665219907409</v>
      </c>
      <c r="B2633" t="s">
        <v>19</v>
      </c>
      <c r="C2633" t="s">
        <v>37</v>
      </c>
      <c r="D2633">
        <v>467</v>
      </c>
      <c r="E2633">
        <v>43189309000184</v>
      </c>
      <c r="F2633">
        <v>926</v>
      </c>
      <c r="G2633" s="10">
        <v>177705707553461</v>
      </c>
      <c r="H2633" t="s">
        <v>216</v>
      </c>
      <c r="I2633">
        <v>3003</v>
      </c>
      <c r="J2633" t="s">
        <v>22</v>
      </c>
      <c r="K2633" t="s">
        <v>23</v>
      </c>
      <c r="L2633" t="s">
        <v>31</v>
      </c>
      <c r="M2633" t="s">
        <v>636</v>
      </c>
      <c r="N2633" t="s">
        <v>53</v>
      </c>
      <c r="O2633">
        <v>128</v>
      </c>
      <c r="R2633" s="11">
        <v>8.1018518518518516E-5</v>
      </c>
      <c r="S2633" t="s">
        <v>37</v>
      </c>
      <c r="T2633" t="str">
        <f>IF(Tabela1[[#This Row],[STATUS_NEGOCIO]]="Enviar E-mail",1,"")</f>
        <v/>
      </c>
      <c r="U2633" t="str">
        <f>TEXT(Tabela1[[#This Row],[DATA]],"dd/mm/aaaa")</f>
        <v>24/04/2026</v>
      </c>
    </row>
    <row r="2634" spans="1:21" x14ac:dyDescent="0.25">
      <c r="A2634" s="9">
        <v>46136.665370370371</v>
      </c>
      <c r="B2634" t="s">
        <v>19</v>
      </c>
      <c r="C2634" t="s">
        <v>37</v>
      </c>
      <c r="D2634">
        <v>468</v>
      </c>
      <c r="E2634">
        <v>43291803000155</v>
      </c>
      <c r="F2634">
        <v>927</v>
      </c>
      <c r="G2634" s="10">
        <v>177705708853481</v>
      </c>
      <c r="H2634" t="s">
        <v>581</v>
      </c>
      <c r="I2634">
        <v>3003</v>
      </c>
      <c r="J2634" t="s">
        <v>22</v>
      </c>
      <c r="K2634" t="s">
        <v>23</v>
      </c>
      <c r="L2634" t="s">
        <v>31</v>
      </c>
      <c r="M2634" t="s">
        <v>636</v>
      </c>
      <c r="N2634" t="s">
        <v>53</v>
      </c>
      <c r="O2634">
        <v>128</v>
      </c>
      <c r="R2634" s="11">
        <v>8.1018518518518516E-5</v>
      </c>
      <c r="S2634" t="s">
        <v>37</v>
      </c>
      <c r="T2634" t="str">
        <f>IF(Tabela1[[#This Row],[STATUS_NEGOCIO]]="Enviar E-mail",1,"")</f>
        <v/>
      </c>
      <c r="U2634" t="str">
        <f>TEXT(Tabela1[[#This Row],[DATA]],"dd/mm/aaaa")</f>
        <v>24/04/2026</v>
      </c>
    </row>
    <row r="2635" spans="1:21" x14ac:dyDescent="0.25">
      <c r="A2635" s="9">
        <v>46136.665567129632</v>
      </c>
      <c r="B2635" t="s">
        <v>19</v>
      </c>
      <c r="C2635" t="s">
        <v>37</v>
      </c>
      <c r="D2635">
        <v>469</v>
      </c>
      <c r="E2635">
        <v>43600132000167</v>
      </c>
      <c r="F2635">
        <v>928</v>
      </c>
      <c r="G2635" s="10">
        <v>177705710553501</v>
      </c>
      <c r="H2635" t="s">
        <v>582</v>
      </c>
      <c r="I2635">
        <v>3003</v>
      </c>
      <c r="J2635" t="s">
        <v>22</v>
      </c>
      <c r="K2635" t="s">
        <v>23</v>
      </c>
      <c r="L2635" t="s">
        <v>31</v>
      </c>
      <c r="M2635" t="s">
        <v>636</v>
      </c>
      <c r="N2635" t="s">
        <v>53</v>
      </c>
      <c r="O2635">
        <v>128</v>
      </c>
      <c r="R2635" s="11">
        <v>8.1018518518518516E-5</v>
      </c>
      <c r="S2635" t="s">
        <v>37</v>
      </c>
      <c r="T2635" t="str">
        <f>IF(Tabela1[[#This Row],[STATUS_NEGOCIO]]="Enviar E-mail",1,"")</f>
        <v/>
      </c>
      <c r="U2635" t="str">
        <f>TEXT(Tabela1[[#This Row],[DATA]],"dd/mm/aaaa")</f>
        <v>24/04/2026</v>
      </c>
    </row>
    <row r="2636" spans="1:21" x14ac:dyDescent="0.25">
      <c r="A2636" s="9">
        <v>46136.665601851855</v>
      </c>
      <c r="B2636" t="s">
        <v>19</v>
      </c>
      <c r="C2636" t="s">
        <v>37</v>
      </c>
      <c r="D2636">
        <v>470</v>
      </c>
      <c r="E2636">
        <v>43608407000109</v>
      </c>
      <c r="F2636">
        <v>929</v>
      </c>
      <c r="G2636" s="10">
        <v>177705710853521</v>
      </c>
      <c r="H2636" t="s">
        <v>583</v>
      </c>
      <c r="I2636">
        <v>3003</v>
      </c>
      <c r="J2636" t="s">
        <v>22</v>
      </c>
      <c r="K2636" t="s">
        <v>23</v>
      </c>
      <c r="L2636" t="s">
        <v>31</v>
      </c>
      <c r="M2636" t="s">
        <v>636</v>
      </c>
      <c r="N2636" t="s">
        <v>53</v>
      </c>
      <c r="O2636">
        <v>128</v>
      </c>
      <c r="R2636" s="11">
        <v>8.1018518518518516E-5</v>
      </c>
      <c r="S2636" t="s">
        <v>37</v>
      </c>
      <c r="T2636" t="str">
        <f>IF(Tabela1[[#This Row],[STATUS_NEGOCIO]]="Enviar E-mail",1,"")</f>
        <v/>
      </c>
      <c r="U2636" t="str">
        <f>TEXT(Tabela1[[#This Row],[DATA]],"dd/mm/aaaa")</f>
        <v>24/04/2026</v>
      </c>
    </row>
    <row r="2637" spans="1:21" x14ac:dyDescent="0.25">
      <c r="A2637" s="9">
        <v>46136.66574074074</v>
      </c>
      <c r="B2637" t="s">
        <v>19</v>
      </c>
      <c r="C2637" t="s">
        <v>37</v>
      </c>
      <c r="D2637">
        <v>471</v>
      </c>
      <c r="E2637">
        <v>43647834000104</v>
      </c>
      <c r="F2637">
        <v>930</v>
      </c>
      <c r="G2637" s="10">
        <v>177705712053541</v>
      </c>
      <c r="H2637" t="s">
        <v>584</v>
      </c>
      <c r="I2637">
        <v>3003</v>
      </c>
      <c r="J2637" t="s">
        <v>22</v>
      </c>
      <c r="K2637" t="s">
        <v>23</v>
      </c>
      <c r="L2637" t="s">
        <v>31</v>
      </c>
      <c r="M2637" t="s">
        <v>636</v>
      </c>
      <c r="N2637" t="s">
        <v>53</v>
      </c>
      <c r="O2637">
        <v>128</v>
      </c>
      <c r="R2637" s="11">
        <v>8.1018518518518516E-5</v>
      </c>
      <c r="S2637" t="s">
        <v>37</v>
      </c>
      <c r="T2637" t="str">
        <f>IF(Tabela1[[#This Row],[STATUS_NEGOCIO]]="Enviar E-mail",1,"")</f>
        <v/>
      </c>
      <c r="U2637" t="str">
        <f>TEXT(Tabela1[[#This Row],[DATA]],"dd/mm/aaaa")</f>
        <v>24/04/2026</v>
      </c>
    </row>
    <row r="2638" spans="1:21" x14ac:dyDescent="0.25">
      <c r="A2638" s="9">
        <v>46136.665868055556</v>
      </c>
      <c r="B2638" t="s">
        <v>19</v>
      </c>
      <c r="C2638" t="s">
        <v>37</v>
      </c>
      <c r="D2638">
        <v>472</v>
      </c>
      <c r="E2638">
        <v>43753738000132</v>
      </c>
      <c r="F2638">
        <v>931</v>
      </c>
      <c r="G2638" s="10">
        <v>177705713153601</v>
      </c>
      <c r="H2638" t="s">
        <v>585</v>
      </c>
      <c r="I2638">
        <v>3003</v>
      </c>
      <c r="J2638" t="s">
        <v>22</v>
      </c>
      <c r="K2638" t="s">
        <v>23</v>
      </c>
      <c r="L2638" t="s">
        <v>31</v>
      </c>
      <c r="M2638" t="s">
        <v>636</v>
      </c>
      <c r="N2638" t="s">
        <v>53</v>
      </c>
      <c r="O2638">
        <v>147</v>
      </c>
      <c r="R2638" s="11">
        <v>8.1018518518518516E-5</v>
      </c>
      <c r="S2638" t="s">
        <v>37</v>
      </c>
      <c r="T2638" t="str">
        <f>IF(Tabela1[[#This Row],[STATUS_NEGOCIO]]="Enviar E-mail",1,"")</f>
        <v/>
      </c>
      <c r="U2638" t="str">
        <f>TEXT(Tabela1[[#This Row],[DATA]],"dd/mm/aaaa")</f>
        <v>24/04/2026</v>
      </c>
    </row>
    <row r="2639" spans="1:21" x14ac:dyDescent="0.25">
      <c r="A2639" s="9">
        <v>46136.665914351855</v>
      </c>
      <c r="B2639" t="s">
        <v>19</v>
      </c>
      <c r="C2639" t="s">
        <v>37</v>
      </c>
      <c r="D2639">
        <v>473</v>
      </c>
      <c r="E2639">
        <v>43907332000167</v>
      </c>
      <c r="F2639">
        <v>932</v>
      </c>
      <c r="G2639" s="10">
        <v>177705713553621</v>
      </c>
      <c r="H2639" t="s">
        <v>122</v>
      </c>
      <c r="I2639">
        <v>3003</v>
      </c>
      <c r="J2639" t="s">
        <v>22</v>
      </c>
      <c r="K2639" t="s">
        <v>23</v>
      </c>
      <c r="L2639" t="s">
        <v>31</v>
      </c>
      <c r="M2639" t="s">
        <v>636</v>
      </c>
      <c r="N2639" t="s">
        <v>53</v>
      </c>
      <c r="O2639">
        <v>147</v>
      </c>
      <c r="R2639" s="11">
        <v>8.1018518518518516E-5</v>
      </c>
      <c r="S2639" t="s">
        <v>37</v>
      </c>
      <c r="T2639" t="str">
        <f>IF(Tabela1[[#This Row],[STATUS_NEGOCIO]]="Enviar E-mail",1,"")</f>
        <v/>
      </c>
      <c r="U2639" t="str">
        <f>TEXT(Tabela1[[#This Row],[DATA]],"dd/mm/aaaa")</f>
        <v>24/04/2026</v>
      </c>
    </row>
    <row r="2640" spans="1:21" x14ac:dyDescent="0.25">
      <c r="A2640" s="9">
        <v>46136.666087962964</v>
      </c>
      <c r="B2640" t="s">
        <v>19</v>
      </c>
      <c r="C2640" t="s">
        <v>37</v>
      </c>
      <c r="D2640">
        <v>474</v>
      </c>
      <c r="E2640">
        <v>44141387000171</v>
      </c>
      <c r="F2640">
        <v>933</v>
      </c>
      <c r="G2640" s="10">
        <v>177705715053641</v>
      </c>
      <c r="H2640" t="s">
        <v>586</v>
      </c>
      <c r="I2640" t="s">
        <v>52</v>
      </c>
      <c r="J2640" t="s">
        <v>22</v>
      </c>
      <c r="K2640" t="s">
        <v>36</v>
      </c>
      <c r="L2640" t="s">
        <v>36</v>
      </c>
      <c r="M2640" t="s">
        <v>636</v>
      </c>
      <c r="N2640" t="s">
        <v>53</v>
      </c>
      <c r="O2640">
        <v>19</v>
      </c>
      <c r="R2640" s="11">
        <v>0</v>
      </c>
      <c r="S2640" t="s">
        <v>37</v>
      </c>
      <c r="T2640" t="str">
        <f>IF(Tabela1[[#This Row],[STATUS_NEGOCIO]]="Enviar E-mail",1,"")</f>
        <v/>
      </c>
      <c r="U2640" t="str">
        <f>TEXT(Tabela1[[#This Row],[DATA]],"dd/mm/aaaa")</f>
        <v>24/04/2026</v>
      </c>
    </row>
    <row r="2641" spans="1:21" x14ac:dyDescent="0.25">
      <c r="A2641" s="9">
        <v>46136.666446759256</v>
      </c>
      <c r="B2641" t="s">
        <v>19</v>
      </c>
      <c r="C2641" t="s">
        <v>37</v>
      </c>
      <c r="D2641">
        <v>475</v>
      </c>
      <c r="E2641">
        <v>44172855000175</v>
      </c>
      <c r="F2641">
        <v>934</v>
      </c>
      <c r="G2641" s="10">
        <v>177705718153721</v>
      </c>
      <c r="H2641" t="s">
        <v>587</v>
      </c>
      <c r="I2641">
        <v>3003</v>
      </c>
      <c r="J2641" t="s">
        <v>22</v>
      </c>
      <c r="K2641" t="s">
        <v>23</v>
      </c>
      <c r="L2641" t="s">
        <v>31</v>
      </c>
      <c r="M2641" t="s">
        <v>636</v>
      </c>
      <c r="N2641" t="s">
        <v>53</v>
      </c>
      <c r="O2641">
        <v>128</v>
      </c>
      <c r="R2641" s="11">
        <v>8.1018518518518516E-5</v>
      </c>
      <c r="S2641" t="s">
        <v>37</v>
      </c>
      <c r="T2641" t="str">
        <f>IF(Tabela1[[#This Row],[STATUS_NEGOCIO]]="Enviar E-mail",1,"")</f>
        <v/>
      </c>
      <c r="U2641" t="str">
        <f>TEXT(Tabela1[[#This Row],[DATA]],"dd/mm/aaaa")</f>
        <v>24/04/2026</v>
      </c>
    </row>
    <row r="2642" spans="1:21" x14ac:dyDescent="0.25">
      <c r="A2642" s="9">
        <v>46136.666666666664</v>
      </c>
      <c r="B2642" t="s">
        <v>19</v>
      </c>
      <c r="C2642" t="s">
        <v>37</v>
      </c>
      <c r="D2642">
        <v>476</v>
      </c>
      <c r="E2642">
        <v>45020481000135</v>
      </c>
      <c r="F2642">
        <v>935</v>
      </c>
      <c r="G2642" s="10">
        <v>177705720053751</v>
      </c>
      <c r="H2642" t="s">
        <v>588</v>
      </c>
      <c r="I2642" t="s">
        <v>52</v>
      </c>
      <c r="J2642" t="s">
        <v>22</v>
      </c>
      <c r="K2642" t="s">
        <v>36</v>
      </c>
      <c r="L2642" t="s">
        <v>36</v>
      </c>
      <c r="M2642" t="s">
        <v>636</v>
      </c>
      <c r="N2642" t="s">
        <v>53</v>
      </c>
      <c r="O2642">
        <v>19</v>
      </c>
      <c r="R2642" s="11">
        <v>0</v>
      </c>
      <c r="S2642" t="s">
        <v>37</v>
      </c>
      <c r="T2642" t="str">
        <f>IF(Tabela1[[#This Row],[STATUS_NEGOCIO]]="Enviar E-mail",1,"")</f>
        <v/>
      </c>
      <c r="U2642" t="str">
        <f>TEXT(Tabela1[[#This Row],[DATA]],"dd/mm/aaaa")</f>
        <v>24/04/2026</v>
      </c>
    </row>
    <row r="2643" spans="1:21" x14ac:dyDescent="0.25">
      <c r="A2643" s="9">
        <v>46136.666678240741</v>
      </c>
      <c r="B2643" t="s">
        <v>19</v>
      </c>
      <c r="C2643" t="s">
        <v>37</v>
      </c>
      <c r="D2643">
        <v>477</v>
      </c>
      <c r="E2643">
        <v>45271123000103</v>
      </c>
      <c r="F2643">
        <v>936</v>
      </c>
      <c r="G2643" s="10">
        <v>177705720153761</v>
      </c>
      <c r="H2643" t="s">
        <v>589</v>
      </c>
      <c r="I2643">
        <v>3003</v>
      </c>
      <c r="J2643" t="s">
        <v>22</v>
      </c>
      <c r="K2643" t="s">
        <v>23</v>
      </c>
      <c r="L2643" t="s">
        <v>31</v>
      </c>
      <c r="M2643" t="s">
        <v>636</v>
      </c>
      <c r="N2643" t="s">
        <v>53</v>
      </c>
      <c r="O2643">
        <v>128</v>
      </c>
      <c r="R2643" s="11">
        <v>8.1018518518518516E-5</v>
      </c>
      <c r="S2643" t="s">
        <v>37</v>
      </c>
      <c r="T2643" t="str">
        <f>IF(Tabela1[[#This Row],[STATUS_NEGOCIO]]="Enviar E-mail",1,"")</f>
        <v/>
      </c>
      <c r="U2643" t="str">
        <f>TEXT(Tabela1[[#This Row],[DATA]],"dd/mm/aaaa")</f>
        <v>24/04/2026</v>
      </c>
    </row>
    <row r="2644" spans="1:21" x14ac:dyDescent="0.25">
      <c r="A2644" s="9">
        <v>46136.666875000003</v>
      </c>
      <c r="B2644" t="s">
        <v>19</v>
      </c>
      <c r="C2644" t="s">
        <v>37</v>
      </c>
      <c r="D2644">
        <v>478</v>
      </c>
      <c r="E2644">
        <v>45504294000127</v>
      </c>
      <c r="F2644">
        <v>937</v>
      </c>
      <c r="G2644" s="10">
        <v>177705721853781</v>
      </c>
      <c r="H2644" t="s">
        <v>590</v>
      </c>
      <c r="I2644">
        <v>3003</v>
      </c>
      <c r="J2644" t="s">
        <v>22</v>
      </c>
      <c r="K2644" t="s">
        <v>23</v>
      </c>
      <c r="L2644" t="s">
        <v>31</v>
      </c>
      <c r="M2644" t="s">
        <v>636</v>
      </c>
      <c r="N2644" t="s">
        <v>53</v>
      </c>
      <c r="O2644">
        <v>147</v>
      </c>
      <c r="R2644" s="11">
        <v>6.9444444444444444E-5</v>
      </c>
      <c r="S2644" t="s">
        <v>37</v>
      </c>
      <c r="T2644" t="str">
        <f>IF(Tabela1[[#This Row],[STATUS_NEGOCIO]]="Enviar E-mail",1,"")</f>
        <v/>
      </c>
      <c r="U2644" t="str">
        <f>TEXT(Tabela1[[#This Row],[DATA]],"dd/mm/aaaa")</f>
        <v>24/04/2026</v>
      </c>
    </row>
    <row r="2645" spans="1:21" x14ac:dyDescent="0.25">
      <c r="A2645" s="9">
        <v>46136.666956018518</v>
      </c>
      <c r="B2645" t="s">
        <v>19</v>
      </c>
      <c r="C2645" t="s">
        <v>37</v>
      </c>
      <c r="D2645">
        <v>479</v>
      </c>
      <c r="E2645">
        <v>45618003000121</v>
      </c>
      <c r="F2645">
        <v>938</v>
      </c>
      <c r="G2645" s="10">
        <v>177705722553801</v>
      </c>
      <c r="H2645" t="s">
        <v>147</v>
      </c>
      <c r="I2645" t="s">
        <v>52</v>
      </c>
      <c r="J2645" t="s">
        <v>22</v>
      </c>
      <c r="K2645" t="s">
        <v>36</v>
      </c>
      <c r="L2645" t="s">
        <v>36</v>
      </c>
      <c r="M2645" t="s">
        <v>636</v>
      </c>
      <c r="N2645" t="s">
        <v>53</v>
      </c>
      <c r="O2645">
        <v>19</v>
      </c>
      <c r="R2645" s="11">
        <v>0</v>
      </c>
      <c r="S2645" t="s">
        <v>37</v>
      </c>
      <c r="T2645" t="str">
        <f>IF(Tabela1[[#This Row],[STATUS_NEGOCIO]]="Enviar E-mail",1,"")</f>
        <v/>
      </c>
      <c r="U2645" t="str">
        <f>TEXT(Tabela1[[#This Row],[DATA]],"dd/mm/aaaa")</f>
        <v>24/04/2026</v>
      </c>
    </row>
    <row r="2646" spans="1:21" x14ac:dyDescent="0.25">
      <c r="A2646" s="9">
        <v>46136.667222222219</v>
      </c>
      <c r="B2646" t="s">
        <v>19</v>
      </c>
      <c r="C2646" t="s">
        <v>37</v>
      </c>
      <c r="D2646">
        <v>480</v>
      </c>
      <c r="E2646">
        <v>45642764000119</v>
      </c>
      <c r="F2646">
        <v>939</v>
      </c>
      <c r="G2646" s="10">
        <v>177705724853811</v>
      </c>
      <c r="H2646" t="s">
        <v>591</v>
      </c>
      <c r="I2646">
        <v>3003</v>
      </c>
      <c r="J2646" t="s">
        <v>22</v>
      </c>
      <c r="K2646" t="s">
        <v>23</v>
      </c>
      <c r="L2646" t="s">
        <v>31</v>
      </c>
      <c r="M2646" t="s">
        <v>636</v>
      </c>
      <c r="N2646" t="s">
        <v>53</v>
      </c>
      <c r="O2646">
        <v>147</v>
      </c>
      <c r="R2646" s="11">
        <v>8.1018518518518516E-5</v>
      </c>
      <c r="S2646" t="s">
        <v>37</v>
      </c>
      <c r="T2646" t="str">
        <f>IF(Tabela1[[#This Row],[STATUS_NEGOCIO]]="Enviar E-mail",1,"")</f>
        <v/>
      </c>
      <c r="U2646" t="str">
        <f>TEXT(Tabela1[[#This Row],[DATA]],"dd/mm/aaaa")</f>
        <v>24/04/2026</v>
      </c>
    </row>
    <row r="2647" spans="1:21" x14ac:dyDescent="0.25">
      <c r="A2647" s="9">
        <v>46136.667372685188</v>
      </c>
      <c r="B2647" t="s">
        <v>19</v>
      </c>
      <c r="C2647" t="s">
        <v>37</v>
      </c>
      <c r="D2647">
        <v>481</v>
      </c>
      <c r="E2647">
        <v>45654432000154</v>
      </c>
      <c r="F2647">
        <v>940</v>
      </c>
      <c r="G2647" s="10">
        <v>177705726153831</v>
      </c>
      <c r="H2647" t="s">
        <v>592</v>
      </c>
      <c r="I2647">
        <v>3003</v>
      </c>
      <c r="J2647" t="s">
        <v>22</v>
      </c>
      <c r="K2647" t="s">
        <v>23</v>
      </c>
      <c r="L2647" t="s">
        <v>31</v>
      </c>
      <c r="M2647" t="s">
        <v>636</v>
      </c>
      <c r="N2647" t="s">
        <v>53</v>
      </c>
      <c r="O2647">
        <v>128</v>
      </c>
      <c r="R2647" s="11">
        <v>8.1018518518518516E-5</v>
      </c>
      <c r="S2647" t="s">
        <v>37</v>
      </c>
      <c r="T2647" t="str">
        <f>IF(Tabela1[[#This Row],[STATUS_NEGOCIO]]="Enviar E-mail",1,"")</f>
        <v/>
      </c>
      <c r="U2647" t="str">
        <f>TEXT(Tabela1[[#This Row],[DATA]],"dd/mm/aaaa")</f>
        <v>24/04/2026</v>
      </c>
    </row>
    <row r="2648" spans="1:21" x14ac:dyDescent="0.25">
      <c r="A2648" s="9">
        <v>46136.66747685185</v>
      </c>
      <c r="B2648" t="s">
        <v>19</v>
      </c>
      <c r="C2648" t="s">
        <v>37</v>
      </c>
      <c r="D2648">
        <v>482</v>
      </c>
      <c r="E2648">
        <v>46265059000102</v>
      </c>
      <c r="F2648">
        <v>941</v>
      </c>
      <c r="G2648" s="10">
        <v>177705727053851</v>
      </c>
      <c r="H2648" t="s">
        <v>593</v>
      </c>
      <c r="I2648" t="s">
        <v>52</v>
      </c>
      <c r="J2648" t="s">
        <v>22</v>
      </c>
      <c r="K2648" t="s">
        <v>36</v>
      </c>
      <c r="L2648" t="s">
        <v>36</v>
      </c>
      <c r="M2648" t="s">
        <v>636</v>
      </c>
      <c r="N2648" t="s">
        <v>53</v>
      </c>
      <c r="O2648">
        <v>1</v>
      </c>
      <c r="R2648" s="11">
        <v>0</v>
      </c>
      <c r="S2648" t="s">
        <v>37</v>
      </c>
      <c r="T2648" t="str">
        <f>IF(Tabela1[[#This Row],[STATUS_NEGOCIO]]="Enviar E-mail",1,"")</f>
        <v/>
      </c>
      <c r="U2648" t="str">
        <f>TEXT(Tabela1[[#This Row],[DATA]],"dd/mm/aaaa")</f>
        <v>24/04/2026</v>
      </c>
    </row>
    <row r="2649" spans="1:21" x14ac:dyDescent="0.25">
      <c r="A2649" s="9">
        <v>46136.667488425926</v>
      </c>
      <c r="B2649" t="s">
        <v>19</v>
      </c>
      <c r="C2649" t="s">
        <v>37</v>
      </c>
      <c r="D2649">
        <v>483</v>
      </c>
      <c r="E2649">
        <v>46660690000106</v>
      </c>
      <c r="F2649">
        <v>942</v>
      </c>
      <c r="G2649" s="10">
        <v>177705727153861</v>
      </c>
      <c r="H2649" t="s">
        <v>594</v>
      </c>
      <c r="I2649">
        <v>3003</v>
      </c>
      <c r="J2649" t="s">
        <v>22</v>
      </c>
      <c r="K2649" t="s">
        <v>23</v>
      </c>
      <c r="L2649" t="s">
        <v>31</v>
      </c>
      <c r="M2649" t="s">
        <v>636</v>
      </c>
      <c r="N2649" t="s">
        <v>53</v>
      </c>
      <c r="O2649">
        <v>128</v>
      </c>
      <c r="R2649" s="11">
        <v>8.1018518518518516E-5</v>
      </c>
      <c r="S2649" t="s">
        <v>37</v>
      </c>
      <c r="T2649" t="str">
        <f>IF(Tabela1[[#This Row],[STATUS_NEGOCIO]]="Enviar E-mail",1,"")</f>
        <v/>
      </c>
      <c r="U2649" t="str">
        <f>TEXT(Tabela1[[#This Row],[DATA]],"dd/mm/aaaa")</f>
        <v>24/04/2026</v>
      </c>
    </row>
    <row r="2650" spans="1:21" x14ac:dyDescent="0.25">
      <c r="A2650" s="9">
        <v>46136.667523148149</v>
      </c>
      <c r="B2650" t="s">
        <v>19</v>
      </c>
      <c r="C2650" t="s">
        <v>20</v>
      </c>
      <c r="D2650">
        <v>484</v>
      </c>
      <c r="E2650">
        <v>46884983000177</v>
      </c>
      <c r="F2650">
        <v>943</v>
      </c>
      <c r="G2650" s="10">
        <v>177705727453871</v>
      </c>
      <c r="H2650" t="s">
        <v>595</v>
      </c>
      <c r="I2650">
        <v>3003</v>
      </c>
      <c r="J2650" t="s">
        <v>22</v>
      </c>
      <c r="K2650" t="s">
        <v>23</v>
      </c>
      <c r="L2650" t="s">
        <v>40</v>
      </c>
      <c r="M2650" t="s">
        <v>636</v>
      </c>
      <c r="N2650" t="s">
        <v>32</v>
      </c>
      <c r="O2650">
        <v>16</v>
      </c>
      <c r="R2650" s="11">
        <v>1.9328703703703704E-3</v>
      </c>
      <c r="S2650" s="11">
        <v>1.8749999999999999E-3</v>
      </c>
      <c r="T2650">
        <f>IF(Tabela1[[#This Row],[STATUS_NEGOCIO]]="Enviar E-mail",1,"")</f>
        <v>1</v>
      </c>
      <c r="U2650" t="str">
        <f>TEXT(Tabela1[[#This Row],[DATA]],"dd/mm/aaaa")</f>
        <v>24/04/2026</v>
      </c>
    </row>
    <row r="2651" spans="1:21" x14ac:dyDescent="0.25">
      <c r="A2651" s="9">
        <v>46136.667650462965</v>
      </c>
      <c r="B2651" t="s">
        <v>19</v>
      </c>
      <c r="C2651" t="s">
        <v>37</v>
      </c>
      <c r="D2651">
        <v>485</v>
      </c>
      <c r="E2651">
        <v>46905043000117</v>
      </c>
      <c r="F2651">
        <v>944</v>
      </c>
      <c r="G2651" s="10">
        <v>177705728553951</v>
      </c>
      <c r="H2651" t="s">
        <v>596</v>
      </c>
      <c r="I2651" t="s">
        <v>52</v>
      </c>
      <c r="J2651" t="s">
        <v>22</v>
      </c>
      <c r="K2651" t="s">
        <v>36</v>
      </c>
      <c r="L2651" t="s">
        <v>36</v>
      </c>
      <c r="M2651" t="s">
        <v>636</v>
      </c>
      <c r="N2651" t="s">
        <v>53</v>
      </c>
      <c r="O2651">
        <v>19</v>
      </c>
      <c r="R2651" s="11">
        <v>0</v>
      </c>
      <c r="S2651" t="s">
        <v>37</v>
      </c>
      <c r="T2651" t="str">
        <f>IF(Tabela1[[#This Row],[STATUS_NEGOCIO]]="Enviar E-mail",1,"")</f>
        <v/>
      </c>
      <c r="U2651" t="str">
        <f>TEXT(Tabela1[[#This Row],[DATA]],"dd/mm/aaaa")</f>
        <v>24/04/2026</v>
      </c>
    </row>
    <row r="2652" spans="1:21" x14ac:dyDescent="0.25">
      <c r="A2652" s="9">
        <v>46136.668206018519</v>
      </c>
      <c r="B2652" t="s">
        <v>19</v>
      </c>
      <c r="C2652" t="s">
        <v>37</v>
      </c>
      <c r="D2652">
        <v>486</v>
      </c>
      <c r="E2652">
        <v>47197932000130</v>
      </c>
      <c r="F2652">
        <v>945</v>
      </c>
      <c r="G2652" s="10">
        <v>177705733353981</v>
      </c>
      <c r="H2652" t="s">
        <v>427</v>
      </c>
      <c r="I2652">
        <v>3003</v>
      </c>
      <c r="J2652" t="s">
        <v>22</v>
      </c>
      <c r="K2652" t="s">
        <v>23</v>
      </c>
      <c r="L2652" t="s">
        <v>31</v>
      </c>
      <c r="M2652" t="s">
        <v>636</v>
      </c>
      <c r="N2652" t="s">
        <v>53</v>
      </c>
      <c r="O2652">
        <v>128</v>
      </c>
      <c r="R2652" s="11">
        <v>8.1018518518518516E-5</v>
      </c>
      <c r="S2652" t="s">
        <v>37</v>
      </c>
      <c r="T2652" t="str">
        <f>IF(Tabela1[[#This Row],[STATUS_NEGOCIO]]="Enviar E-mail",1,"")</f>
        <v/>
      </c>
      <c r="U2652" t="str">
        <f>TEXT(Tabela1[[#This Row],[DATA]],"dd/mm/aaaa")</f>
        <v>24/04/2026</v>
      </c>
    </row>
    <row r="2653" spans="1:21" x14ac:dyDescent="0.25">
      <c r="A2653" s="9">
        <v>46136.668356481481</v>
      </c>
      <c r="B2653" t="s">
        <v>19</v>
      </c>
      <c r="C2653" t="s">
        <v>37</v>
      </c>
      <c r="D2653">
        <v>487</v>
      </c>
      <c r="E2653">
        <v>48145681000102</v>
      </c>
      <c r="F2653">
        <v>946</v>
      </c>
      <c r="G2653" s="10">
        <v>177705734654001</v>
      </c>
      <c r="H2653" t="s">
        <v>597</v>
      </c>
      <c r="I2653" t="s">
        <v>52</v>
      </c>
      <c r="J2653" t="s">
        <v>22</v>
      </c>
      <c r="K2653" t="s">
        <v>36</v>
      </c>
      <c r="L2653" t="s">
        <v>36</v>
      </c>
      <c r="M2653" t="s">
        <v>636</v>
      </c>
      <c r="N2653" t="s">
        <v>53</v>
      </c>
      <c r="O2653">
        <v>34</v>
      </c>
      <c r="R2653" s="11">
        <v>0</v>
      </c>
      <c r="S2653" t="s">
        <v>37</v>
      </c>
      <c r="T2653" t="str">
        <f>IF(Tabela1[[#This Row],[STATUS_NEGOCIO]]="Enviar E-mail",1,"")</f>
        <v/>
      </c>
      <c r="U2653" t="str">
        <f>TEXT(Tabela1[[#This Row],[DATA]],"dd/mm/aaaa")</f>
        <v>24/04/2026</v>
      </c>
    </row>
    <row r="2654" spans="1:21" x14ac:dyDescent="0.25">
      <c r="A2654" s="9">
        <v>46136.668449074074</v>
      </c>
      <c r="B2654" t="s">
        <v>19</v>
      </c>
      <c r="C2654" t="s">
        <v>37</v>
      </c>
      <c r="D2654">
        <v>488</v>
      </c>
      <c r="E2654">
        <v>48319171000104</v>
      </c>
      <c r="F2654">
        <v>947</v>
      </c>
      <c r="G2654" s="10">
        <v>177705735454011</v>
      </c>
      <c r="H2654" t="s">
        <v>598</v>
      </c>
      <c r="I2654">
        <v>3003</v>
      </c>
      <c r="J2654" t="s">
        <v>22</v>
      </c>
      <c r="K2654" t="s">
        <v>23</v>
      </c>
      <c r="L2654" t="s">
        <v>31</v>
      </c>
      <c r="M2654" t="s">
        <v>636</v>
      </c>
      <c r="N2654" t="s">
        <v>53</v>
      </c>
      <c r="O2654">
        <v>128</v>
      </c>
      <c r="R2654" s="11">
        <v>8.1018518518518516E-5</v>
      </c>
      <c r="S2654" t="s">
        <v>37</v>
      </c>
      <c r="T2654" t="str">
        <f>IF(Tabela1[[#This Row],[STATUS_NEGOCIO]]="Enviar E-mail",1,"")</f>
        <v/>
      </c>
      <c r="U2654" t="str">
        <f>TEXT(Tabela1[[#This Row],[DATA]],"dd/mm/aaaa")</f>
        <v>24/04/2026</v>
      </c>
    </row>
    <row r="2655" spans="1:21" x14ac:dyDescent="0.25">
      <c r="A2655" s="9">
        <v>46136.668611111112</v>
      </c>
      <c r="B2655" t="s">
        <v>19</v>
      </c>
      <c r="C2655" t="s">
        <v>37</v>
      </c>
      <c r="D2655">
        <v>489</v>
      </c>
      <c r="E2655">
        <v>48361628000149</v>
      </c>
      <c r="F2655">
        <v>948</v>
      </c>
      <c r="G2655" s="10">
        <v>177705736854031</v>
      </c>
      <c r="H2655" t="s">
        <v>599</v>
      </c>
      <c r="I2655">
        <v>3003</v>
      </c>
      <c r="J2655" t="s">
        <v>22</v>
      </c>
      <c r="K2655" t="s">
        <v>23</v>
      </c>
      <c r="L2655" t="s">
        <v>31</v>
      </c>
      <c r="M2655" t="s">
        <v>636</v>
      </c>
      <c r="N2655" t="s">
        <v>53</v>
      </c>
      <c r="O2655">
        <v>128</v>
      </c>
      <c r="R2655" s="11">
        <v>8.1018518518518516E-5</v>
      </c>
      <c r="S2655" t="s">
        <v>37</v>
      </c>
      <c r="T2655" t="str">
        <f>IF(Tabela1[[#This Row],[STATUS_NEGOCIO]]="Enviar E-mail",1,"")</f>
        <v/>
      </c>
      <c r="U2655" t="str">
        <f>TEXT(Tabela1[[#This Row],[DATA]],"dd/mm/aaaa")</f>
        <v>24/04/2026</v>
      </c>
    </row>
    <row r="2656" spans="1:21" x14ac:dyDescent="0.25">
      <c r="A2656" s="9">
        <v>46136.66883101852</v>
      </c>
      <c r="B2656" t="s">
        <v>19</v>
      </c>
      <c r="C2656" t="s">
        <v>37</v>
      </c>
      <c r="D2656">
        <v>490</v>
      </c>
      <c r="E2656">
        <v>48762740000191</v>
      </c>
      <c r="F2656">
        <v>949</v>
      </c>
      <c r="G2656" s="10">
        <v>177705738754051</v>
      </c>
      <c r="H2656" t="s">
        <v>217</v>
      </c>
      <c r="I2656">
        <v>3003</v>
      </c>
      <c r="J2656" t="s">
        <v>22</v>
      </c>
      <c r="K2656" t="s">
        <v>23</v>
      </c>
      <c r="L2656" t="s">
        <v>31</v>
      </c>
      <c r="M2656" t="s">
        <v>636</v>
      </c>
      <c r="N2656" t="s">
        <v>53</v>
      </c>
      <c r="O2656">
        <v>128</v>
      </c>
      <c r="R2656" s="11">
        <v>8.1018518518518516E-5</v>
      </c>
      <c r="S2656" t="s">
        <v>37</v>
      </c>
      <c r="T2656" t="str">
        <f>IF(Tabela1[[#This Row],[STATUS_NEGOCIO]]="Enviar E-mail",1,"")</f>
        <v/>
      </c>
      <c r="U2656" t="str">
        <f>TEXT(Tabela1[[#This Row],[DATA]],"dd/mm/aaaa")</f>
        <v>24/04/2026</v>
      </c>
    </row>
    <row r="2657" spans="1:21" x14ac:dyDescent="0.25">
      <c r="A2657" s="9">
        <v>46136.669247685182</v>
      </c>
      <c r="B2657" t="s">
        <v>19</v>
      </c>
      <c r="C2657" t="s">
        <v>37</v>
      </c>
      <c r="D2657">
        <v>491</v>
      </c>
      <c r="E2657">
        <v>48793273000167</v>
      </c>
      <c r="F2657">
        <v>950</v>
      </c>
      <c r="G2657" s="10">
        <v>177705742354071</v>
      </c>
      <c r="H2657" t="s">
        <v>600</v>
      </c>
      <c r="I2657">
        <v>3003</v>
      </c>
      <c r="J2657" t="s">
        <v>22</v>
      </c>
      <c r="K2657" t="s">
        <v>23</v>
      </c>
      <c r="L2657" t="s">
        <v>31</v>
      </c>
      <c r="M2657" t="s">
        <v>636</v>
      </c>
      <c r="N2657" t="s">
        <v>26</v>
      </c>
      <c r="O2657">
        <v>131</v>
      </c>
      <c r="R2657" s="11">
        <v>5.7870370370370373E-5</v>
      </c>
      <c r="S2657" t="s">
        <v>37</v>
      </c>
      <c r="T2657" t="str">
        <f>IF(Tabela1[[#This Row],[STATUS_NEGOCIO]]="Enviar E-mail",1,"")</f>
        <v/>
      </c>
      <c r="U2657" t="str">
        <f>TEXT(Tabela1[[#This Row],[DATA]],"dd/mm/aaaa")</f>
        <v>24/04/2026</v>
      </c>
    </row>
    <row r="2658" spans="1:21" x14ac:dyDescent="0.25">
      <c r="A2658" s="9">
        <v>46136.669456018521</v>
      </c>
      <c r="B2658" t="s">
        <v>19</v>
      </c>
      <c r="C2658" t="s">
        <v>37</v>
      </c>
      <c r="D2658">
        <v>492</v>
      </c>
      <c r="E2658">
        <v>48968786000161</v>
      </c>
      <c r="F2658">
        <v>951</v>
      </c>
      <c r="G2658" s="10">
        <v>177705744154091</v>
      </c>
      <c r="H2658" t="s">
        <v>601</v>
      </c>
      <c r="I2658">
        <v>3003</v>
      </c>
      <c r="J2658" t="s">
        <v>22</v>
      </c>
      <c r="K2658" t="s">
        <v>23</v>
      </c>
      <c r="L2658" t="s">
        <v>31</v>
      </c>
      <c r="M2658" t="s">
        <v>636</v>
      </c>
      <c r="N2658" t="s">
        <v>53</v>
      </c>
      <c r="O2658">
        <v>128</v>
      </c>
      <c r="R2658" s="11">
        <v>8.1018518518518516E-5</v>
      </c>
      <c r="S2658" t="s">
        <v>37</v>
      </c>
      <c r="T2658" t="str">
        <f>IF(Tabela1[[#This Row],[STATUS_NEGOCIO]]="Enviar E-mail",1,"")</f>
        <v/>
      </c>
      <c r="U2658" t="str">
        <f>TEXT(Tabela1[[#This Row],[DATA]],"dd/mm/aaaa")</f>
        <v>24/04/2026</v>
      </c>
    </row>
    <row r="2659" spans="1:21" x14ac:dyDescent="0.25">
      <c r="A2659" s="9">
        <v>46136.669571759259</v>
      </c>
      <c r="B2659" t="s">
        <v>19</v>
      </c>
      <c r="C2659" t="s">
        <v>37</v>
      </c>
      <c r="D2659">
        <v>493</v>
      </c>
      <c r="E2659">
        <v>49039587000131</v>
      </c>
      <c r="F2659">
        <v>952</v>
      </c>
      <c r="G2659" s="10">
        <v>177705745154111</v>
      </c>
      <c r="H2659" t="s">
        <v>602</v>
      </c>
      <c r="I2659">
        <v>3003</v>
      </c>
      <c r="J2659" t="s">
        <v>22</v>
      </c>
      <c r="K2659" t="s">
        <v>23</v>
      </c>
      <c r="L2659" t="s">
        <v>31</v>
      </c>
      <c r="M2659" t="s">
        <v>636</v>
      </c>
      <c r="N2659" t="s">
        <v>53</v>
      </c>
      <c r="O2659">
        <v>131</v>
      </c>
      <c r="R2659" s="11">
        <v>1.1574074074074073E-5</v>
      </c>
      <c r="S2659" t="s">
        <v>37</v>
      </c>
      <c r="T2659" t="str">
        <f>IF(Tabela1[[#This Row],[STATUS_NEGOCIO]]="Enviar E-mail",1,"")</f>
        <v/>
      </c>
      <c r="U2659" t="str">
        <f>TEXT(Tabela1[[#This Row],[DATA]],"dd/mm/aaaa")</f>
        <v>24/04/2026</v>
      </c>
    </row>
    <row r="2660" spans="1:21" x14ac:dyDescent="0.25">
      <c r="A2660" s="9">
        <v>46136.669606481482</v>
      </c>
      <c r="B2660" t="s">
        <v>19</v>
      </c>
      <c r="C2660" t="s">
        <v>37</v>
      </c>
      <c r="D2660">
        <v>494</v>
      </c>
      <c r="E2660">
        <v>49310128000140</v>
      </c>
      <c r="F2660">
        <v>953</v>
      </c>
      <c r="G2660" s="10">
        <v>177705745454131</v>
      </c>
      <c r="H2660" t="s">
        <v>269</v>
      </c>
      <c r="I2660">
        <v>3003</v>
      </c>
      <c r="J2660" t="s">
        <v>22</v>
      </c>
      <c r="K2660" t="s">
        <v>23</v>
      </c>
      <c r="L2660" t="s">
        <v>31</v>
      </c>
      <c r="M2660" t="s">
        <v>636</v>
      </c>
      <c r="N2660" t="s">
        <v>53</v>
      </c>
      <c r="O2660">
        <v>128</v>
      </c>
      <c r="R2660" s="11">
        <v>8.1018518518518516E-5</v>
      </c>
      <c r="S2660" t="s">
        <v>37</v>
      </c>
      <c r="T2660" t="str">
        <f>IF(Tabela1[[#This Row],[STATUS_NEGOCIO]]="Enviar E-mail",1,"")</f>
        <v/>
      </c>
      <c r="U2660" t="str">
        <f>TEXT(Tabela1[[#This Row],[DATA]],"dd/mm/aaaa")</f>
        <v>24/04/2026</v>
      </c>
    </row>
    <row r="2661" spans="1:21" x14ac:dyDescent="0.25">
      <c r="A2661" s="9">
        <v>46136.669733796298</v>
      </c>
      <c r="B2661" t="s">
        <v>19</v>
      </c>
      <c r="C2661" t="s">
        <v>37</v>
      </c>
      <c r="D2661">
        <v>495</v>
      </c>
      <c r="E2661">
        <v>49419902000156</v>
      </c>
      <c r="F2661">
        <v>954</v>
      </c>
      <c r="G2661" s="10">
        <v>177705746554211</v>
      </c>
      <c r="H2661" t="s">
        <v>603</v>
      </c>
      <c r="I2661">
        <v>3003</v>
      </c>
      <c r="J2661" t="s">
        <v>22</v>
      </c>
      <c r="K2661" t="s">
        <v>23</v>
      </c>
      <c r="L2661" t="s">
        <v>31</v>
      </c>
      <c r="M2661" t="s">
        <v>636</v>
      </c>
      <c r="N2661" t="s">
        <v>53</v>
      </c>
      <c r="O2661">
        <v>147</v>
      </c>
      <c r="R2661" s="11">
        <v>8.1018518518518516E-5</v>
      </c>
      <c r="S2661" t="s">
        <v>37</v>
      </c>
      <c r="T2661" t="str">
        <f>IF(Tabela1[[#This Row],[STATUS_NEGOCIO]]="Enviar E-mail",1,"")</f>
        <v/>
      </c>
      <c r="U2661" t="str">
        <f>TEXT(Tabela1[[#This Row],[DATA]],"dd/mm/aaaa")</f>
        <v>24/04/2026</v>
      </c>
    </row>
    <row r="2662" spans="1:21" x14ac:dyDescent="0.25">
      <c r="A2662" s="9">
        <v>46136.669861111113</v>
      </c>
      <c r="B2662" t="s">
        <v>19</v>
      </c>
      <c r="C2662" t="s">
        <v>37</v>
      </c>
      <c r="D2662">
        <v>497</v>
      </c>
      <c r="E2662">
        <v>49606616000108</v>
      </c>
      <c r="F2662">
        <v>955</v>
      </c>
      <c r="G2662" s="10">
        <v>177705747654231</v>
      </c>
      <c r="H2662" t="s">
        <v>604</v>
      </c>
      <c r="I2662">
        <v>3003</v>
      </c>
      <c r="J2662" t="s">
        <v>22</v>
      </c>
      <c r="K2662" t="s">
        <v>23</v>
      </c>
      <c r="L2662" t="s">
        <v>31</v>
      </c>
      <c r="M2662" t="s">
        <v>636</v>
      </c>
      <c r="N2662" t="s">
        <v>53</v>
      </c>
      <c r="O2662">
        <v>128</v>
      </c>
      <c r="R2662" s="11">
        <v>8.1018518518518516E-5</v>
      </c>
      <c r="S2662" t="s">
        <v>37</v>
      </c>
      <c r="T2662" t="str">
        <f>IF(Tabela1[[#This Row],[STATUS_NEGOCIO]]="Enviar E-mail",1,"")</f>
        <v/>
      </c>
      <c r="U2662" t="str">
        <f>TEXT(Tabela1[[#This Row],[DATA]],"dd/mm/aaaa")</f>
        <v>24/04/2026</v>
      </c>
    </row>
    <row r="2663" spans="1:21" x14ac:dyDescent="0.25">
      <c r="A2663" s="9">
        <v>46136.66988425926</v>
      </c>
      <c r="B2663" t="s">
        <v>19</v>
      </c>
      <c r="C2663" t="s">
        <v>37</v>
      </c>
      <c r="D2663">
        <v>498</v>
      </c>
      <c r="E2663">
        <v>49876067000183</v>
      </c>
      <c r="F2663">
        <v>956</v>
      </c>
      <c r="G2663" s="10">
        <v>177705747854251</v>
      </c>
      <c r="H2663" t="s">
        <v>185</v>
      </c>
      <c r="I2663">
        <v>3003</v>
      </c>
      <c r="J2663" t="s">
        <v>22</v>
      </c>
      <c r="K2663" t="s">
        <v>23</v>
      </c>
      <c r="L2663" t="s">
        <v>31</v>
      </c>
      <c r="M2663" t="s">
        <v>636</v>
      </c>
      <c r="N2663" t="s">
        <v>53</v>
      </c>
      <c r="O2663">
        <v>128</v>
      </c>
      <c r="R2663" s="11">
        <v>6.9444444444444444E-5</v>
      </c>
      <c r="S2663" t="s">
        <v>37</v>
      </c>
      <c r="T2663" t="str">
        <f>IF(Tabela1[[#This Row],[STATUS_NEGOCIO]]="Enviar E-mail",1,"")</f>
        <v/>
      </c>
      <c r="U2663" t="str">
        <f>TEXT(Tabela1[[#This Row],[DATA]],"dd/mm/aaaa")</f>
        <v>24/04/2026</v>
      </c>
    </row>
    <row r="2664" spans="1:21" x14ac:dyDescent="0.25">
      <c r="A2664" s="9">
        <v>46136.670219907406</v>
      </c>
      <c r="B2664" t="s">
        <v>19</v>
      </c>
      <c r="C2664" t="s">
        <v>37</v>
      </c>
      <c r="D2664">
        <v>499</v>
      </c>
      <c r="E2664">
        <v>49895195000174</v>
      </c>
      <c r="F2664">
        <v>957</v>
      </c>
      <c r="G2664" s="10">
        <v>177705750754341</v>
      </c>
      <c r="H2664" t="s">
        <v>74</v>
      </c>
      <c r="I2664" t="s">
        <v>52</v>
      </c>
      <c r="J2664" t="s">
        <v>22</v>
      </c>
      <c r="K2664" t="s">
        <v>36</v>
      </c>
      <c r="L2664" t="s">
        <v>36</v>
      </c>
      <c r="M2664" t="s">
        <v>636</v>
      </c>
      <c r="N2664" t="s">
        <v>53</v>
      </c>
      <c r="O2664">
        <v>19</v>
      </c>
      <c r="R2664" s="11">
        <v>0</v>
      </c>
      <c r="S2664" t="s">
        <v>37</v>
      </c>
      <c r="T2664" t="str">
        <f>IF(Tabela1[[#This Row],[STATUS_NEGOCIO]]="Enviar E-mail",1,"")</f>
        <v/>
      </c>
      <c r="U2664" t="str">
        <f>TEXT(Tabela1[[#This Row],[DATA]],"dd/mm/aaaa")</f>
        <v>24/04/2026</v>
      </c>
    </row>
    <row r="2665" spans="1:21" x14ac:dyDescent="0.25">
      <c r="A2665" s="9">
        <v>46136.670370370368</v>
      </c>
      <c r="B2665" t="s">
        <v>19</v>
      </c>
      <c r="C2665" t="s">
        <v>37</v>
      </c>
      <c r="D2665">
        <v>500</v>
      </c>
      <c r="E2665">
        <v>50253555000113</v>
      </c>
      <c r="F2665">
        <v>958</v>
      </c>
      <c r="G2665" s="10">
        <v>177705752054361</v>
      </c>
      <c r="H2665" t="s">
        <v>605</v>
      </c>
      <c r="I2665">
        <v>3003</v>
      </c>
      <c r="J2665" t="s">
        <v>22</v>
      </c>
      <c r="K2665" t="s">
        <v>23</v>
      </c>
      <c r="L2665" t="s">
        <v>31</v>
      </c>
      <c r="M2665" t="s">
        <v>636</v>
      </c>
      <c r="N2665" t="s">
        <v>53</v>
      </c>
      <c r="O2665">
        <v>147</v>
      </c>
      <c r="R2665" s="11">
        <v>8.1018518518518516E-5</v>
      </c>
      <c r="S2665" t="s">
        <v>37</v>
      </c>
      <c r="T2665" t="str">
        <f>IF(Tabela1[[#This Row],[STATUS_NEGOCIO]]="Enviar E-mail",1,"")</f>
        <v/>
      </c>
      <c r="U2665" t="str">
        <f>TEXT(Tabela1[[#This Row],[DATA]],"dd/mm/aaaa")</f>
        <v>24/04/2026</v>
      </c>
    </row>
    <row r="2666" spans="1:21" x14ac:dyDescent="0.25">
      <c r="A2666" s="9">
        <v>46136.670532407406</v>
      </c>
      <c r="B2666" t="s">
        <v>19</v>
      </c>
      <c r="C2666" t="s">
        <v>37</v>
      </c>
      <c r="D2666">
        <v>501</v>
      </c>
      <c r="E2666">
        <v>50300325000168</v>
      </c>
      <c r="F2666">
        <v>959</v>
      </c>
      <c r="G2666" s="10">
        <v>177705753454381</v>
      </c>
      <c r="H2666" t="s">
        <v>606</v>
      </c>
      <c r="I2666">
        <v>3003</v>
      </c>
      <c r="J2666" t="s">
        <v>22</v>
      </c>
      <c r="K2666" t="s">
        <v>23</v>
      </c>
      <c r="L2666" t="s">
        <v>31</v>
      </c>
      <c r="M2666" t="s">
        <v>636</v>
      </c>
      <c r="N2666" t="s">
        <v>53</v>
      </c>
      <c r="O2666">
        <v>128</v>
      </c>
      <c r="R2666" s="11">
        <v>8.1018518518518516E-5</v>
      </c>
      <c r="S2666" t="s">
        <v>37</v>
      </c>
      <c r="T2666" t="str">
        <f>IF(Tabela1[[#This Row],[STATUS_NEGOCIO]]="Enviar E-mail",1,"")</f>
        <v/>
      </c>
      <c r="U2666" t="str">
        <f>TEXT(Tabela1[[#This Row],[DATA]],"dd/mm/aaaa")</f>
        <v>24/04/2026</v>
      </c>
    </row>
    <row r="2667" spans="1:21" x14ac:dyDescent="0.25">
      <c r="A2667" s="9">
        <v>46136.670659722222</v>
      </c>
      <c r="B2667" t="s">
        <v>19</v>
      </c>
      <c r="C2667" t="s">
        <v>37</v>
      </c>
      <c r="D2667">
        <v>502</v>
      </c>
      <c r="E2667">
        <v>50884703000106</v>
      </c>
      <c r="F2667">
        <v>960</v>
      </c>
      <c r="G2667" s="10">
        <v>177705754554401</v>
      </c>
      <c r="H2667" t="s">
        <v>607</v>
      </c>
      <c r="I2667">
        <v>3003</v>
      </c>
      <c r="J2667" t="s">
        <v>22</v>
      </c>
      <c r="K2667" t="s">
        <v>23</v>
      </c>
      <c r="L2667" t="s">
        <v>31</v>
      </c>
      <c r="M2667" t="s">
        <v>636</v>
      </c>
      <c r="N2667" t="s">
        <v>53</v>
      </c>
      <c r="O2667">
        <v>128</v>
      </c>
      <c r="R2667" s="11">
        <v>6.9444444444444444E-5</v>
      </c>
      <c r="S2667" t="s">
        <v>37</v>
      </c>
      <c r="T2667" t="str">
        <f>IF(Tabela1[[#This Row],[STATUS_NEGOCIO]]="Enviar E-mail",1,"")</f>
        <v/>
      </c>
      <c r="U2667" t="str">
        <f>TEXT(Tabela1[[#This Row],[DATA]],"dd/mm/aaaa")</f>
        <v>24/04/2026</v>
      </c>
    </row>
    <row r="2668" spans="1:21" x14ac:dyDescent="0.25">
      <c r="A2668" s="9">
        <v>46136.670902777776</v>
      </c>
      <c r="B2668" t="s">
        <v>19</v>
      </c>
      <c r="C2668" t="s">
        <v>37</v>
      </c>
      <c r="D2668">
        <v>503</v>
      </c>
      <c r="E2668">
        <v>51081827000108</v>
      </c>
      <c r="F2668">
        <v>961</v>
      </c>
      <c r="G2668" s="10">
        <v>177705756654411</v>
      </c>
      <c r="H2668" t="s">
        <v>279</v>
      </c>
      <c r="I2668">
        <v>3003</v>
      </c>
      <c r="J2668" t="s">
        <v>22</v>
      </c>
      <c r="K2668" t="s">
        <v>23</v>
      </c>
      <c r="L2668" t="s">
        <v>31</v>
      </c>
      <c r="M2668" t="s">
        <v>636</v>
      </c>
      <c r="N2668" t="s">
        <v>53</v>
      </c>
      <c r="O2668">
        <v>128</v>
      </c>
      <c r="R2668" s="11">
        <v>8.1018518518518516E-5</v>
      </c>
      <c r="S2668" t="s">
        <v>37</v>
      </c>
      <c r="T2668" t="str">
        <f>IF(Tabela1[[#This Row],[STATUS_NEGOCIO]]="Enviar E-mail",1,"")</f>
        <v/>
      </c>
      <c r="U2668" t="str">
        <f>TEXT(Tabela1[[#This Row],[DATA]],"dd/mm/aaaa")</f>
        <v>24/04/2026</v>
      </c>
    </row>
    <row r="2669" spans="1:21" x14ac:dyDescent="0.25">
      <c r="A2669" s="9">
        <v>46136.671157407407</v>
      </c>
      <c r="B2669" t="s">
        <v>19</v>
      </c>
      <c r="C2669" t="s">
        <v>37</v>
      </c>
      <c r="D2669">
        <v>504</v>
      </c>
      <c r="E2669">
        <v>51318932000118</v>
      </c>
      <c r="F2669">
        <v>962</v>
      </c>
      <c r="G2669" s="10">
        <v>177705758854441</v>
      </c>
      <c r="H2669" t="s">
        <v>72</v>
      </c>
      <c r="I2669" t="s">
        <v>52</v>
      </c>
      <c r="J2669" t="s">
        <v>22</v>
      </c>
      <c r="K2669" t="s">
        <v>62</v>
      </c>
      <c r="L2669" t="s">
        <v>31</v>
      </c>
      <c r="M2669" t="s">
        <v>636</v>
      </c>
      <c r="N2669" t="s">
        <v>53</v>
      </c>
      <c r="O2669">
        <v>17</v>
      </c>
      <c r="R2669" s="11">
        <v>0</v>
      </c>
      <c r="S2669" t="s">
        <v>37</v>
      </c>
      <c r="T2669" t="str">
        <f>IF(Tabela1[[#This Row],[STATUS_NEGOCIO]]="Enviar E-mail",1,"")</f>
        <v/>
      </c>
      <c r="U2669" t="str">
        <f>TEXT(Tabela1[[#This Row],[DATA]],"dd/mm/aaaa")</f>
        <v>24/04/2026</v>
      </c>
    </row>
    <row r="2670" spans="1:21" x14ac:dyDescent="0.25">
      <c r="A2670" s="9">
        <v>46136.671226851853</v>
      </c>
      <c r="B2670" t="s">
        <v>19</v>
      </c>
      <c r="C2670" t="s">
        <v>37</v>
      </c>
      <c r="D2670">
        <v>505</v>
      </c>
      <c r="E2670">
        <v>51780829000195</v>
      </c>
      <c r="F2670">
        <v>963</v>
      </c>
      <c r="G2670" s="10">
        <v>177705759454461</v>
      </c>
      <c r="H2670" t="s">
        <v>132</v>
      </c>
      <c r="I2670">
        <v>3003</v>
      </c>
      <c r="J2670" t="s">
        <v>22</v>
      </c>
      <c r="K2670" t="s">
        <v>23</v>
      </c>
      <c r="L2670" t="s">
        <v>31</v>
      </c>
      <c r="M2670" t="s">
        <v>636</v>
      </c>
      <c r="N2670" t="s">
        <v>53</v>
      </c>
      <c r="O2670">
        <v>128</v>
      </c>
      <c r="R2670" s="11">
        <v>8.1018518518518516E-5</v>
      </c>
      <c r="S2670" t="s">
        <v>37</v>
      </c>
      <c r="T2670" t="str">
        <f>IF(Tabela1[[#This Row],[STATUS_NEGOCIO]]="Enviar E-mail",1,"")</f>
        <v/>
      </c>
      <c r="U2670" t="str">
        <f>TEXT(Tabela1[[#This Row],[DATA]],"dd/mm/aaaa")</f>
        <v>24/04/2026</v>
      </c>
    </row>
    <row r="2671" spans="1:21" x14ac:dyDescent="0.25">
      <c r="A2671" s="9">
        <v>46136.671412037038</v>
      </c>
      <c r="B2671" t="s">
        <v>19</v>
      </c>
      <c r="C2671" t="s">
        <v>37</v>
      </c>
      <c r="D2671">
        <v>506</v>
      </c>
      <c r="E2671">
        <v>52007964000165</v>
      </c>
      <c r="F2671">
        <v>964</v>
      </c>
      <c r="G2671" s="10">
        <v>177705761054481</v>
      </c>
      <c r="H2671" t="s">
        <v>187</v>
      </c>
      <c r="I2671">
        <v>3003</v>
      </c>
      <c r="J2671" t="s">
        <v>22</v>
      </c>
      <c r="K2671" t="s">
        <v>23</v>
      </c>
      <c r="L2671" t="s">
        <v>31</v>
      </c>
      <c r="M2671" t="s">
        <v>636</v>
      </c>
      <c r="N2671" t="s">
        <v>26</v>
      </c>
      <c r="O2671">
        <v>131</v>
      </c>
      <c r="R2671" s="11">
        <v>2.3148148148148147E-5</v>
      </c>
      <c r="S2671" t="s">
        <v>37</v>
      </c>
      <c r="T2671" t="str">
        <f>IF(Tabela1[[#This Row],[STATUS_NEGOCIO]]="Enviar E-mail",1,"")</f>
        <v/>
      </c>
      <c r="U2671" t="str">
        <f>TEXT(Tabela1[[#This Row],[DATA]],"dd/mm/aaaa")</f>
        <v>24/04/2026</v>
      </c>
    </row>
    <row r="2672" spans="1:21" x14ac:dyDescent="0.25">
      <c r="A2672" s="9">
        <v>46136.671550925923</v>
      </c>
      <c r="B2672" t="s">
        <v>19</v>
      </c>
      <c r="C2672" t="s">
        <v>37</v>
      </c>
      <c r="D2672">
        <v>507</v>
      </c>
      <c r="E2672">
        <v>53060069000177</v>
      </c>
      <c r="F2672">
        <v>965</v>
      </c>
      <c r="G2672" s="10">
        <v>177705762254511</v>
      </c>
      <c r="H2672" t="s">
        <v>608</v>
      </c>
      <c r="I2672">
        <v>3003</v>
      </c>
      <c r="J2672" t="s">
        <v>22</v>
      </c>
      <c r="K2672" t="s">
        <v>23</v>
      </c>
      <c r="L2672" t="s">
        <v>31</v>
      </c>
      <c r="M2672" t="s">
        <v>636</v>
      </c>
      <c r="N2672" t="s">
        <v>53</v>
      </c>
      <c r="O2672">
        <v>128</v>
      </c>
      <c r="R2672" s="11">
        <v>8.1018518518518516E-5</v>
      </c>
      <c r="S2672" t="s">
        <v>37</v>
      </c>
      <c r="T2672" t="str">
        <f>IF(Tabela1[[#This Row],[STATUS_NEGOCIO]]="Enviar E-mail",1,"")</f>
        <v/>
      </c>
      <c r="U2672" t="str">
        <f>TEXT(Tabela1[[#This Row],[DATA]],"dd/mm/aaaa")</f>
        <v>24/04/2026</v>
      </c>
    </row>
    <row r="2673" spans="1:21" x14ac:dyDescent="0.25">
      <c r="A2673" s="9">
        <v>46136.671689814815</v>
      </c>
      <c r="B2673" t="s">
        <v>19</v>
      </c>
      <c r="C2673" t="s">
        <v>37</v>
      </c>
      <c r="D2673">
        <v>509</v>
      </c>
      <c r="E2673">
        <v>53116705000135</v>
      </c>
      <c r="F2673">
        <v>966</v>
      </c>
      <c r="G2673" s="10">
        <v>177705763454521</v>
      </c>
      <c r="H2673" t="s">
        <v>610</v>
      </c>
      <c r="I2673">
        <v>3003</v>
      </c>
      <c r="J2673" t="s">
        <v>22</v>
      </c>
      <c r="K2673" t="s">
        <v>23</v>
      </c>
      <c r="L2673" t="s">
        <v>31</v>
      </c>
      <c r="M2673" t="s">
        <v>636</v>
      </c>
      <c r="N2673" t="s">
        <v>53</v>
      </c>
      <c r="O2673">
        <v>128</v>
      </c>
      <c r="R2673" s="11">
        <v>8.1018518518518516E-5</v>
      </c>
      <c r="S2673" t="s">
        <v>37</v>
      </c>
      <c r="T2673" t="str">
        <f>IF(Tabela1[[#This Row],[STATUS_NEGOCIO]]="Enviar E-mail",1,"")</f>
        <v/>
      </c>
      <c r="U2673" t="str">
        <f>TEXT(Tabela1[[#This Row],[DATA]],"dd/mm/aaaa")</f>
        <v>24/04/2026</v>
      </c>
    </row>
    <row r="2674" spans="1:21" x14ac:dyDescent="0.25">
      <c r="A2674" s="9">
        <v>46136.671724537038</v>
      </c>
      <c r="B2674" t="s">
        <v>19</v>
      </c>
      <c r="C2674" t="s">
        <v>37</v>
      </c>
      <c r="D2674">
        <v>510</v>
      </c>
      <c r="E2674">
        <v>53135563000153</v>
      </c>
      <c r="F2674">
        <v>967</v>
      </c>
      <c r="G2674" s="10">
        <v>177705763754541</v>
      </c>
      <c r="H2674" t="s">
        <v>611</v>
      </c>
      <c r="I2674">
        <v>3003</v>
      </c>
      <c r="J2674" t="s">
        <v>22</v>
      </c>
      <c r="K2674" t="s">
        <v>23</v>
      </c>
      <c r="L2674" t="s">
        <v>31</v>
      </c>
      <c r="M2674" t="s">
        <v>636</v>
      </c>
      <c r="N2674" t="s">
        <v>53</v>
      </c>
      <c r="O2674">
        <v>128</v>
      </c>
      <c r="R2674" s="11">
        <v>8.1018518518518516E-5</v>
      </c>
      <c r="S2674" t="s">
        <v>37</v>
      </c>
      <c r="T2674" t="str">
        <f>IF(Tabela1[[#This Row],[STATUS_NEGOCIO]]="Enviar E-mail",1,"")</f>
        <v/>
      </c>
      <c r="U2674" t="str">
        <f>TEXT(Tabela1[[#This Row],[DATA]],"dd/mm/aaaa")</f>
        <v>24/04/2026</v>
      </c>
    </row>
    <row r="2675" spans="1:21" x14ac:dyDescent="0.25">
      <c r="A2675" s="9">
        <v>46136.6718287037</v>
      </c>
      <c r="B2675" t="s">
        <v>19</v>
      </c>
      <c r="C2675" t="s">
        <v>37</v>
      </c>
      <c r="D2675">
        <v>511</v>
      </c>
      <c r="E2675">
        <v>53159230000164</v>
      </c>
      <c r="F2675">
        <v>968</v>
      </c>
      <c r="G2675" s="10">
        <v>177705764654561</v>
      </c>
      <c r="H2675" t="s">
        <v>612</v>
      </c>
      <c r="I2675">
        <v>3003</v>
      </c>
      <c r="J2675" t="s">
        <v>22</v>
      </c>
      <c r="K2675" t="s">
        <v>23</v>
      </c>
      <c r="L2675" t="s">
        <v>31</v>
      </c>
      <c r="M2675" t="s">
        <v>636</v>
      </c>
      <c r="N2675" t="s">
        <v>53</v>
      </c>
      <c r="O2675">
        <v>128</v>
      </c>
      <c r="R2675" s="11">
        <v>8.1018518518518516E-5</v>
      </c>
      <c r="S2675" t="s">
        <v>37</v>
      </c>
      <c r="T2675" t="str">
        <f>IF(Tabela1[[#This Row],[STATUS_NEGOCIO]]="Enviar E-mail",1,"")</f>
        <v/>
      </c>
      <c r="U2675" t="str">
        <f>TEXT(Tabela1[[#This Row],[DATA]],"dd/mm/aaaa")</f>
        <v>24/04/2026</v>
      </c>
    </row>
    <row r="2676" spans="1:21" x14ac:dyDescent="0.25">
      <c r="A2676" s="9">
        <v>46136.672152777777</v>
      </c>
      <c r="B2676" t="s">
        <v>19</v>
      </c>
      <c r="C2676" t="s">
        <v>37</v>
      </c>
      <c r="D2676">
        <v>512</v>
      </c>
      <c r="E2676">
        <v>53380505000195</v>
      </c>
      <c r="F2676">
        <v>969</v>
      </c>
      <c r="G2676" s="10">
        <v>177705767454581</v>
      </c>
      <c r="H2676" t="s">
        <v>239</v>
      </c>
      <c r="I2676">
        <v>3003</v>
      </c>
      <c r="J2676" t="s">
        <v>22</v>
      </c>
      <c r="K2676" t="s">
        <v>23</v>
      </c>
      <c r="L2676" t="s">
        <v>31</v>
      </c>
      <c r="M2676" t="s">
        <v>636</v>
      </c>
      <c r="N2676" t="s">
        <v>53</v>
      </c>
      <c r="O2676">
        <v>128</v>
      </c>
      <c r="R2676" s="11">
        <v>8.1018518518518516E-5</v>
      </c>
      <c r="S2676" t="s">
        <v>37</v>
      </c>
      <c r="T2676" t="str">
        <f>IF(Tabela1[[#This Row],[STATUS_NEGOCIO]]="Enviar E-mail",1,"")</f>
        <v/>
      </c>
      <c r="U2676" t="str">
        <f>TEXT(Tabela1[[#This Row],[DATA]],"dd/mm/aaaa")</f>
        <v>24/04/2026</v>
      </c>
    </row>
    <row r="2677" spans="1:21" x14ac:dyDescent="0.25">
      <c r="A2677" s="9">
        <v>46136.672268518516</v>
      </c>
      <c r="B2677" t="s">
        <v>19</v>
      </c>
      <c r="C2677" t="s">
        <v>37</v>
      </c>
      <c r="D2677">
        <v>513</v>
      </c>
      <c r="E2677">
        <v>53472383000167</v>
      </c>
      <c r="F2677">
        <v>970</v>
      </c>
      <c r="G2677" s="10">
        <v>177705768454601</v>
      </c>
      <c r="H2677" t="s">
        <v>613</v>
      </c>
      <c r="I2677">
        <v>3003</v>
      </c>
      <c r="J2677" t="s">
        <v>22</v>
      </c>
      <c r="K2677" t="s">
        <v>23</v>
      </c>
      <c r="L2677" t="s">
        <v>31</v>
      </c>
      <c r="M2677" t="s">
        <v>636</v>
      </c>
      <c r="N2677" t="s">
        <v>53</v>
      </c>
      <c r="O2677">
        <v>128</v>
      </c>
      <c r="R2677" s="11">
        <v>8.1018518518518516E-5</v>
      </c>
      <c r="S2677" t="s">
        <v>37</v>
      </c>
      <c r="T2677" t="str">
        <f>IF(Tabela1[[#This Row],[STATUS_NEGOCIO]]="Enviar E-mail",1,"")</f>
        <v/>
      </c>
      <c r="U2677" t="str">
        <f>TEXT(Tabela1[[#This Row],[DATA]],"dd/mm/aaaa")</f>
        <v>24/04/2026</v>
      </c>
    </row>
    <row r="2678" spans="1:21" x14ac:dyDescent="0.25">
      <c r="A2678" s="9">
        <v>46136.672314814816</v>
      </c>
      <c r="B2678" t="s">
        <v>19</v>
      </c>
      <c r="C2678" t="s">
        <v>37</v>
      </c>
      <c r="D2678">
        <v>514</v>
      </c>
      <c r="E2678">
        <v>53691935000128</v>
      </c>
      <c r="F2678">
        <v>971</v>
      </c>
      <c r="G2678" s="10">
        <v>177705768854621</v>
      </c>
      <c r="H2678" t="s">
        <v>614</v>
      </c>
      <c r="I2678" t="s">
        <v>52</v>
      </c>
      <c r="J2678" t="s">
        <v>22</v>
      </c>
      <c r="K2678" t="s">
        <v>36</v>
      </c>
      <c r="L2678" t="s">
        <v>36</v>
      </c>
      <c r="M2678" t="s">
        <v>636</v>
      </c>
      <c r="N2678" t="s">
        <v>53</v>
      </c>
      <c r="O2678">
        <v>21</v>
      </c>
      <c r="R2678" s="11">
        <v>0</v>
      </c>
      <c r="S2678" t="s">
        <v>37</v>
      </c>
      <c r="T2678" t="str">
        <f>IF(Tabela1[[#This Row],[STATUS_NEGOCIO]]="Enviar E-mail",1,"")</f>
        <v/>
      </c>
      <c r="U2678" t="str">
        <f>TEXT(Tabela1[[#This Row],[DATA]],"dd/mm/aaaa")</f>
        <v>24/04/2026</v>
      </c>
    </row>
    <row r="2679" spans="1:21" x14ac:dyDescent="0.25">
      <c r="A2679" s="9">
        <v>46136.67255787037</v>
      </c>
      <c r="B2679" t="s">
        <v>19</v>
      </c>
      <c r="C2679" t="s">
        <v>37</v>
      </c>
      <c r="D2679">
        <v>515</v>
      </c>
      <c r="E2679">
        <v>54478765000160</v>
      </c>
      <c r="F2679">
        <v>972</v>
      </c>
      <c r="G2679" s="10">
        <v>177705770954631</v>
      </c>
      <c r="H2679" t="s">
        <v>34</v>
      </c>
      <c r="I2679">
        <v>3003</v>
      </c>
      <c r="J2679" t="s">
        <v>22</v>
      </c>
      <c r="K2679" t="s">
        <v>23</v>
      </c>
      <c r="L2679" t="s">
        <v>31</v>
      </c>
      <c r="M2679" t="s">
        <v>636</v>
      </c>
      <c r="N2679" t="s">
        <v>53</v>
      </c>
      <c r="O2679">
        <v>128</v>
      </c>
      <c r="R2679" s="11">
        <v>8.1018518518518516E-5</v>
      </c>
      <c r="S2679" t="s">
        <v>37</v>
      </c>
      <c r="T2679" t="str">
        <f>IF(Tabela1[[#This Row],[STATUS_NEGOCIO]]="Enviar E-mail",1,"")</f>
        <v/>
      </c>
      <c r="U2679" t="str">
        <f>TEXT(Tabela1[[#This Row],[DATA]],"dd/mm/aaaa")</f>
        <v>24/04/2026</v>
      </c>
    </row>
    <row r="2680" spans="1:21" x14ac:dyDescent="0.25">
      <c r="A2680" s="9">
        <v>46136.672754629632</v>
      </c>
      <c r="B2680" t="s">
        <v>19</v>
      </c>
      <c r="C2680" t="s">
        <v>37</v>
      </c>
      <c r="D2680">
        <v>516</v>
      </c>
      <c r="E2680">
        <v>55143066000122</v>
      </c>
      <c r="F2680">
        <v>973</v>
      </c>
      <c r="G2680" s="10">
        <v>177705772654691</v>
      </c>
      <c r="H2680" t="s">
        <v>92</v>
      </c>
      <c r="I2680">
        <v>3003</v>
      </c>
      <c r="J2680" t="s">
        <v>22</v>
      </c>
      <c r="K2680" t="s">
        <v>23</v>
      </c>
      <c r="L2680" t="s">
        <v>31</v>
      </c>
      <c r="M2680" t="s">
        <v>636</v>
      </c>
      <c r="N2680" t="s">
        <v>53</v>
      </c>
      <c r="O2680">
        <v>128</v>
      </c>
      <c r="R2680" s="11">
        <v>8.1018518518518516E-5</v>
      </c>
      <c r="S2680" t="s">
        <v>37</v>
      </c>
      <c r="T2680" t="str">
        <f>IF(Tabela1[[#This Row],[STATUS_NEGOCIO]]="Enviar E-mail",1,"")</f>
        <v/>
      </c>
      <c r="U2680" t="str">
        <f>TEXT(Tabela1[[#This Row],[DATA]],"dd/mm/aaaa")</f>
        <v>24/04/2026</v>
      </c>
    </row>
    <row r="2681" spans="1:21" x14ac:dyDescent="0.25">
      <c r="A2681" s="9">
        <v>46136.672800925924</v>
      </c>
      <c r="B2681" t="s">
        <v>19</v>
      </c>
      <c r="C2681" t="s">
        <v>37</v>
      </c>
      <c r="D2681">
        <v>517</v>
      </c>
      <c r="E2681">
        <v>55385904000174</v>
      </c>
      <c r="F2681">
        <v>974</v>
      </c>
      <c r="G2681" s="10">
        <v>177705773054711</v>
      </c>
      <c r="H2681" t="s">
        <v>589</v>
      </c>
      <c r="I2681">
        <v>3003</v>
      </c>
      <c r="J2681" t="s">
        <v>22</v>
      </c>
      <c r="K2681" t="s">
        <v>23</v>
      </c>
      <c r="L2681" t="s">
        <v>31</v>
      </c>
      <c r="M2681" t="s">
        <v>636</v>
      </c>
      <c r="N2681" t="s">
        <v>53</v>
      </c>
      <c r="O2681">
        <v>128</v>
      </c>
      <c r="R2681" s="11">
        <v>8.1018518518518516E-5</v>
      </c>
      <c r="S2681" t="s">
        <v>37</v>
      </c>
      <c r="T2681" t="str">
        <f>IF(Tabela1[[#This Row],[STATUS_NEGOCIO]]="Enviar E-mail",1,"")</f>
        <v/>
      </c>
      <c r="U2681" t="str">
        <f>TEXT(Tabela1[[#This Row],[DATA]],"dd/mm/aaaa")</f>
        <v>24/04/2026</v>
      </c>
    </row>
    <row r="2682" spans="1:21" x14ac:dyDescent="0.25">
      <c r="A2682" s="9">
        <v>46136.673032407409</v>
      </c>
      <c r="B2682" t="s">
        <v>19</v>
      </c>
      <c r="C2682" t="s">
        <v>37</v>
      </c>
      <c r="D2682">
        <v>518</v>
      </c>
      <c r="E2682">
        <v>55573642000171</v>
      </c>
      <c r="F2682">
        <v>975</v>
      </c>
      <c r="G2682" s="10">
        <v>177705775054791</v>
      </c>
      <c r="H2682" t="s">
        <v>66</v>
      </c>
      <c r="I2682">
        <v>3003</v>
      </c>
      <c r="J2682" t="s">
        <v>22</v>
      </c>
      <c r="K2682" t="s">
        <v>23</v>
      </c>
      <c r="L2682" t="s">
        <v>31</v>
      </c>
      <c r="M2682" t="s">
        <v>636</v>
      </c>
      <c r="N2682" t="s">
        <v>53</v>
      </c>
      <c r="O2682">
        <v>128</v>
      </c>
      <c r="R2682" s="11">
        <v>8.1018518518518516E-5</v>
      </c>
      <c r="S2682" t="s">
        <v>37</v>
      </c>
      <c r="T2682" t="str">
        <f>IF(Tabela1[[#This Row],[STATUS_NEGOCIO]]="Enviar E-mail",1,"")</f>
        <v/>
      </c>
      <c r="U2682" t="str">
        <f>TEXT(Tabela1[[#This Row],[DATA]],"dd/mm/aaaa")</f>
        <v>24/04/2026</v>
      </c>
    </row>
    <row r="2683" spans="1:21" x14ac:dyDescent="0.25">
      <c r="A2683" s="9">
        <v>46136.673275462963</v>
      </c>
      <c r="B2683" t="s">
        <v>19</v>
      </c>
      <c r="C2683" t="s">
        <v>37</v>
      </c>
      <c r="D2683">
        <v>519</v>
      </c>
      <c r="E2683">
        <v>55789121000156</v>
      </c>
      <c r="F2683">
        <v>976</v>
      </c>
      <c r="G2683" s="10">
        <v>177705777154811</v>
      </c>
      <c r="H2683" t="s">
        <v>615</v>
      </c>
      <c r="I2683">
        <v>3003</v>
      </c>
      <c r="J2683" t="s">
        <v>22</v>
      </c>
      <c r="K2683" t="s">
        <v>23</v>
      </c>
      <c r="L2683" t="s">
        <v>31</v>
      </c>
      <c r="M2683" t="s">
        <v>636</v>
      </c>
      <c r="N2683" t="s">
        <v>53</v>
      </c>
      <c r="O2683">
        <v>128</v>
      </c>
      <c r="R2683" s="11">
        <v>8.1018518518518516E-5</v>
      </c>
      <c r="S2683" t="s">
        <v>37</v>
      </c>
      <c r="T2683" t="str">
        <f>IF(Tabela1[[#This Row],[STATUS_NEGOCIO]]="Enviar E-mail",1,"")</f>
        <v/>
      </c>
      <c r="U2683" t="str">
        <f>TEXT(Tabela1[[#This Row],[DATA]],"dd/mm/aaaa")</f>
        <v>24/04/2026</v>
      </c>
    </row>
    <row r="2684" spans="1:21" x14ac:dyDescent="0.25">
      <c r="A2684" s="9">
        <v>46136.673530092594</v>
      </c>
      <c r="B2684" t="s">
        <v>19</v>
      </c>
      <c r="C2684" t="s">
        <v>37</v>
      </c>
      <c r="D2684">
        <v>520</v>
      </c>
      <c r="E2684">
        <v>56062863000148</v>
      </c>
      <c r="F2684">
        <v>977</v>
      </c>
      <c r="G2684" s="10">
        <v>177705779354831</v>
      </c>
      <c r="H2684" t="s">
        <v>242</v>
      </c>
      <c r="I2684">
        <v>3003</v>
      </c>
      <c r="J2684" t="s">
        <v>22</v>
      </c>
      <c r="K2684" t="s">
        <v>23</v>
      </c>
      <c r="L2684" t="s">
        <v>31</v>
      </c>
      <c r="M2684" t="s">
        <v>636</v>
      </c>
      <c r="N2684" t="s">
        <v>53</v>
      </c>
      <c r="O2684">
        <v>128</v>
      </c>
      <c r="R2684" s="11">
        <v>8.1018518518518516E-5</v>
      </c>
      <c r="S2684" t="s">
        <v>37</v>
      </c>
      <c r="T2684" t="str">
        <f>IF(Tabela1[[#This Row],[STATUS_NEGOCIO]]="Enviar E-mail",1,"")</f>
        <v/>
      </c>
      <c r="U2684" t="str">
        <f>TEXT(Tabela1[[#This Row],[DATA]],"dd/mm/aaaa")</f>
        <v>24/04/2026</v>
      </c>
    </row>
    <row r="2685" spans="1:21" x14ac:dyDescent="0.25">
      <c r="A2685" s="9">
        <v>46136.67359953704</v>
      </c>
      <c r="B2685" t="s">
        <v>19</v>
      </c>
      <c r="C2685" t="s">
        <v>37</v>
      </c>
      <c r="D2685">
        <v>521</v>
      </c>
      <c r="E2685">
        <v>56199093000180</v>
      </c>
      <c r="F2685">
        <v>978</v>
      </c>
      <c r="G2685" s="10">
        <v>177705779954871</v>
      </c>
      <c r="H2685" t="s">
        <v>182</v>
      </c>
      <c r="I2685">
        <v>3003</v>
      </c>
      <c r="J2685" t="s">
        <v>22</v>
      </c>
      <c r="K2685" t="s">
        <v>23</v>
      </c>
      <c r="L2685" t="s">
        <v>31</v>
      </c>
      <c r="M2685" t="s">
        <v>636</v>
      </c>
      <c r="N2685" t="s">
        <v>53</v>
      </c>
      <c r="O2685">
        <v>128</v>
      </c>
      <c r="R2685" s="11">
        <v>6.9444444444444444E-5</v>
      </c>
      <c r="S2685" t="s">
        <v>37</v>
      </c>
      <c r="T2685" t="str">
        <f>IF(Tabela1[[#This Row],[STATUS_NEGOCIO]]="Enviar E-mail",1,"")</f>
        <v/>
      </c>
      <c r="U2685" t="str">
        <f>TEXT(Tabela1[[#This Row],[DATA]],"dd/mm/aaaa")</f>
        <v>24/04/2026</v>
      </c>
    </row>
    <row r="2686" spans="1:21" x14ac:dyDescent="0.25">
      <c r="A2686" s="9">
        <v>46136.674027777779</v>
      </c>
      <c r="B2686" t="s">
        <v>19</v>
      </c>
      <c r="C2686" t="s">
        <v>37</v>
      </c>
      <c r="D2686">
        <v>522</v>
      </c>
      <c r="E2686">
        <v>56227513000194</v>
      </c>
      <c r="F2686">
        <v>979</v>
      </c>
      <c r="G2686" s="10">
        <v>177705783654991</v>
      </c>
      <c r="H2686" t="s">
        <v>616</v>
      </c>
      <c r="I2686">
        <v>3003</v>
      </c>
      <c r="J2686" t="s">
        <v>22</v>
      </c>
      <c r="K2686" t="s">
        <v>23</v>
      </c>
      <c r="L2686" t="s">
        <v>31</v>
      </c>
      <c r="M2686" t="s">
        <v>636</v>
      </c>
      <c r="N2686" t="s">
        <v>53</v>
      </c>
      <c r="O2686">
        <v>128</v>
      </c>
      <c r="R2686" s="11">
        <v>6.9444444444444444E-5</v>
      </c>
      <c r="S2686" t="s">
        <v>37</v>
      </c>
      <c r="T2686" t="str">
        <f>IF(Tabela1[[#This Row],[STATUS_NEGOCIO]]="Enviar E-mail",1,"")</f>
        <v/>
      </c>
      <c r="U2686" t="str">
        <f>TEXT(Tabela1[[#This Row],[DATA]],"dd/mm/aaaa")</f>
        <v>24/04/2026</v>
      </c>
    </row>
    <row r="2687" spans="1:21" x14ac:dyDescent="0.25">
      <c r="A2687" s="9">
        <v>46136.674155092594</v>
      </c>
      <c r="B2687" t="s">
        <v>19</v>
      </c>
      <c r="C2687" t="s">
        <v>37</v>
      </c>
      <c r="D2687">
        <v>523</v>
      </c>
      <c r="E2687">
        <v>56932666000132</v>
      </c>
      <c r="F2687">
        <v>980</v>
      </c>
      <c r="G2687" s="10">
        <v>177705784755011</v>
      </c>
      <c r="H2687" t="s">
        <v>617</v>
      </c>
      <c r="I2687">
        <v>3003</v>
      </c>
      <c r="J2687" t="s">
        <v>22</v>
      </c>
      <c r="K2687" t="s">
        <v>23</v>
      </c>
      <c r="L2687" t="s">
        <v>31</v>
      </c>
      <c r="M2687" t="s">
        <v>636</v>
      </c>
      <c r="N2687" t="s">
        <v>53</v>
      </c>
      <c r="O2687">
        <v>147</v>
      </c>
      <c r="R2687" s="11">
        <v>8.1018518518518516E-5</v>
      </c>
      <c r="S2687" t="s">
        <v>37</v>
      </c>
      <c r="T2687" t="str">
        <f>IF(Tabela1[[#This Row],[STATUS_NEGOCIO]]="Enviar E-mail",1,"")</f>
        <v/>
      </c>
      <c r="U2687" t="str">
        <f>TEXT(Tabela1[[#This Row],[DATA]],"dd/mm/aaaa")</f>
        <v>24/04/2026</v>
      </c>
    </row>
    <row r="2688" spans="1:21" x14ac:dyDescent="0.25">
      <c r="A2688" s="9">
        <v>46136.674201388887</v>
      </c>
      <c r="B2688" t="s">
        <v>19</v>
      </c>
      <c r="C2688" t="s">
        <v>37</v>
      </c>
      <c r="D2688">
        <v>524</v>
      </c>
      <c r="E2688">
        <v>57170375000460</v>
      </c>
      <c r="F2688">
        <v>981</v>
      </c>
      <c r="G2688" s="10">
        <v>177705785155031</v>
      </c>
      <c r="H2688" t="s">
        <v>618</v>
      </c>
      <c r="I2688">
        <v>3003</v>
      </c>
      <c r="J2688" t="s">
        <v>22</v>
      </c>
      <c r="K2688" t="s">
        <v>23</v>
      </c>
      <c r="L2688" t="s">
        <v>31</v>
      </c>
      <c r="M2688" t="s">
        <v>636</v>
      </c>
      <c r="N2688" t="s">
        <v>53</v>
      </c>
      <c r="O2688">
        <v>128</v>
      </c>
      <c r="R2688" s="11">
        <v>8.1018518518518516E-5</v>
      </c>
      <c r="S2688" t="s">
        <v>37</v>
      </c>
      <c r="T2688" t="str">
        <f>IF(Tabela1[[#This Row],[STATUS_NEGOCIO]]="Enviar E-mail",1,"")</f>
        <v/>
      </c>
      <c r="U2688" t="str">
        <f>TEXT(Tabela1[[#This Row],[DATA]],"dd/mm/aaaa")</f>
        <v>24/04/2026</v>
      </c>
    </row>
    <row r="2689" spans="1:21" x14ac:dyDescent="0.25">
      <c r="A2689" s="9">
        <v>46136.67428240741</v>
      </c>
      <c r="B2689" t="s">
        <v>19</v>
      </c>
      <c r="C2689" t="s">
        <v>37</v>
      </c>
      <c r="D2689">
        <v>525</v>
      </c>
      <c r="E2689">
        <v>57188457000199</v>
      </c>
      <c r="F2689">
        <v>982</v>
      </c>
      <c r="G2689" s="10">
        <v>177705785855051</v>
      </c>
      <c r="H2689" t="s">
        <v>198</v>
      </c>
      <c r="I2689">
        <v>3003</v>
      </c>
      <c r="J2689" t="s">
        <v>22</v>
      </c>
      <c r="K2689" t="s">
        <v>23</v>
      </c>
      <c r="L2689" t="s">
        <v>31</v>
      </c>
      <c r="M2689" t="s">
        <v>636</v>
      </c>
      <c r="N2689" t="s">
        <v>53</v>
      </c>
      <c r="O2689">
        <v>128</v>
      </c>
      <c r="R2689" s="11">
        <v>8.1018518518518516E-5</v>
      </c>
      <c r="S2689" t="s">
        <v>37</v>
      </c>
      <c r="T2689" t="str">
        <f>IF(Tabela1[[#This Row],[STATUS_NEGOCIO]]="Enviar E-mail",1,"")</f>
        <v/>
      </c>
      <c r="U2689" t="str">
        <f>TEXT(Tabela1[[#This Row],[DATA]],"dd/mm/aaaa")</f>
        <v>24/04/2026</v>
      </c>
    </row>
    <row r="2690" spans="1:21" x14ac:dyDescent="0.25">
      <c r="A2690" s="9">
        <v>46136.674444444441</v>
      </c>
      <c r="B2690" t="s">
        <v>19</v>
      </c>
      <c r="C2690" t="s">
        <v>37</v>
      </c>
      <c r="D2690">
        <v>526</v>
      </c>
      <c r="E2690">
        <v>57213863000164</v>
      </c>
      <c r="F2690">
        <v>983</v>
      </c>
      <c r="G2690" s="10">
        <v>177705787255111</v>
      </c>
      <c r="H2690" t="s">
        <v>91</v>
      </c>
      <c r="I2690">
        <v>3003</v>
      </c>
      <c r="J2690" t="s">
        <v>22</v>
      </c>
      <c r="K2690" t="s">
        <v>23</v>
      </c>
      <c r="L2690" t="s">
        <v>31</v>
      </c>
      <c r="M2690" t="s">
        <v>636</v>
      </c>
      <c r="N2690" t="s">
        <v>53</v>
      </c>
      <c r="O2690">
        <v>128</v>
      </c>
      <c r="R2690" s="11">
        <v>6.9444444444444444E-5</v>
      </c>
      <c r="S2690" t="s">
        <v>37</v>
      </c>
      <c r="T2690" t="str">
        <f>IF(Tabela1[[#This Row],[STATUS_NEGOCIO]]="Enviar E-mail",1,"")</f>
        <v/>
      </c>
      <c r="U2690" t="str">
        <f>TEXT(Tabela1[[#This Row],[DATA]],"dd/mm/aaaa")</f>
        <v>24/04/2026</v>
      </c>
    </row>
    <row r="2691" spans="1:21" x14ac:dyDescent="0.25">
      <c r="A2691" s="9">
        <v>46136.674675925926</v>
      </c>
      <c r="B2691" t="s">
        <v>19</v>
      </c>
      <c r="C2691" t="s">
        <v>37</v>
      </c>
      <c r="D2691">
        <v>527</v>
      </c>
      <c r="E2691">
        <v>57348787000102</v>
      </c>
      <c r="F2691">
        <v>984</v>
      </c>
      <c r="G2691" s="10">
        <v>177705789255131</v>
      </c>
      <c r="H2691" t="s">
        <v>619</v>
      </c>
      <c r="I2691">
        <v>3003</v>
      </c>
      <c r="J2691" t="s">
        <v>22</v>
      </c>
      <c r="K2691" t="s">
        <v>23</v>
      </c>
      <c r="L2691" t="s">
        <v>31</v>
      </c>
      <c r="M2691" t="s">
        <v>636</v>
      </c>
      <c r="N2691" t="s">
        <v>53</v>
      </c>
      <c r="O2691">
        <v>128</v>
      </c>
      <c r="R2691" s="11">
        <v>8.1018518518518516E-5</v>
      </c>
      <c r="S2691" t="s">
        <v>37</v>
      </c>
      <c r="T2691" t="str">
        <f>IF(Tabela1[[#This Row],[STATUS_NEGOCIO]]="Enviar E-mail",1,"")</f>
        <v/>
      </c>
      <c r="U2691" t="str">
        <f>TEXT(Tabela1[[#This Row],[DATA]],"dd/mm/aaaa")</f>
        <v>24/04/2026</v>
      </c>
    </row>
    <row r="2692" spans="1:21" x14ac:dyDescent="0.25">
      <c r="A2692" s="9">
        <v>46136.674722222226</v>
      </c>
      <c r="B2692" t="s">
        <v>19</v>
      </c>
      <c r="C2692" t="s">
        <v>37</v>
      </c>
      <c r="D2692">
        <v>528</v>
      </c>
      <c r="E2692">
        <v>57769577000180</v>
      </c>
      <c r="F2692">
        <v>985</v>
      </c>
      <c r="G2692" s="10">
        <v>177705789655151</v>
      </c>
      <c r="H2692" t="s">
        <v>60</v>
      </c>
      <c r="I2692">
        <v>3003</v>
      </c>
      <c r="J2692" t="s">
        <v>22</v>
      </c>
      <c r="K2692" t="s">
        <v>23</v>
      </c>
      <c r="L2692" t="s">
        <v>31</v>
      </c>
      <c r="M2692" t="s">
        <v>636</v>
      </c>
      <c r="N2692" t="s">
        <v>53</v>
      </c>
      <c r="O2692">
        <v>128</v>
      </c>
      <c r="R2692" s="11">
        <v>6.9444444444444444E-5</v>
      </c>
      <c r="S2692" t="s">
        <v>37</v>
      </c>
      <c r="T2692" t="str">
        <f>IF(Tabela1[[#This Row],[STATUS_NEGOCIO]]="Enviar E-mail",1,"")</f>
        <v/>
      </c>
      <c r="U2692" t="str">
        <f>TEXT(Tabela1[[#This Row],[DATA]],"dd/mm/aaaa")</f>
        <v>24/04/2026</v>
      </c>
    </row>
    <row r="2693" spans="1:21" x14ac:dyDescent="0.25">
      <c r="A2693" s="9">
        <v>46136.674803240741</v>
      </c>
      <c r="B2693" t="s">
        <v>19</v>
      </c>
      <c r="C2693" t="s">
        <v>37</v>
      </c>
      <c r="D2693">
        <v>529</v>
      </c>
      <c r="E2693">
        <v>58196686000118</v>
      </c>
      <c r="F2693">
        <v>986</v>
      </c>
      <c r="G2693" s="10">
        <v>177705790355171</v>
      </c>
      <c r="H2693" t="s">
        <v>242</v>
      </c>
      <c r="I2693">
        <v>3003</v>
      </c>
      <c r="J2693" t="s">
        <v>22</v>
      </c>
      <c r="K2693" t="s">
        <v>23</v>
      </c>
      <c r="L2693" t="s">
        <v>31</v>
      </c>
      <c r="M2693" t="s">
        <v>636</v>
      </c>
      <c r="N2693" t="s">
        <v>53</v>
      </c>
      <c r="O2693">
        <v>128</v>
      </c>
      <c r="R2693" s="11">
        <v>6.9444444444444444E-5</v>
      </c>
      <c r="S2693" t="s">
        <v>37</v>
      </c>
      <c r="T2693" t="str">
        <f>IF(Tabela1[[#This Row],[STATUS_NEGOCIO]]="Enviar E-mail",1,"")</f>
        <v/>
      </c>
      <c r="U2693" t="str">
        <f>TEXT(Tabela1[[#This Row],[DATA]],"dd/mm/aaaa")</f>
        <v>24/04/2026</v>
      </c>
    </row>
    <row r="2694" spans="1:21" x14ac:dyDescent="0.25">
      <c r="A2694" s="9">
        <v>46136.674907407411</v>
      </c>
      <c r="B2694" t="s">
        <v>19</v>
      </c>
      <c r="C2694" t="s">
        <v>37</v>
      </c>
      <c r="D2694">
        <v>530</v>
      </c>
      <c r="E2694">
        <v>58476582000167</v>
      </c>
      <c r="F2694">
        <v>987</v>
      </c>
      <c r="G2694" s="10">
        <v>177705791255191</v>
      </c>
      <c r="H2694" t="s">
        <v>189</v>
      </c>
      <c r="I2694">
        <v>3003</v>
      </c>
      <c r="J2694" t="s">
        <v>22</v>
      </c>
      <c r="K2694" t="s">
        <v>23</v>
      </c>
      <c r="L2694" t="s">
        <v>31</v>
      </c>
      <c r="M2694" t="s">
        <v>636</v>
      </c>
      <c r="N2694" t="s">
        <v>53</v>
      </c>
      <c r="O2694">
        <v>128</v>
      </c>
      <c r="R2694" s="11">
        <v>8.1018518518518516E-5</v>
      </c>
      <c r="S2694" t="s">
        <v>37</v>
      </c>
      <c r="T2694" t="str">
        <f>IF(Tabela1[[#This Row],[STATUS_NEGOCIO]]="Enviar E-mail",1,"")</f>
        <v/>
      </c>
      <c r="U2694" t="str">
        <f>TEXT(Tabela1[[#This Row],[DATA]],"dd/mm/aaaa")</f>
        <v>24/04/2026</v>
      </c>
    </row>
    <row r="2695" spans="1:21" x14ac:dyDescent="0.25">
      <c r="A2695" s="9">
        <v>46136.675081018519</v>
      </c>
      <c r="B2695" t="s">
        <v>19</v>
      </c>
      <c r="C2695" t="s">
        <v>37</v>
      </c>
      <c r="D2695">
        <v>531</v>
      </c>
      <c r="E2695">
        <v>59138749000142</v>
      </c>
      <c r="F2695">
        <v>988</v>
      </c>
      <c r="G2695" s="10">
        <v>177705792755211</v>
      </c>
      <c r="H2695" t="s">
        <v>620</v>
      </c>
      <c r="I2695">
        <v>3003</v>
      </c>
      <c r="J2695" t="s">
        <v>22</v>
      </c>
      <c r="K2695" t="s">
        <v>23</v>
      </c>
      <c r="L2695" t="s">
        <v>31</v>
      </c>
      <c r="M2695" t="s">
        <v>636</v>
      </c>
      <c r="N2695" t="s">
        <v>53</v>
      </c>
      <c r="O2695">
        <v>128</v>
      </c>
      <c r="R2695" s="11">
        <v>8.1018518518518516E-5</v>
      </c>
      <c r="S2695" t="s">
        <v>37</v>
      </c>
      <c r="T2695" t="str">
        <f>IF(Tabela1[[#This Row],[STATUS_NEGOCIO]]="Enviar E-mail",1,"")</f>
        <v/>
      </c>
      <c r="U2695" t="str">
        <f>TEXT(Tabela1[[#This Row],[DATA]],"dd/mm/aaaa")</f>
        <v>24/04/2026</v>
      </c>
    </row>
    <row r="2696" spans="1:21" x14ac:dyDescent="0.25">
      <c r="A2696" s="9">
        <v>46136.675324074073</v>
      </c>
      <c r="B2696" t="s">
        <v>19</v>
      </c>
      <c r="C2696" t="s">
        <v>37</v>
      </c>
      <c r="D2696">
        <v>532</v>
      </c>
      <c r="E2696">
        <v>59407605000144</v>
      </c>
      <c r="F2696">
        <v>989</v>
      </c>
      <c r="G2696" s="10">
        <v>177705794855231</v>
      </c>
      <c r="H2696" t="s">
        <v>38</v>
      </c>
      <c r="I2696">
        <v>3003</v>
      </c>
      <c r="J2696" t="s">
        <v>22</v>
      </c>
      <c r="K2696" t="s">
        <v>23</v>
      </c>
      <c r="L2696" t="s">
        <v>31</v>
      </c>
      <c r="M2696" t="s">
        <v>636</v>
      </c>
      <c r="N2696" t="s">
        <v>53</v>
      </c>
      <c r="O2696">
        <v>128</v>
      </c>
      <c r="R2696" s="11">
        <v>8.1018518518518516E-5</v>
      </c>
      <c r="S2696" t="s">
        <v>37</v>
      </c>
      <c r="T2696" t="str">
        <f>IF(Tabela1[[#This Row],[STATUS_NEGOCIO]]="Enviar E-mail",1,"")</f>
        <v/>
      </c>
      <c r="U2696" t="str">
        <f>TEXT(Tabela1[[#This Row],[DATA]],"dd/mm/aaaa")</f>
        <v>24/04/2026</v>
      </c>
    </row>
    <row r="2697" spans="1:21" x14ac:dyDescent="0.25">
      <c r="A2697" s="9">
        <v>46136.675462962965</v>
      </c>
      <c r="B2697" t="s">
        <v>19</v>
      </c>
      <c r="C2697" t="s">
        <v>37</v>
      </c>
      <c r="D2697">
        <v>533</v>
      </c>
      <c r="E2697">
        <v>59597687000137</v>
      </c>
      <c r="F2697">
        <v>990</v>
      </c>
      <c r="G2697" s="10">
        <v>177705796055251</v>
      </c>
      <c r="H2697" t="s">
        <v>87</v>
      </c>
      <c r="I2697">
        <v>3003</v>
      </c>
      <c r="J2697" t="s">
        <v>22</v>
      </c>
      <c r="K2697" t="s">
        <v>23</v>
      </c>
      <c r="L2697" t="s">
        <v>31</v>
      </c>
      <c r="M2697" t="s">
        <v>636</v>
      </c>
      <c r="N2697" t="s">
        <v>53</v>
      </c>
      <c r="O2697">
        <v>128</v>
      </c>
      <c r="R2697" s="11">
        <v>6.9444444444444444E-5</v>
      </c>
      <c r="S2697" t="s">
        <v>37</v>
      </c>
      <c r="T2697" t="str">
        <f>IF(Tabela1[[#This Row],[STATUS_NEGOCIO]]="Enviar E-mail",1,"")</f>
        <v/>
      </c>
      <c r="U2697" t="str">
        <f>TEXT(Tabela1[[#This Row],[DATA]],"dd/mm/aaaa")</f>
        <v>24/04/2026</v>
      </c>
    </row>
    <row r="2698" spans="1:21" x14ac:dyDescent="0.25">
      <c r="A2698" s="9">
        <v>46136.675671296296</v>
      </c>
      <c r="B2698" t="s">
        <v>19</v>
      </c>
      <c r="C2698" t="s">
        <v>37</v>
      </c>
      <c r="D2698">
        <v>534</v>
      </c>
      <c r="E2698">
        <v>59958760000159</v>
      </c>
      <c r="F2698">
        <v>991</v>
      </c>
      <c r="G2698" s="10">
        <v>177705797855271</v>
      </c>
      <c r="H2698" t="s">
        <v>621</v>
      </c>
      <c r="I2698">
        <v>3003</v>
      </c>
      <c r="J2698" t="s">
        <v>22</v>
      </c>
      <c r="K2698" t="s">
        <v>23</v>
      </c>
      <c r="L2698" t="s">
        <v>31</v>
      </c>
      <c r="M2698" t="s">
        <v>636</v>
      </c>
      <c r="N2698" t="s">
        <v>53</v>
      </c>
      <c r="O2698">
        <v>128</v>
      </c>
      <c r="R2698" s="11">
        <v>8.1018518518518516E-5</v>
      </c>
      <c r="S2698" t="s">
        <v>37</v>
      </c>
      <c r="T2698" t="str">
        <f>IF(Tabela1[[#This Row],[STATUS_NEGOCIO]]="Enviar E-mail",1,"")</f>
        <v/>
      </c>
      <c r="U2698" t="str">
        <f>TEXT(Tabela1[[#This Row],[DATA]],"dd/mm/aaaa")</f>
        <v>24/04/2026</v>
      </c>
    </row>
    <row r="2699" spans="1:21" x14ac:dyDescent="0.25">
      <c r="A2699" s="9">
        <v>46136.675844907404</v>
      </c>
      <c r="B2699" t="s">
        <v>19</v>
      </c>
      <c r="C2699" t="s">
        <v>37</v>
      </c>
      <c r="D2699">
        <v>535</v>
      </c>
      <c r="E2699">
        <v>60710938000127</v>
      </c>
      <c r="F2699">
        <v>992</v>
      </c>
      <c r="G2699" s="10">
        <v>177705799355291</v>
      </c>
      <c r="H2699" t="s">
        <v>57</v>
      </c>
      <c r="I2699">
        <v>3003</v>
      </c>
      <c r="J2699" t="s">
        <v>22</v>
      </c>
      <c r="K2699" t="s">
        <v>23</v>
      </c>
      <c r="L2699" t="s">
        <v>31</v>
      </c>
      <c r="M2699" t="s">
        <v>636</v>
      </c>
      <c r="N2699" t="s">
        <v>53</v>
      </c>
      <c r="O2699">
        <v>128</v>
      </c>
      <c r="R2699" s="11">
        <v>8.1018518518518516E-5</v>
      </c>
      <c r="S2699" t="s">
        <v>37</v>
      </c>
      <c r="T2699" t="str">
        <f>IF(Tabela1[[#This Row],[STATUS_NEGOCIO]]="Enviar E-mail",1,"")</f>
        <v/>
      </c>
      <c r="U2699" t="str">
        <f>TEXT(Tabela1[[#This Row],[DATA]],"dd/mm/aaaa")</f>
        <v>24/04/2026</v>
      </c>
    </row>
    <row r="2700" spans="1:21" x14ac:dyDescent="0.25">
      <c r="A2700" s="9">
        <v>46136.675879629627</v>
      </c>
      <c r="B2700" t="s">
        <v>19</v>
      </c>
      <c r="C2700" t="s">
        <v>37</v>
      </c>
      <c r="D2700">
        <v>536</v>
      </c>
      <c r="E2700">
        <v>61917457000150</v>
      </c>
      <c r="F2700">
        <v>993</v>
      </c>
      <c r="G2700" s="10">
        <v>177705799655311</v>
      </c>
      <c r="H2700" t="s">
        <v>622</v>
      </c>
      <c r="I2700">
        <v>3003</v>
      </c>
      <c r="J2700" t="s">
        <v>22</v>
      </c>
      <c r="K2700" t="s">
        <v>23</v>
      </c>
      <c r="L2700" t="s">
        <v>31</v>
      </c>
      <c r="M2700" t="s">
        <v>636</v>
      </c>
      <c r="N2700" t="s">
        <v>53</v>
      </c>
      <c r="O2700">
        <v>147</v>
      </c>
      <c r="R2700" s="11">
        <v>8.1018518518518516E-5</v>
      </c>
      <c r="S2700" t="s">
        <v>37</v>
      </c>
      <c r="T2700" t="str">
        <f>IF(Tabela1[[#This Row],[STATUS_NEGOCIO]]="Enviar E-mail",1,"")</f>
        <v/>
      </c>
      <c r="U2700" t="str">
        <f>TEXT(Tabela1[[#This Row],[DATA]],"dd/mm/aaaa")</f>
        <v>24/04/2026</v>
      </c>
    </row>
    <row r="2701" spans="1:21" x14ac:dyDescent="0.25">
      <c r="A2701" s="9">
        <v>46136.676041666666</v>
      </c>
      <c r="B2701" t="s">
        <v>19</v>
      </c>
      <c r="C2701" t="s">
        <v>37</v>
      </c>
      <c r="D2701">
        <v>537</v>
      </c>
      <c r="E2701">
        <v>63110255000127</v>
      </c>
      <c r="F2701">
        <v>994</v>
      </c>
      <c r="G2701" s="10">
        <v>177705801055331</v>
      </c>
      <c r="H2701" t="s">
        <v>623</v>
      </c>
      <c r="I2701">
        <v>3003</v>
      </c>
      <c r="J2701" t="s">
        <v>22</v>
      </c>
      <c r="K2701" t="s">
        <v>23</v>
      </c>
      <c r="L2701" t="s">
        <v>31</v>
      </c>
      <c r="M2701" t="s">
        <v>636</v>
      </c>
      <c r="N2701" t="s">
        <v>53</v>
      </c>
      <c r="O2701">
        <v>128</v>
      </c>
      <c r="R2701" s="11">
        <v>8.1018518518518516E-5</v>
      </c>
      <c r="S2701" t="s">
        <v>37</v>
      </c>
      <c r="T2701" t="str">
        <f>IF(Tabela1[[#This Row],[STATUS_NEGOCIO]]="Enviar E-mail",1,"")</f>
        <v/>
      </c>
      <c r="U2701" t="str">
        <f>TEXT(Tabela1[[#This Row],[DATA]],"dd/mm/aaaa")</f>
        <v>24/04/2026</v>
      </c>
    </row>
    <row r="2702" spans="1:21" x14ac:dyDescent="0.25">
      <c r="A2702" s="9">
        <v>46136.676249999997</v>
      </c>
      <c r="B2702" t="s">
        <v>19</v>
      </c>
      <c r="C2702" t="s">
        <v>37</v>
      </c>
      <c r="D2702">
        <v>538</v>
      </c>
      <c r="E2702">
        <v>68615988000137</v>
      </c>
      <c r="F2702">
        <v>995</v>
      </c>
      <c r="G2702" s="10">
        <v>177705802855381</v>
      </c>
      <c r="H2702" t="s">
        <v>232</v>
      </c>
      <c r="I2702">
        <v>3003</v>
      </c>
      <c r="J2702" t="s">
        <v>22</v>
      </c>
      <c r="K2702" t="s">
        <v>23</v>
      </c>
      <c r="L2702" t="s">
        <v>31</v>
      </c>
      <c r="M2702" t="s">
        <v>636</v>
      </c>
      <c r="N2702" t="s">
        <v>53</v>
      </c>
      <c r="O2702">
        <v>128</v>
      </c>
      <c r="R2702" s="11">
        <v>8.1018518518518516E-5</v>
      </c>
      <c r="S2702" t="s">
        <v>37</v>
      </c>
      <c r="T2702" t="str">
        <f>IF(Tabela1[[#This Row],[STATUS_NEGOCIO]]="Enviar E-mail",1,"")</f>
        <v/>
      </c>
      <c r="U2702" t="str">
        <f>TEXT(Tabela1[[#This Row],[DATA]],"dd/mm/aaaa")</f>
        <v>24/04/2026</v>
      </c>
    </row>
    <row r="2703" spans="1:21" x14ac:dyDescent="0.25">
      <c r="A2703" s="9">
        <v>46136.676400462966</v>
      </c>
      <c r="B2703" t="s">
        <v>19</v>
      </c>
      <c r="C2703" t="s">
        <v>37</v>
      </c>
      <c r="D2703">
        <v>539</v>
      </c>
      <c r="E2703">
        <v>68654938000169</v>
      </c>
      <c r="F2703">
        <v>996</v>
      </c>
      <c r="G2703" s="10">
        <v>177705804155461</v>
      </c>
      <c r="H2703" t="s">
        <v>197</v>
      </c>
      <c r="I2703">
        <v>3003</v>
      </c>
      <c r="J2703" t="s">
        <v>22</v>
      </c>
      <c r="K2703" t="s">
        <v>23</v>
      </c>
      <c r="L2703" t="s">
        <v>31</v>
      </c>
      <c r="M2703" t="s">
        <v>636</v>
      </c>
      <c r="N2703" t="s">
        <v>53</v>
      </c>
      <c r="O2703">
        <v>128</v>
      </c>
      <c r="R2703" s="11">
        <v>8.1018518518518516E-5</v>
      </c>
      <c r="S2703" t="s">
        <v>37</v>
      </c>
      <c r="T2703" t="str">
        <f>IF(Tabela1[[#This Row],[STATUS_NEGOCIO]]="Enviar E-mail",1,"")</f>
        <v/>
      </c>
      <c r="U2703" t="str">
        <f>TEXT(Tabela1[[#This Row],[DATA]],"dd/mm/aaaa")</f>
        <v>24/04/2026</v>
      </c>
    </row>
    <row r="2704" spans="1:21" x14ac:dyDescent="0.25">
      <c r="A2704" s="9">
        <v>46136.676423611112</v>
      </c>
      <c r="B2704" t="s">
        <v>19</v>
      </c>
      <c r="C2704" t="s">
        <v>37</v>
      </c>
      <c r="D2704">
        <v>540</v>
      </c>
      <c r="E2704">
        <v>68842905000142</v>
      </c>
      <c r="F2704">
        <v>997</v>
      </c>
      <c r="G2704" s="10">
        <v>177705804355481</v>
      </c>
      <c r="H2704" t="s">
        <v>624</v>
      </c>
      <c r="I2704">
        <v>3003</v>
      </c>
      <c r="J2704" t="s">
        <v>22</v>
      </c>
      <c r="K2704" t="s">
        <v>23</v>
      </c>
      <c r="L2704" t="s">
        <v>31</v>
      </c>
      <c r="M2704" t="s">
        <v>636</v>
      </c>
      <c r="N2704" t="s">
        <v>53</v>
      </c>
      <c r="O2704">
        <v>128</v>
      </c>
      <c r="R2704" s="11">
        <v>8.1018518518518516E-5</v>
      </c>
      <c r="S2704" t="s">
        <v>37</v>
      </c>
      <c r="T2704" t="str">
        <f>IF(Tabela1[[#This Row],[STATUS_NEGOCIO]]="Enviar E-mail",1,"")</f>
        <v/>
      </c>
      <c r="U2704" t="str">
        <f>TEXT(Tabela1[[#This Row],[DATA]],"dd/mm/aaaa")</f>
        <v>24/04/2026</v>
      </c>
    </row>
    <row r="2705" spans="1:21" x14ac:dyDescent="0.25">
      <c r="A2705" s="9">
        <v>46136.67659722222</v>
      </c>
      <c r="B2705" t="s">
        <v>19</v>
      </c>
      <c r="C2705" t="s">
        <v>20</v>
      </c>
      <c r="D2705">
        <v>541</v>
      </c>
      <c r="E2705">
        <v>72357726000197</v>
      </c>
      <c r="F2705">
        <v>998</v>
      </c>
      <c r="G2705" s="10">
        <v>177705805855501</v>
      </c>
      <c r="H2705" t="s">
        <v>625</v>
      </c>
      <c r="I2705">
        <v>3003</v>
      </c>
      <c r="J2705" t="s">
        <v>22</v>
      </c>
      <c r="K2705" t="s">
        <v>23</v>
      </c>
      <c r="L2705" t="s">
        <v>265</v>
      </c>
      <c r="M2705" t="s">
        <v>636</v>
      </c>
      <c r="N2705" t="s">
        <v>26</v>
      </c>
      <c r="O2705">
        <v>16</v>
      </c>
      <c r="R2705" s="11">
        <v>1.0416666666666667E-4</v>
      </c>
      <c r="S2705" s="11">
        <v>4.6296296296296294E-5</v>
      </c>
      <c r="T2705" t="str">
        <f>IF(Tabela1[[#This Row],[STATUS_NEGOCIO]]="Enviar E-mail",1,"")</f>
        <v/>
      </c>
      <c r="U2705" t="str">
        <f>TEXT(Tabela1[[#This Row],[DATA]],"dd/mm/aaaa")</f>
        <v>24/04/2026</v>
      </c>
    </row>
    <row r="2706" spans="1:21" x14ac:dyDescent="0.25">
      <c r="A2706" s="9">
        <v>46136.676701388889</v>
      </c>
      <c r="B2706" t="s">
        <v>19</v>
      </c>
      <c r="C2706" t="s">
        <v>37</v>
      </c>
      <c r="D2706">
        <v>542</v>
      </c>
      <c r="E2706">
        <v>72493794000183</v>
      </c>
      <c r="F2706">
        <v>999</v>
      </c>
      <c r="G2706" s="10">
        <v>177705806755521</v>
      </c>
      <c r="H2706" t="s">
        <v>626</v>
      </c>
      <c r="I2706">
        <v>3003</v>
      </c>
      <c r="J2706" t="s">
        <v>22</v>
      </c>
      <c r="K2706" t="s">
        <v>23</v>
      </c>
      <c r="L2706" t="s">
        <v>31</v>
      </c>
      <c r="M2706" t="s">
        <v>636</v>
      </c>
      <c r="N2706" t="s">
        <v>53</v>
      </c>
      <c r="O2706">
        <v>128</v>
      </c>
      <c r="R2706" s="11">
        <v>8.1018518518518516E-5</v>
      </c>
      <c r="S2706" t="s">
        <v>37</v>
      </c>
      <c r="T2706" t="str">
        <f>IF(Tabela1[[#This Row],[STATUS_NEGOCIO]]="Enviar E-mail",1,"")</f>
        <v/>
      </c>
      <c r="U2706" t="str">
        <f>TEXT(Tabela1[[#This Row],[DATA]],"dd/mm/aaaa")</f>
        <v>24/04/2026</v>
      </c>
    </row>
    <row r="2707" spans="1:21" x14ac:dyDescent="0.25">
      <c r="A2707" s="9">
        <v>46136.676817129628</v>
      </c>
      <c r="B2707" t="s">
        <v>19</v>
      </c>
      <c r="C2707" t="s">
        <v>37</v>
      </c>
      <c r="D2707">
        <v>543</v>
      </c>
      <c r="E2707">
        <v>73275570000168</v>
      </c>
      <c r="F2707">
        <v>1000</v>
      </c>
      <c r="G2707" s="10">
        <v>177705807755551</v>
      </c>
      <c r="H2707" t="s">
        <v>69</v>
      </c>
      <c r="I2707">
        <v>3003</v>
      </c>
      <c r="J2707" t="s">
        <v>22</v>
      </c>
      <c r="K2707" t="s">
        <v>23</v>
      </c>
      <c r="L2707" t="s">
        <v>31</v>
      </c>
      <c r="M2707" t="s">
        <v>636</v>
      </c>
      <c r="N2707" t="s">
        <v>53</v>
      </c>
      <c r="O2707">
        <v>128</v>
      </c>
      <c r="R2707" s="11">
        <v>8.1018518518518516E-5</v>
      </c>
      <c r="S2707" t="s">
        <v>37</v>
      </c>
      <c r="T2707" t="str">
        <f>IF(Tabela1[[#This Row],[STATUS_NEGOCIO]]="Enviar E-mail",1,"")</f>
        <v/>
      </c>
      <c r="U2707" t="str">
        <f>TEXT(Tabela1[[#This Row],[DATA]],"dd/mm/aaaa")</f>
        <v>24/04/2026</v>
      </c>
    </row>
    <row r="2708" spans="1:21" x14ac:dyDescent="0.25">
      <c r="A2708" s="9">
        <v>46136.677106481482</v>
      </c>
      <c r="B2708" t="s">
        <v>19</v>
      </c>
      <c r="C2708" t="s">
        <v>37</v>
      </c>
      <c r="D2708">
        <v>544</v>
      </c>
      <c r="E2708">
        <v>73353534000175</v>
      </c>
      <c r="F2708">
        <v>1001</v>
      </c>
      <c r="G2708" s="10">
        <v>177705810255631</v>
      </c>
      <c r="H2708" t="s">
        <v>627</v>
      </c>
      <c r="I2708" t="s">
        <v>52</v>
      </c>
      <c r="J2708" t="s">
        <v>22</v>
      </c>
      <c r="K2708" t="s">
        <v>36</v>
      </c>
      <c r="L2708" t="s">
        <v>36</v>
      </c>
      <c r="M2708" t="s">
        <v>636</v>
      </c>
      <c r="N2708" t="s">
        <v>53</v>
      </c>
      <c r="O2708">
        <v>19</v>
      </c>
      <c r="R2708" s="11">
        <v>0</v>
      </c>
      <c r="S2708" t="s">
        <v>37</v>
      </c>
      <c r="T2708" t="str">
        <f>IF(Tabela1[[#This Row],[STATUS_NEGOCIO]]="Enviar E-mail",1,"")</f>
        <v/>
      </c>
      <c r="U2708" t="str">
        <f>TEXT(Tabela1[[#This Row],[DATA]],"dd/mm/aaaa")</f>
        <v>24/04/2026</v>
      </c>
    </row>
    <row r="2709" spans="1:21" x14ac:dyDescent="0.25">
      <c r="A2709" s="9">
        <v>46136.677164351851</v>
      </c>
      <c r="B2709" t="s">
        <v>19</v>
      </c>
      <c r="C2709" t="s">
        <v>37</v>
      </c>
      <c r="D2709">
        <v>545</v>
      </c>
      <c r="E2709">
        <v>73630725000137</v>
      </c>
      <c r="F2709">
        <v>1002</v>
      </c>
      <c r="G2709" s="10">
        <v>177705810755661</v>
      </c>
      <c r="H2709" t="s">
        <v>119</v>
      </c>
      <c r="I2709">
        <v>3003</v>
      </c>
      <c r="J2709" t="s">
        <v>22</v>
      </c>
      <c r="K2709" t="s">
        <v>23</v>
      </c>
      <c r="L2709" t="s">
        <v>31</v>
      </c>
      <c r="M2709" t="s">
        <v>636</v>
      </c>
      <c r="N2709" t="s">
        <v>53</v>
      </c>
      <c r="O2709">
        <v>128</v>
      </c>
      <c r="R2709" s="11">
        <v>8.1018518518518516E-5</v>
      </c>
      <c r="S2709" t="s">
        <v>37</v>
      </c>
      <c r="T2709" t="str">
        <f>IF(Tabela1[[#This Row],[STATUS_NEGOCIO]]="Enviar E-mail",1,"")</f>
        <v/>
      </c>
      <c r="U2709" t="str">
        <f>TEXT(Tabela1[[#This Row],[DATA]],"dd/mm/aaaa")</f>
        <v>24/04/2026</v>
      </c>
    </row>
    <row r="2710" spans="1:21" x14ac:dyDescent="0.25">
      <c r="A2710" s="9">
        <v>46136.67732638889</v>
      </c>
      <c r="B2710" t="s">
        <v>19</v>
      </c>
      <c r="C2710" t="s">
        <v>37</v>
      </c>
      <c r="D2710">
        <v>546</v>
      </c>
      <c r="E2710">
        <v>73852469000122</v>
      </c>
      <c r="F2710">
        <v>1003</v>
      </c>
      <c r="G2710" s="10">
        <v>177705812155681</v>
      </c>
      <c r="H2710" t="s">
        <v>628</v>
      </c>
      <c r="I2710">
        <v>3003</v>
      </c>
      <c r="J2710" t="s">
        <v>22</v>
      </c>
      <c r="K2710" t="s">
        <v>23</v>
      </c>
      <c r="L2710" t="s">
        <v>31</v>
      </c>
      <c r="M2710" t="s">
        <v>636</v>
      </c>
      <c r="N2710" t="s">
        <v>53</v>
      </c>
      <c r="O2710">
        <v>128</v>
      </c>
      <c r="R2710" s="11">
        <v>8.1018518518518516E-5</v>
      </c>
      <c r="S2710" t="s">
        <v>37</v>
      </c>
      <c r="T2710" t="str">
        <f>IF(Tabela1[[#This Row],[STATUS_NEGOCIO]]="Enviar E-mail",1,"")</f>
        <v/>
      </c>
      <c r="U2710" t="str">
        <f>TEXT(Tabela1[[#This Row],[DATA]],"dd/mm/aaaa")</f>
        <v>24/04/2026</v>
      </c>
    </row>
    <row r="2711" spans="1:21" x14ac:dyDescent="0.25">
      <c r="A2711" s="9">
        <v>46136.677523148152</v>
      </c>
      <c r="B2711" t="s">
        <v>19</v>
      </c>
      <c r="C2711" t="s">
        <v>37</v>
      </c>
      <c r="D2711">
        <v>547</v>
      </c>
      <c r="E2711">
        <v>82449760000145</v>
      </c>
      <c r="F2711">
        <v>1004</v>
      </c>
      <c r="G2711" s="10">
        <v>177705813855701</v>
      </c>
      <c r="H2711" t="s">
        <v>629</v>
      </c>
      <c r="I2711">
        <v>3003</v>
      </c>
      <c r="J2711" t="s">
        <v>22</v>
      </c>
      <c r="K2711" t="s">
        <v>23</v>
      </c>
      <c r="L2711" t="s">
        <v>31</v>
      </c>
      <c r="M2711" t="s">
        <v>636</v>
      </c>
      <c r="N2711" t="s">
        <v>53</v>
      </c>
      <c r="O2711">
        <v>128</v>
      </c>
      <c r="R2711" s="11">
        <v>8.1018518518518516E-5</v>
      </c>
      <c r="S2711" t="s">
        <v>37</v>
      </c>
      <c r="T2711" t="str">
        <f>IF(Tabela1[[#This Row],[STATUS_NEGOCIO]]="Enviar E-mail",1,"")</f>
        <v/>
      </c>
      <c r="U2711" t="str">
        <f>TEXT(Tabela1[[#This Row],[DATA]],"dd/mm/aaaa")</f>
        <v>24/04/2026</v>
      </c>
    </row>
    <row r="2712" spans="1:21" x14ac:dyDescent="0.25">
      <c r="A2712" s="9">
        <v>46136.677673611113</v>
      </c>
      <c r="B2712" t="s">
        <v>19</v>
      </c>
      <c r="C2712" t="s">
        <v>37</v>
      </c>
      <c r="D2712">
        <v>548</v>
      </c>
      <c r="E2712">
        <v>86932266000198</v>
      </c>
      <c r="F2712">
        <v>1005</v>
      </c>
      <c r="G2712" s="10">
        <v>177705815155771</v>
      </c>
      <c r="H2712" t="s">
        <v>631</v>
      </c>
      <c r="I2712">
        <v>3003</v>
      </c>
      <c r="J2712" t="s">
        <v>22</v>
      </c>
      <c r="K2712" t="s">
        <v>23</v>
      </c>
      <c r="L2712" t="s">
        <v>31</v>
      </c>
      <c r="M2712" t="s">
        <v>636</v>
      </c>
      <c r="N2712" t="s">
        <v>53</v>
      </c>
      <c r="O2712">
        <v>128</v>
      </c>
      <c r="R2712" s="11">
        <v>8.1018518518518516E-5</v>
      </c>
      <c r="S2712" t="s">
        <v>37</v>
      </c>
      <c r="T2712" t="str">
        <f>IF(Tabela1[[#This Row],[STATUS_NEGOCIO]]="Enviar E-mail",1,"")</f>
        <v/>
      </c>
      <c r="U2712" t="str">
        <f>TEXT(Tabela1[[#This Row],[DATA]],"dd/mm/aaaa")</f>
        <v>24/04/2026</v>
      </c>
    </row>
    <row r="2713" spans="1:21" x14ac:dyDescent="0.25">
      <c r="A2713" s="9">
        <v>46136.677685185183</v>
      </c>
      <c r="B2713" t="s">
        <v>19</v>
      </c>
      <c r="C2713" t="s">
        <v>37</v>
      </c>
      <c r="D2713">
        <v>549</v>
      </c>
      <c r="E2713">
        <v>86936481000167</v>
      </c>
      <c r="F2713">
        <v>1006</v>
      </c>
      <c r="G2713" s="10">
        <v>177705815255791</v>
      </c>
      <c r="H2713" t="s">
        <v>97</v>
      </c>
      <c r="I2713">
        <v>3003</v>
      </c>
      <c r="J2713" t="s">
        <v>22</v>
      </c>
      <c r="K2713" t="s">
        <v>23</v>
      </c>
      <c r="L2713" t="s">
        <v>31</v>
      </c>
      <c r="M2713" t="s">
        <v>636</v>
      </c>
      <c r="N2713" t="s">
        <v>53</v>
      </c>
      <c r="O2713">
        <v>128</v>
      </c>
      <c r="R2713" s="11">
        <v>6.9444444444444444E-5</v>
      </c>
      <c r="S2713" t="s">
        <v>37</v>
      </c>
      <c r="T2713" t="str">
        <f>IF(Tabela1[[#This Row],[STATUS_NEGOCIO]]="Enviar E-mail",1,"")</f>
        <v/>
      </c>
      <c r="U2713" t="str">
        <f>TEXT(Tabela1[[#This Row],[DATA]],"dd/mm/aaaa")</f>
        <v>24/04/2026</v>
      </c>
    </row>
    <row r="2714" spans="1:21" x14ac:dyDescent="0.25">
      <c r="A2714" s="9">
        <v>46136.677847222221</v>
      </c>
      <c r="B2714" t="s">
        <v>19</v>
      </c>
      <c r="C2714" t="s">
        <v>37</v>
      </c>
      <c r="D2714">
        <v>550</v>
      </c>
      <c r="E2714">
        <v>97537119000130</v>
      </c>
      <c r="F2714">
        <v>1007</v>
      </c>
      <c r="G2714" s="10">
        <v>177705816655821</v>
      </c>
      <c r="H2714" t="s">
        <v>630</v>
      </c>
      <c r="I2714">
        <v>3003</v>
      </c>
      <c r="J2714" t="s">
        <v>22</v>
      </c>
      <c r="K2714" t="s">
        <v>23</v>
      </c>
      <c r="L2714" t="s">
        <v>31</v>
      </c>
      <c r="M2714" t="s">
        <v>636</v>
      </c>
      <c r="N2714" t="s">
        <v>53</v>
      </c>
      <c r="O2714">
        <v>128</v>
      </c>
      <c r="R2714" s="11">
        <v>6.9444444444444444E-5</v>
      </c>
      <c r="S2714" t="s">
        <v>37</v>
      </c>
      <c r="T2714" t="str">
        <f>IF(Tabela1[[#This Row],[STATUS_NEGOCIO]]="Enviar E-mail",1,"")</f>
        <v/>
      </c>
      <c r="U2714" t="str">
        <f>TEXT(Tabela1[[#This Row],[DATA]],"dd/mm/aaaa")</f>
        <v>24/04/2026</v>
      </c>
    </row>
    <row r="2715" spans="1:21" x14ac:dyDescent="0.25">
      <c r="A2715" s="9">
        <v>46136.681990740741</v>
      </c>
      <c r="B2715" t="s">
        <v>19</v>
      </c>
      <c r="C2715" t="s">
        <v>37</v>
      </c>
      <c r="D2715">
        <v>2</v>
      </c>
      <c r="E2715">
        <v>94869000142</v>
      </c>
      <c r="F2715">
        <v>507</v>
      </c>
      <c r="G2715" s="10">
        <v>177705852456571</v>
      </c>
      <c r="H2715" t="s">
        <v>251</v>
      </c>
      <c r="I2715">
        <v>3003</v>
      </c>
      <c r="J2715" t="s">
        <v>22</v>
      </c>
      <c r="K2715" t="s">
        <v>23</v>
      </c>
      <c r="L2715" t="s">
        <v>31</v>
      </c>
      <c r="M2715" t="s">
        <v>636</v>
      </c>
      <c r="N2715" t="s">
        <v>53</v>
      </c>
      <c r="O2715">
        <v>128</v>
      </c>
      <c r="R2715" s="11">
        <v>8.1018518518518516E-5</v>
      </c>
      <c r="S2715" t="s">
        <v>37</v>
      </c>
      <c r="T2715" t="str">
        <f>IF(Tabela1[[#This Row],[STATUS_NEGOCIO]]="Enviar E-mail",1,"")</f>
        <v/>
      </c>
      <c r="U2715" t="str">
        <f>TEXT(Tabela1[[#This Row],[DATA]],"dd/mm/aaaa")</f>
        <v>24/04/2026</v>
      </c>
    </row>
    <row r="2716" spans="1:21" x14ac:dyDescent="0.25">
      <c r="A2716" s="9">
        <v>46136.682268518518</v>
      </c>
      <c r="B2716" t="s">
        <v>19</v>
      </c>
      <c r="C2716" t="s">
        <v>37</v>
      </c>
      <c r="D2716">
        <v>3</v>
      </c>
      <c r="E2716">
        <v>117961000180</v>
      </c>
      <c r="F2716">
        <v>508</v>
      </c>
      <c r="G2716" s="10">
        <v>177705854856661</v>
      </c>
      <c r="H2716" t="s">
        <v>252</v>
      </c>
      <c r="I2716">
        <v>3003</v>
      </c>
      <c r="J2716" t="s">
        <v>22</v>
      </c>
      <c r="K2716" t="s">
        <v>23</v>
      </c>
      <c r="L2716" t="s">
        <v>31</v>
      </c>
      <c r="M2716" t="s">
        <v>636</v>
      </c>
      <c r="N2716" t="s">
        <v>53</v>
      </c>
      <c r="O2716">
        <v>128</v>
      </c>
      <c r="R2716" s="11">
        <v>6.9444444444444444E-5</v>
      </c>
      <c r="S2716" t="s">
        <v>37</v>
      </c>
      <c r="T2716" t="str">
        <f>IF(Tabela1[[#This Row],[STATUS_NEGOCIO]]="Enviar E-mail",1,"")</f>
        <v/>
      </c>
      <c r="U2716" t="str">
        <f>TEXT(Tabela1[[#This Row],[DATA]],"dd/mm/aaaa")</f>
        <v>24/04/2026</v>
      </c>
    </row>
    <row r="2717" spans="1:21" x14ac:dyDescent="0.25">
      <c r="A2717" s="9">
        <v>46136.682337962964</v>
      </c>
      <c r="B2717" t="s">
        <v>19</v>
      </c>
      <c r="C2717" t="s">
        <v>37</v>
      </c>
      <c r="D2717">
        <v>4</v>
      </c>
      <c r="E2717">
        <v>175438000100</v>
      </c>
      <c r="F2717">
        <v>509</v>
      </c>
      <c r="G2717" s="10">
        <v>177705855456671</v>
      </c>
      <c r="H2717" t="s">
        <v>253</v>
      </c>
      <c r="I2717">
        <v>3003</v>
      </c>
      <c r="J2717" t="s">
        <v>22</v>
      </c>
      <c r="K2717" t="s">
        <v>23</v>
      </c>
      <c r="L2717" t="s">
        <v>31</v>
      </c>
      <c r="M2717" t="s">
        <v>636</v>
      </c>
      <c r="N2717" t="s">
        <v>53</v>
      </c>
      <c r="O2717">
        <v>128</v>
      </c>
      <c r="R2717" s="11">
        <v>8.1018518518518516E-5</v>
      </c>
      <c r="S2717" t="s">
        <v>37</v>
      </c>
      <c r="T2717" t="str">
        <f>IF(Tabela1[[#This Row],[STATUS_NEGOCIO]]="Enviar E-mail",1,"")</f>
        <v/>
      </c>
      <c r="U2717" t="str">
        <f>TEXT(Tabela1[[#This Row],[DATA]],"dd/mm/aaaa")</f>
        <v>24/04/2026</v>
      </c>
    </row>
    <row r="2718" spans="1:21" x14ac:dyDescent="0.25">
      <c r="A2718" s="9">
        <v>46136.682442129626</v>
      </c>
      <c r="B2718" t="s">
        <v>19</v>
      </c>
      <c r="C2718" t="s">
        <v>37</v>
      </c>
      <c r="D2718">
        <v>5</v>
      </c>
      <c r="E2718">
        <v>255310000157</v>
      </c>
      <c r="F2718">
        <v>510</v>
      </c>
      <c r="G2718" s="10">
        <v>177705856356711</v>
      </c>
      <c r="H2718" t="s">
        <v>109</v>
      </c>
      <c r="I2718">
        <v>3003</v>
      </c>
      <c r="J2718" t="s">
        <v>22</v>
      </c>
      <c r="K2718" t="s">
        <v>23</v>
      </c>
      <c r="L2718" t="s">
        <v>31</v>
      </c>
      <c r="M2718" t="s">
        <v>636</v>
      </c>
      <c r="N2718" t="s">
        <v>53</v>
      </c>
      <c r="O2718">
        <v>128</v>
      </c>
      <c r="R2718" s="11">
        <v>8.1018518518518516E-5</v>
      </c>
      <c r="S2718" t="s">
        <v>37</v>
      </c>
      <c r="T2718" t="str">
        <f>IF(Tabela1[[#This Row],[STATUS_NEGOCIO]]="Enviar E-mail",1,"")</f>
        <v/>
      </c>
      <c r="U2718" t="str">
        <f>TEXT(Tabela1[[#This Row],[DATA]],"dd/mm/aaaa")</f>
        <v>24/04/2026</v>
      </c>
    </row>
    <row r="2719" spans="1:21" x14ac:dyDescent="0.25">
      <c r="A2719" s="9">
        <v>46136.682442129626</v>
      </c>
      <c r="B2719" t="s">
        <v>19</v>
      </c>
      <c r="C2719" t="s">
        <v>37</v>
      </c>
      <c r="D2719">
        <v>6</v>
      </c>
      <c r="E2719">
        <v>420622000179</v>
      </c>
      <c r="F2719">
        <v>511</v>
      </c>
      <c r="G2719" s="10">
        <v>177705856356721</v>
      </c>
      <c r="H2719" t="s">
        <v>256</v>
      </c>
      <c r="I2719">
        <v>3003</v>
      </c>
      <c r="J2719" t="s">
        <v>22</v>
      </c>
      <c r="K2719" t="s">
        <v>23</v>
      </c>
      <c r="L2719" t="s">
        <v>31</v>
      </c>
      <c r="M2719" t="s">
        <v>636</v>
      </c>
      <c r="N2719" t="s">
        <v>53</v>
      </c>
      <c r="O2719">
        <v>128</v>
      </c>
      <c r="R2719" s="11">
        <v>8.1018518518518516E-5</v>
      </c>
      <c r="S2719" t="s">
        <v>37</v>
      </c>
      <c r="T2719" t="str">
        <f>IF(Tabela1[[#This Row],[STATUS_NEGOCIO]]="Enviar E-mail",1,"")</f>
        <v/>
      </c>
      <c r="U2719" t="str">
        <f>TEXT(Tabela1[[#This Row],[DATA]],"dd/mm/aaaa")</f>
        <v>24/04/2026</v>
      </c>
    </row>
    <row r="2720" spans="1:21" x14ac:dyDescent="0.25">
      <c r="A2720" s="9">
        <v>46136.682557870372</v>
      </c>
      <c r="B2720" t="s">
        <v>19</v>
      </c>
      <c r="C2720" t="s">
        <v>37</v>
      </c>
      <c r="D2720">
        <v>7</v>
      </c>
      <c r="E2720">
        <v>451332000192</v>
      </c>
      <c r="F2720">
        <v>512</v>
      </c>
      <c r="G2720" s="10">
        <v>177705857356791</v>
      </c>
      <c r="H2720" t="s">
        <v>257</v>
      </c>
      <c r="I2720">
        <v>3003</v>
      </c>
      <c r="J2720" t="s">
        <v>22</v>
      </c>
      <c r="K2720" t="s">
        <v>23</v>
      </c>
      <c r="L2720" t="s">
        <v>31</v>
      </c>
      <c r="M2720" t="s">
        <v>636</v>
      </c>
      <c r="N2720" t="s">
        <v>53</v>
      </c>
      <c r="O2720">
        <v>128</v>
      </c>
      <c r="R2720" s="11">
        <v>8.1018518518518516E-5</v>
      </c>
      <c r="S2720" t="s">
        <v>37</v>
      </c>
      <c r="T2720" t="str">
        <f>IF(Tabela1[[#This Row],[STATUS_NEGOCIO]]="Enviar E-mail",1,"")</f>
        <v/>
      </c>
      <c r="U2720" t="str">
        <f>TEXT(Tabela1[[#This Row],[DATA]],"dd/mm/aaaa")</f>
        <v>24/04/2026</v>
      </c>
    </row>
    <row r="2721" spans="1:21" x14ac:dyDescent="0.25">
      <c r="A2721" s="9">
        <v>46136.682708333334</v>
      </c>
      <c r="B2721" t="s">
        <v>19</v>
      </c>
      <c r="C2721" t="s">
        <v>37</v>
      </c>
      <c r="D2721">
        <v>8</v>
      </c>
      <c r="E2721">
        <v>550875000167</v>
      </c>
      <c r="F2721">
        <v>513</v>
      </c>
      <c r="G2721" s="10">
        <v>177705858656991</v>
      </c>
      <c r="H2721" t="s">
        <v>258</v>
      </c>
      <c r="I2721">
        <v>3003</v>
      </c>
      <c r="J2721" t="s">
        <v>22</v>
      </c>
      <c r="K2721" t="s">
        <v>23</v>
      </c>
      <c r="L2721" t="s">
        <v>31</v>
      </c>
      <c r="M2721" t="s">
        <v>636</v>
      </c>
      <c r="N2721" t="s">
        <v>53</v>
      </c>
      <c r="O2721">
        <v>128</v>
      </c>
      <c r="R2721" s="11">
        <v>8.1018518518518516E-5</v>
      </c>
      <c r="S2721" t="s">
        <v>37</v>
      </c>
      <c r="T2721" t="str">
        <f>IF(Tabela1[[#This Row],[STATUS_NEGOCIO]]="Enviar E-mail",1,"")</f>
        <v/>
      </c>
      <c r="U2721" t="str">
        <f>TEXT(Tabela1[[#This Row],[DATA]],"dd/mm/aaaa")</f>
        <v>24/04/2026</v>
      </c>
    </row>
    <row r="2722" spans="1:21" x14ac:dyDescent="0.25">
      <c r="A2722" s="9">
        <v>46136.682743055557</v>
      </c>
      <c r="B2722" t="s">
        <v>19</v>
      </c>
      <c r="C2722" t="s">
        <v>37</v>
      </c>
      <c r="D2722">
        <v>9</v>
      </c>
      <c r="E2722">
        <v>749145000190</v>
      </c>
      <c r="F2722">
        <v>514</v>
      </c>
      <c r="G2722" s="10">
        <v>177705858957011</v>
      </c>
      <c r="H2722" t="s">
        <v>260</v>
      </c>
      <c r="I2722">
        <v>3003</v>
      </c>
      <c r="J2722" t="s">
        <v>22</v>
      </c>
      <c r="K2722" t="s">
        <v>23</v>
      </c>
      <c r="L2722" t="s">
        <v>31</v>
      </c>
      <c r="M2722" t="s">
        <v>636</v>
      </c>
      <c r="N2722" t="s">
        <v>53</v>
      </c>
      <c r="O2722">
        <v>128</v>
      </c>
      <c r="R2722" s="11">
        <v>8.1018518518518516E-5</v>
      </c>
      <c r="S2722" t="s">
        <v>37</v>
      </c>
      <c r="T2722" t="str">
        <f>IF(Tabela1[[#This Row],[STATUS_NEGOCIO]]="Enviar E-mail",1,"")</f>
        <v/>
      </c>
      <c r="U2722" t="str">
        <f>TEXT(Tabela1[[#This Row],[DATA]],"dd/mm/aaaa")</f>
        <v>24/04/2026</v>
      </c>
    </row>
    <row r="2723" spans="1:21" x14ac:dyDescent="0.25">
      <c r="A2723" s="9">
        <v>46136.682870370372</v>
      </c>
      <c r="B2723" t="s">
        <v>19</v>
      </c>
      <c r="C2723" t="s">
        <v>37</v>
      </c>
      <c r="D2723">
        <v>10</v>
      </c>
      <c r="E2723">
        <v>837531000133</v>
      </c>
      <c r="F2723">
        <v>515</v>
      </c>
      <c r="G2723" s="10">
        <v>177705860057101</v>
      </c>
      <c r="H2723" t="s">
        <v>68</v>
      </c>
      <c r="I2723">
        <v>3003</v>
      </c>
      <c r="J2723" t="s">
        <v>22</v>
      </c>
      <c r="K2723" t="s">
        <v>23</v>
      </c>
      <c r="L2723" t="s">
        <v>31</v>
      </c>
      <c r="M2723" t="s">
        <v>636</v>
      </c>
      <c r="N2723" t="s">
        <v>53</v>
      </c>
      <c r="O2723">
        <v>128</v>
      </c>
      <c r="R2723" s="11">
        <v>8.1018518518518516E-5</v>
      </c>
      <c r="S2723" t="s">
        <v>37</v>
      </c>
      <c r="T2723" t="str">
        <f>IF(Tabela1[[#This Row],[STATUS_NEGOCIO]]="Enviar E-mail",1,"")</f>
        <v/>
      </c>
      <c r="U2723" t="str">
        <f>TEXT(Tabela1[[#This Row],[DATA]],"dd/mm/aaaa")</f>
        <v>24/04/2026</v>
      </c>
    </row>
    <row r="2724" spans="1:21" x14ac:dyDescent="0.25">
      <c r="A2724" s="9">
        <v>46136.683067129627</v>
      </c>
      <c r="B2724" t="s">
        <v>19</v>
      </c>
      <c r="C2724" t="s">
        <v>37</v>
      </c>
      <c r="D2724">
        <v>11</v>
      </c>
      <c r="E2724">
        <v>845384000143</v>
      </c>
      <c r="F2724">
        <v>516</v>
      </c>
      <c r="G2724" s="10">
        <v>177705861757131</v>
      </c>
      <c r="H2724" t="s">
        <v>261</v>
      </c>
      <c r="I2724">
        <v>3003</v>
      </c>
      <c r="J2724" t="s">
        <v>22</v>
      </c>
      <c r="K2724" t="s">
        <v>23</v>
      </c>
      <c r="L2724" t="s">
        <v>31</v>
      </c>
      <c r="M2724" t="s">
        <v>636</v>
      </c>
      <c r="N2724" t="s">
        <v>53</v>
      </c>
      <c r="O2724">
        <v>147</v>
      </c>
      <c r="R2724" s="11">
        <v>8.1018518518518516E-5</v>
      </c>
      <c r="S2724" t="s">
        <v>37</v>
      </c>
      <c r="T2724" t="str">
        <f>IF(Tabela1[[#This Row],[STATUS_NEGOCIO]]="Enviar E-mail",1,"")</f>
        <v/>
      </c>
      <c r="U2724" t="str">
        <f>TEXT(Tabela1[[#This Row],[DATA]],"dd/mm/aaaa")</f>
        <v>24/04/2026</v>
      </c>
    </row>
    <row r="2725" spans="1:21" x14ac:dyDescent="0.25">
      <c r="A2725" s="9">
        <v>46136.683275462965</v>
      </c>
      <c r="B2725" t="s">
        <v>19</v>
      </c>
      <c r="C2725" t="s">
        <v>37</v>
      </c>
      <c r="D2725">
        <v>12</v>
      </c>
      <c r="E2725">
        <v>863808000100</v>
      </c>
      <c r="F2725">
        <v>517</v>
      </c>
      <c r="G2725" s="10">
        <v>177705863557191</v>
      </c>
      <c r="H2725" t="s">
        <v>179</v>
      </c>
      <c r="I2725">
        <v>3003</v>
      </c>
      <c r="J2725" t="s">
        <v>22</v>
      </c>
      <c r="K2725" t="s">
        <v>23</v>
      </c>
      <c r="L2725" t="s">
        <v>31</v>
      </c>
      <c r="M2725" t="s">
        <v>636</v>
      </c>
      <c r="N2725" t="s">
        <v>53</v>
      </c>
      <c r="O2725">
        <v>128</v>
      </c>
      <c r="R2725" s="11">
        <v>8.1018518518518516E-5</v>
      </c>
      <c r="S2725" t="s">
        <v>37</v>
      </c>
      <c r="T2725" t="str">
        <f>IF(Tabela1[[#This Row],[STATUS_NEGOCIO]]="Enviar E-mail",1,"")</f>
        <v/>
      </c>
      <c r="U2725" t="str">
        <f>TEXT(Tabela1[[#This Row],[DATA]],"dd/mm/aaaa")</f>
        <v>24/04/2026</v>
      </c>
    </row>
    <row r="2726" spans="1:21" x14ac:dyDescent="0.25">
      <c r="A2726" s="9">
        <v>46136.683287037034</v>
      </c>
      <c r="B2726" t="s">
        <v>19</v>
      </c>
      <c r="C2726" t="s">
        <v>37</v>
      </c>
      <c r="D2726">
        <v>13</v>
      </c>
      <c r="E2726">
        <v>1056628000171</v>
      </c>
      <c r="F2726">
        <v>518</v>
      </c>
      <c r="G2726" s="10">
        <v>177705863657211</v>
      </c>
      <c r="H2726" t="s">
        <v>262</v>
      </c>
      <c r="I2726">
        <v>3003</v>
      </c>
      <c r="J2726" t="s">
        <v>22</v>
      </c>
      <c r="K2726" t="s">
        <v>23</v>
      </c>
      <c r="L2726" t="s">
        <v>31</v>
      </c>
      <c r="M2726" t="s">
        <v>636</v>
      </c>
      <c r="N2726" t="s">
        <v>53</v>
      </c>
      <c r="O2726">
        <v>128</v>
      </c>
      <c r="R2726" s="11">
        <v>8.1018518518518516E-5</v>
      </c>
      <c r="S2726" t="s">
        <v>37</v>
      </c>
      <c r="T2726" t="str">
        <f>IF(Tabela1[[#This Row],[STATUS_NEGOCIO]]="Enviar E-mail",1,"")</f>
        <v/>
      </c>
      <c r="U2726" t="str">
        <f>TEXT(Tabela1[[#This Row],[DATA]],"dd/mm/aaaa")</f>
        <v>24/04/2026</v>
      </c>
    </row>
    <row r="2727" spans="1:21" x14ac:dyDescent="0.25">
      <c r="A2727" s="9">
        <v>46136.683692129627</v>
      </c>
      <c r="B2727" t="s">
        <v>19</v>
      </c>
      <c r="C2727" t="s">
        <v>37</v>
      </c>
      <c r="D2727">
        <v>14</v>
      </c>
      <c r="E2727">
        <v>1062613000116</v>
      </c>
      <c r="F2727">
        <v>519</v>
      </c>
      <c r="G2727" s="10">
        <v>177705867157291</v>
      </c>
      <c r="H2727" t="s">
        <v>263</v>
      </c>
      <c r="I2727">
        <v>3003</v>
      </c>
      <c r="J2727" t="s">
        <v>22</v>
      </c>
      <c r="K2727" t="s">
        <v>23</v>
      </c>
      <c r="L2727" t="s">
        <v>31</v>
      </c>
      <c r="M2727" t="s">
        <v>636</v>
      </c>
      <c r="N2727" t="s">
        <v>53</v>
      </c>
      <c r="O2727">
        <v>128</v>
      </c>
      <c r="R2727" s="11">
        <v>8.1018518518518516E-5</v>
      </c>
      <c r="S2727" t="s">
        <v>37</v>
      </c>
      <c r="T2727" t="str">
        <f>IF(Tabela1[[#This Row],[STATUS_NEGOCIO]]="Enviar E-mail",1,"")</f>
        <v/>
      </c>
      <c r="U2727" t="str">
        <f>TEXT(Tabela1[[#This Row],[DATA]],"dd/mm/aaaa")</f>
        <v>24/04/2026</v>
      </c>
    </row>
    <row r="2728" spans="1:21" x14ac:dyDescent="0.25">
      <c r="A2728" s="9">
        <v>46136.68378472222</v>
      </c>
      <c r="B2728" t="s">
        <v>19</v>
      </c>
      <c r="C2728" t="s">
        <v>37</v>
      </c>
      <c r="D2728">
        <v>15</v>
      </c>
      <c r="E2728">
        <v>1104119000177</v>
      </c>
      <c r="F2728">
        <v>520</v>
      </c>
      <c r="G2728" s="10">
        <v>177705867957311</v>
      </c>
      <c r="H2728" t="s">
        <v>264</v>
      </c>
      <c r="I2728">
        <v>3003</v>
      </c>
      <c r="J2728" t="s">
        <v>22</v>
      </c>
      <c r="K2728" t="s">
        <v>23</v>
      </c>
      <c r="L2728" t="s">
        <v>31</v>
      </c>
      <c r="M2728" t="s">
        <v>636</v>
      </c>
      <c r="N2728" t="s">
        <v>53</v>
      </c>
      <c r="O2728">
        <v>128</v>
      </c>
      <c r="R2728" s="11">
        <v>8.1018518518518516E-5</v>
      </c>
      <c r="S2728" t="s">
        <v>37</v>
      </c>
      <c r="T2728" t="str">
        <f>IF(Tabela1[[#This Row],[STATUS_NEGOCIO]]="Enviar E-mail",1,"")</f>
        <v/>
      </c>
      <c r="U2728" t="str">
        <f>TEXT(Tabela1[[#This Row],[DATA]],"dd/mm/aaaa")</f>
        <v>24/04/2026</v>
      </c>
    </row>
    <row r="2729" spans="1:21" x14ac:dyDescent="0.25">
      <c r="A2729" s="9">
        <v>46136.683854166666</v>
      </c>
      <c r="B2729" t="s">
        <v>19</v>
      </c>
      <c r="C2729" t="s">
        <v>37</v>
      </c>
      <c r="D2729">
        <v>16</v>
      </c>
      <c r="E2729">
        <v>1209604000105</v>
      </c>
      <c r="F2729">
        <v>521</v>
      </c>
      <c r="G2729" s="10">
        <v>177705868557341</v>
      </c>
      <c r="H2729" t="s">
        <v>266</v>
      </c>
      <c r="I2729">
        <v>3003</v>
      </c>
      <c r="J2729" t="s">
        <v>22</v>
      </c>
      <c r="K2729" t="s">
        <v>23</v>
      </c>
      <c r="L2729" t="s">
        <v>31</v>
      </c>
      <c r="M2729" t="s">
        <v>636</v>
      </c>
      <c r="N2729" t="s">
        <v>53</v>
      </c>
      <c r="O2729">
        <v>128</v>
      </c>
      <c r="R2729" s="11">
        <v>8.1018518518518516E-5</v>
      </c>
      <c r="S2729" t="s">
        <v>37</v>
      </c>
      <c r="T2729" t="str">
        <f>IF(Tabela1[[#This Row],[STATUS_NEGOCIO]]="Enviar E-mail",1,"")</f>
        <v/>
      </c>
      <c r="U2729" t="str">
        <f>TEXT(Tabela1[[#This Row],[DATA]],"dd/mm/aaaa")</f>
        <v>24/04/2026</v>
      </c>
    </row>
    <row r="2730" spans="1:21" x14ac:dyDescent="0.25">
      <c r="A2730" s="9">
        <v>46136.684027777781</v>
      </c>
      <c r="B2730" t="s">
        <v>19</v>
      </c>
      <c r="C2730" t="s">
        <v>37</v>
      </c>
      <c r="D2730">
        <v>17</v>
      </c>
      <c r="E2730">
        <v>1340549000198</v>
      </c>
      <c r="F2730">
        <v>522</v>
      </c>
      <c r="G2730" s="10">
        <v>177705870057361</v>
      </c>
      <c r="H2730" t="s">
        <v>281</v>
      </c>
      <c r="I2730" t="s">
        <v>52</v>
      </c>
      <c r="J2730" t="s">
        <v>22</v>
      </c>
      <c r="K2730" t="s">
        <v>36</v>
      </c>
      <c r="L2730" t="s">
        <v>36</v>
      </c>
      <c r="M2730" t="s">
        <v>636</v>
      </c>
      <c r="N2730" t="s">
        <v>53</v>
      </c>
      <c r="O2730">
        <v>19</v>
      </c>
      <c r="R2730" s="11">
        <v>0</v>
      </c>
      <c r="S2730" t="s">
        <v>37</v>
      </c>
      <c r="T2730" t="str">
        <f>IF(Tabela1[[#This Row],[STATUS_NEGOCIO]]="Enviar E-mail",1,"")</f>
        <v/>
      </c>
      <c r="U2730" t="str">
        <f>TEXT(Tabela1[[#This Row],[DATA]],"dd/mm/aaaa")</f>
        <v>24/04/2026</v>
      </c>
    </row>
    <row r="2731" spans="1:21" x14ac:dyDescent="0.25">
      <c r="A2731" s="9">
        <v>46136.684328703705</v>
      </c>
      <c r="B2731" t="s">
        <v>19</v>
      </c>
      <c r="C2731" t="s">
        <v>37</v>
      </c>
      <c r="D2731">
        <v>18</v>
      </c>
      <c r="E2731">
        <v>1387961000163</v>
      </c>
      <c r="F2731">
        <v>523</v>
      </c>
      <c r="G2731" s="10">
        <v>177705872657511</v>
      </c>
      <c r="H2731" t="s">
        <v>267</v>
      </c>
      <c r="I2731">
        <v>3003</v>
      </c>
      <c r="J2731" t="s">
        <v>22</v>
      </c>
      <c r="K2731" t="s">
        <v>23</v>
      </c>
      <c r="L2731" t="s">
        <v>31</v>
      </c>
      <c r="M2731" t="s">
        <v>636</v>
      </c>
      <c r="N2731" t="s">
        <v>53</v>
      </c>
      <c r="O2731">
        <v>147</v>
      </c>
      <c r="R2731" s="11">
        <v>8.1018518518518516E-5</v>
      </c>
      <c r="S2731" t="s">
        <v>37</v>
      </c>
      <c r="T2731" t="str">
        <f>IF(Tabela1[[#This Row],[STATUS_NEGOCIO]]="Enviar E-mail",1,"")</f>
        <v/>
      </c>
      <c r="U2731" t="str">
        <f>TEXT(Tabela1[[#This Row],[DATA]],"dd/mm/aaaa")</f>
        <v>24/04/2026</v>
      </c>
    </row>
    <row r="2732" spans="1:21" x14ac:dyDescent="0.25">
      <c r="A2732" s="9">
        <v>46136.684490740743</v>
      </c>
      <c r="B2732" t="s">
        <v>19</v>
      </c>
      <c r="C2732" t="s">
        <v>37</v>
      </c>
      <c r="D2732">
        <v>19</v>
      </c>
      <c r="E2732">
        <v>1399122000165</v>
      </c>
      <c r="F2732">
        <v>524</v>
      </c>
      <c r="G2732" s="10">
        <v>177705874057531</v>
      </c>
      <c r="H2732" t="s">
        <v>285</v>
      </c>
      <c r="I2732">
        <v>3003</v>
      </c>
      <c r="J2732" t="s">
        <v>22</v>
      </c>
      <c r="K2732" t="s">
        <v>23</v>
      </c>
      <c r="L2732" t="s">
        <v>31</v>
      </c>
      <c r="M2732" t="s">
        <v>636</v>
      </c>
      <c r="N2732" t="s">
        <v>53</v>
      </c>
      <c r="O2732">
        <v>128</v>
      </c>
      <c r="R2732" s="11">
        <v>8.1018518518518516E-5</v>
      </c>
      <c r="S2732" t="s">
        <v>37</v>
      </c>
      <c r="T2732" t="str">
        <f>IF(Tabela1[[#This Row],[STATUS_NEGOCIO]]="Enviar E-mail",1,"")</f>
        <v/>
      </c>
      <c r="U2732" t="str">
        <f>TEXT(Tabela1[[#This Row],[DATA]],"dd/mm/aaaa")</f>
        <v>24/04/2026</v>
      </c>
    </row>
    <row r="2733" spans="1:21" x14ac:dyDescent="0.25">
      <c r="A2733" s="9">
        <v>46136.684652777774</v>
      </c>
      <c r="B2733" t="s">
        <v>19</v>
      </c>
      <c r="C2733" t="s">
        <v>37</v>
      </c>
      <c r="D2733">
        <v>21</v>
      </c>
      <c r="E2733">
        <v>1485063000148</v>
      </c>
      <c r="F2733">
        <v>525</v>
      </c>
      <c r="G2733" s="10">
        <v>177705875457541</v>
      </c>
      <c r="H2733" t="s">
        <v>230</v>
      </c>
      <c r="I2733">
        <v>3003</v>
      </c>
      <c r="J2733" t="s">
        <v>22</v>
      </c>
      <c r="K2733" t="s">
        <v>23</v>
      </c>
      <c r="L2733" t="s">
        <v>31</v>
      </c>
      <c r="M2733" t="s">
        <v>636</v>
      </c>
      <c r="N2733" t="s">
        <v>53</v>
      </c>
      <c r="O2733">
        <v>128</v>
      </c>
      <c r="R2733" s="11">
        <v>8.1018518518518516E-5</v>
      </c>
      <c r="S2733" t="s">
        <v>37</v>
      </c>
      <c r="T2733" t="str">
        <f>IF(Tabela1[[#This Row],[STATUS_NEGOCIO]]="Enviar E-mail",1,"")</f>
        <v/>
      </c>
      <c r="U2733" t="str">
        <f>TEXT(Tabela1[[#This Row],[DATA]],"dd/mm/aaaa")</f>
        <v>24/04/2026</v>
      </c>
    </row>
    <row r="2734" spans="1:21" x14ac:dyDescent="0.25">
      <c r="A2734" s="9">
        <v>46136.684756944444</v>
      </c>
      <c r="B2734" t="s">
        <v>19</v>
      </c>
      <c r="C2734" t="s">
        <v>37</v>
      </c>
      <c r="D2734">
        <v>22</v>
      </c>
      <c r="E2734">
        <v>1632895000140</v>
      </c>
      <c r="F2734">
        <v>526</v>
      </c>
      <c r="G2734" s="10">
        <v>177705876357561</v>
      </c>
      <c r="H2734" t="s">
        <v>287</v>
      </c>
      <c r="I2734">
        <v>3003</v>
      </c>
      <c r="J2734" t="s">
        <v>22</v>
      </c>
      <c r="K2734" t="s">
        <v>23</v>
      </c>
      <c r="L2734" t="s">
        <v>31</v>
      </c>
      <c r="M2734" t="s">
        <v>636</v>
      </c>
      <c r="N2734" t="s">
        <v>53</v>
      </c>
      <c r="O2734">
        <v>147</v>
      </c>
      <c r="R2734" s="11">
        <v>8.1018518518518516E-5</v>
      </c>
      <c r="S2734" t="s">
        <v>37</v>
      </c>
      <c r="T2734" t="str">
        <f>IF(Tabela1[[#This Row],[STATUS_NEGOCIO]]="Enviar E-mail",1,"")</f>
        <v/>
      </c>
      <c r="U2734" t="str">
        <f>TEXT(Tabela1[[#This Row],[DATA]],"dd/mm/aaaa")</f>
        <v>24/04/2026</v>
      </c>
    </row>
    <row r="2735" spans="1:21" x14ac:dyDescent="0.25">
      <c r="A2735" s="9">
        <v>46136.685057870367</v>
      </c>
      <c r="B2735" t="s">
        <v>19</v>
      </c>
      <c r="C2735" t="s">
        <v>37</v>
      </c>
      <c r="D2735">
        <v>23</v>
      </c>
      <c r="E2735">
        <v>1721269000120</v>
      </c>
      <c r="F2735">
        <v>527</v>
      </c>
      <c r="G2735" s="10">
        <v>177705878957591</v>
      </c>
      <c r="H2735" t="s">
        <v>288</v>
      </c>
      <c r="I2735">
        <v>3003</v>
      </c>
      <c r="J2735" t="s">
        <v>22</v>
      </c>
      <c r="K2735" t="s">
        <v>23</v>
      </c>
      <c r="L2735" t="s">
        <v>31</v>
      </c>
      <c r="M2735" t="s">
        <v>636</v>
      </c>
      <c r="N2735" t="s">
        <v>53</v>
      </c>
      <c r="O2735">
        <v>128</v>
      </c>
      <c r="R2735" s="11">
        <v>8.1018518518518516E-5</v>
      </c>
      <c r="S2735" t="s">
        <v>37</v>
      </c>
      <c r="T2735" t="str">
        <f>IF(Tabela1[[#This Row],[STATUS_NEGOCIO]]="Enviar E-mail",1,"")</f>
        <v/>
      </c>
      <c r="U2735" t="str">
        <f>TEXT(Tabela1[[#This Row],[DATA]],"dd/mm/aaaa")</f>
        <v>24/04/2026</v>
      </c>
    </row>
    <row r="2736" spans="1:21" x14ac:dyDescent="0.25">
      <c r="A2736" s="9">
        <v>46136.685127314813</v>
      </c>
      <c r="B2736" t="s">
        <v>19</v>
      </c>
      <c r="C2736" t="s">
        <v>37</v>
      </c>
      <c r="D2736">
        <v>26</v>
      </c>
      <c r="E2736">
        <v>1879056000120</v>
      </c>
      <c r="F2736">
        <v>528</v>
      </c>
      <c r="G2736" s="10">
        <v>177705879557611</v>
      </c>
      <c r="H2736" t="s">
        <v>633</v>
      </c>
      <c r="I2736">
        <v>3003</v>
      </c>
      <c r="J2736" t="s">
        <v>22</v>
      </c>
      <c r="K2736" t="s">
        <v>23</v>
      </c>
      <c r="L2736" t="s">
        <v>31</v>
      </c>
      <c r="M2736" t="s">
        <v>636</v>
      </c>
      <c r="N2736" t="s">
        <v>53</v>
      </c>
      <c r="O2736">
        <v>128</v>
      </c>
      <c r="R2736" s="11">
        <v>6.9444444444444444E-5</v>
      </c>
      <c r="S2736" t="s">
        <v>37</v>
      </c>
      <c r="T2736" t="str">
        <f>IF(Tabela1[[#This Row],[STATUS_NEGOCIO]]="Enviar E-mail",1,"")</f>
        <v/>
      </c>
      <c r="U2736" t="str">
        <f>TEXT(Tabela1[[#This Row],[DATA]],"dd/mm/aaaa")</f>
        <v>24/04/2026</v>
      </c>
    </row>
    <row r="2737" spans="1:21" x14ac:dyDescent="0.25">
      <c r="A2737" s="9">
        <v>46136.68540509259</v>
      </c>
      <c r="B2737" t="s">
        <v>19</v>
      </c>
      <c r="C2737" t="s">
        <v>37</v>
      </c>
      <c r="D2737">
        <v>27</v>
      </c>
      <c r="E2737">
        <v>1959285000155</v>
      </c>
      <c r="F2737">
        <v>529</v>
      </c>
      <c r="G2737" s="10">
        <v>177705881957631</v>
      </c>
      <c r="H2737" t="s">
        <v>291</v>
      </c>
      <c r="I2737">
        <v>3003</v>
      </c>
      <c r="J2737" t="s">
        <v>22</v>
      </c>
      <c r="K2737" t="s">
        <v>23</v>
      </c>
      <c r="L2737" t="s">
        <v>31</v>
      </c>
      <c r="M2737" t="s">
        <v>636</v>
      </c>
      <c r="N2737" t="s">
        <v>53</v>
      </c>
      <c r="O2737">
        <v>128</v>
      </c>
      <c r="R2737" s="11">
        <v>8.1018518518518516E-5</v>
      </c>
      <c r="S2737" t="s">
        <v>37</v>
      </c>
      <c r="T2737" t="str">
        <f>IF(Tabela1[[#This Row],[STATUS_NEGOCIO]]="Enviar E-mail",1,"")</f>
        <v/>
      </c>
      <c r="U2737" t="str">
        <f>TEXT(Tabela1[[#This Row],[DATA]],"dd/mm/aaaa")</f>
        <v>24/04/2026</v>
      </c>
    </row>
    <row r="2738" spans="1:21" x14ac:dyDescent="0.25">
      <c r="A2738" s="9">
        <v>46136.685486111113</v>
      </c>
      <c r="B2738" t="s">
        <v>19</v>
      </c>
      <c r="C2738" t="s">
        <v>37</v>
      </c>
      <c r="D2738">
        <v>28</v>
      </c>
      <c r="E2738">
        <v>1978794000125</v>
      </c>
      <c r="F2738">
        <v>530</v>
      </c>
      <c r="G2738" s="10">
        <v>177705882657651</v>
      </c>
      <c r="H2738" t="s">
        <v>292</v>
      </c>
      <c r="I2738">
        <v>3003</v>
      </c>
      <c r="J2738" t="s">
        <v>22</v>
      </c>
      <c r="K2738" t="s">
        <v>23</v>
      </c>
      <c r="L2738" t="s">
        <v>31</v>
      </c>
      <c r="M2738" t="s">
        <v>636</v>
      </c>
      <c r="N2738" t="s">
        <v>53</v>
      </c>
      <c r="O2738">
        <v>128</v>
      </c>
      <c r="R2738" s="11">
        <v>8.1018518518518516E-5</v>
      </c>
      <c r="S2738" t="s">
        <v>37</v>
      </c>
      <c r="T2738" t="str">
        <f>IF(Tabela1[[#This Row],[STATUS_NEGOCIO]]="Enviar E-mail",1,"")</f>
        <v/>
      </c>
      <c r="U2738" t="str">
        <f>TEXT(Tabela1[[#This Row],[DATA]],"dd/mm/aaaa")</f>
        <v>24/04/2026</v>
      </c>
    </row>
    <row r="2739" spans="1:21" x14ac:dyDescent="0.25">
      <c r="A2739" s="9">
        <v>46136.685648148145</v>
      </c>
      <c r="B2739" t="s">
        <v>19</v>
      </c>
      <c r="C2739" t="s">
        <v>37</v>
      </c>
      <c r="D2739">
        <v>29</v>
      </c>
      <c r="E2739">
        <v>2047048000180</v>
      </c>
      <c r="F2739">
        <v>531</v>
      </c>
      <c r="G2739" s="10">
        <v>177705884057671</v>
      </c>
      <c r="H2739" t="s">
        <v>171</v>
      </c>
      <c r="I2739" t="s">
        <v>52</v>
      </c>
      <c r="J2739" t="s">
        <v>22</v>
      </c>
      <c r="K2739" t="s">
        <v>36</v>
      </c>
      <c r="L2739" t="s">
        <v>36</v>
      </c>
      <c r="M2739" t="s">
        <v>636</v>
      </c>
      <c r="N2739" t="s">
        <v>53</v>
      </c>
      <c r="O2739">
        <v>34</v>
      </c>
      <c r="R2739" s="11">
        <v>0</v>
      </c>
      <c r="S2739" t="s">
        <v>37</v>
      </c>
      <c r="T2739" t="str">
        <f>IF(Tabela1[[#This Row],[STATUS_NEGOCIO]]="Enviar E-mail",1,"")</f>
        <v/>
      </c>
      <c r="U2739" t="str">
        <f>TEXT(Tabela1[[#This Row],[DATA]],"dd/mm/aaaa")</f>
        <v>24/04/2026</v>
      </c>
    </row>
    <row r="2740" spans="1:21" x14ac:dyDescent="0.25">
      <c r="A2740" s="9">
        <v>46136.685752314814</v>
      </c>
      <c r="B2740" t="s">
        <v>19</v>
      </c>
      <c r="C2740" t="s">
        <v>20</v>
      </c>
      <c r="D2740">
        <v>30</v>
      </c>
      <c r="E2740">
        <v>2055500000156</v>
      </c>
      <c r="F2740">
        <v>532</v>
      </c>
      <c r="G2740" s="10">
        <v>177705884957681</v>
      </c>
      <c r="H2740" t="s">
        <v>293</v>
      </c>
      <c r="I2740">
        <v>3003</v>
      </c>
      <c r="J2740" t="s">
        <v>22</v>
      </c>
      <c r="K2740" t="s">
        <v>23</v>
      </c>
      <c r="L2740" t="s">
        <v>40</v>
      </c>
      <c r="M2740" t="s">
        <v>636</v>
      </c>
      <c r="N2740" t="s">
        <v>32</v>
      </c>
      <c r="O2740">
        <v>16</v>
      </c>
      <c r="R2740" s="11">
        <v>1.8865740740740742E-3</v>
      </c>
      <c r="S2740" s="11">
        <v>1.8518518518518519E-3</v>
      </c>
      <c r="T2740">
        <f>IF(Tabela1[[#This Row],[STATUS_NEGOCIO]]="Enviar E-mail",1,"")</f>
        <v>1</v>
      </c>
      <c r="U2740" t="str">
        <f>TEXT(Tabela1[[#This Row],[DATA]],"dd/mm/aaaa")</f>
        <v>24/04/2026</v>
      </c>
    </row>
    <row r="2741" spans="1:21" x14ac:dyDescent="0.25">
      <c r="A2741" s="9">
        <v>46136.685995370368</v>
      </c>
      <c r="B2741" t="s">
        <v>19</v>
      </c>
      <c r="C2741" t="s">
        <v>37</v>
      </c>
      <c r="D2741">
        <v>31</v>
      </c>
      <c r="E2741">
        <v>2079896000171</v>
      </c>
      <c r="F2741">
        <v>533</v>
      </c>
      <c r="G2741" s="10">
        <v>177705887057851</v>
      </c>
      <c r="H2741" t="s">
        <v>272</v>
      </c>
      <c r="I2741">
        <v>3003</v>
      </c>
      <c r="J2741" t="s">
        <v>22</v>
      </c>
      <c r="K2741" t="s">
        <v>23</v>
      </c>
      <c r="L2741" t="s">
        <v>31</v>
      </c>
      <c r="M2741" t="s">
        <v>636</v>
      </c>
      <c r="N2741" t="s">
        <v>53</v>
      </c>
      <c r="O2741">
        <v>128</v>
      </c>
      <c r="R2741" s="11">
        <v>8.1018518518518516E-5</v>
      </c>
      <c r="S2741" t="s">
        <v>37</v>
      </c>
      <c r="T2741" t="str">
        <f>IF(Tabela1[[#This Row],[STATUS_NEGOCIO]]="Enviar E-mail",1,"")</f>
        <v/>
      </c>
      <c r="U2741" t="str">
        <f>TEXT(Tabela1[[#This Row],[DATA]],"dd/mm/aaaa")</f>
        <v>24/04/2026</v>
      </c>
    </row>
    <row r="2742" spans="1:21" x14ac:dyDescent="0.25">
      <c r="A2742" s="9">
        <v>46136.686365740738</v>
      </c>
      <c r="B2742" t="s">
        <v>19</v>
      </c>
      <c r="C2742" t="s">
        <v>37</v>
      </c>
      <c r="D2742">
        <v>32</v>
      </c>
      <c r="E2742">
        <v>2113776000143</v>
      </c>
      <c r="F2742">
        <v>534</v>
      </c>
      <c r="G2742" s="10">
        <v>177705890257881</v>
      </c>
      <c r="H2742" t="s">
        <v>294</v>
      </c>
      <c r="I2742">
        <v>3003</v>
      </c>
      <c r="J2742" t="s">
        <v>22</v>
      </c>
      <c r="K2742" t="s">
        <v>23</v>
      </c>
      <c r="L2742" t="s">
        <v>31</v>
      </c>
      <c r="M2742" t="s">
        <v>636</v>
      </c>
      <c r="N2742" t="s">
        <v>53</v>
      </c>
      <c r="O2742">
        <v>128</v>
      </c>
      <c r="R2742" s="11">
        <v>8.1018518518518516E-5</v>
      </c>
      <c r="S2742" t="s">
        <v>37</v>
      </c>
      <c r="T2742" t="str">
        <f>IF(Tabela1[[#This Row],[STATUS_NEGOCIO]]="Enviar E-mail",1,"")</f>
        <v/>
      </c>
      <c r="U2742" t="str">
        <f>TEXT(Tabela1[[#This Row],[DATA]],"dd/mm/aaaa")</f>
        <v>24/04/2026</v>
      </c>
    </row>
    <row r="2743" spans="1:21" x14ac:dyDescent="0.25">
      <c r="A2743" s="9">
        <v>46136.686527777776</v>
      </c>
      <c r="B2743" t="s">
        <v>19</v>
      </c>
      <c r="C2743" t="s">
        <v>37</v>
      </c>
      <c r="D2743">
        <v>33</v>
      </c>
      <c r="E2743">
        <v>2148473000166</v>
      </c>
      <c r="F2743">
        <v>535</v>
      </c>
      <c r="G2743" s="10">
        <v>177705891657921</v>
      </c>
      <c r="H2743" t="s">
        <v>283</v>
      </c>
      <c r="I2743">
        <v>3003</v>
      </c>
      <c r="J2743" t="s">
        <v>22</v>
      </c>
      <c r="K2743" t="s">
        <v>23</v>
      </c>
      <c r="L2743" t="s">
        <v>31</v>
      </c>
      <c r="M2743" t="s">
        <v>636</v>
      </c>
      <c r="N2743" t="s">
        <v>53</v>
      </c>
      <c r="O2743">
        <v>128</v>
      </c>
      <c r="R2743" s="11">
        <v>8.1018518518518516E-5</v>
      </c>
      <c r="S2743" t="s">
        <v>37</v>
      </c>
      <c r="T2743" t="str">
        <f>IF(Tabela1[[#This Row],[STATUS_NEGOCIO]]="Enviar E-mail",1,"")</f>
        <v/>
      </c>
      <c r="U2743" t="str">
        <f>TEXT(Tabela1[[#This Row],[DATA]],"dd/mm/aaaa")</f>
        <v>24/04/2026</v>
      </c>
    </row>
    <row r="2744" spans="1:21" x14ac:dyDescent="0.25">
      <c r="A2744" s="9">
        <v>46136.686909722222</v>
      </c>
      <c r="B2744" t="s">
        <v>19</v>
      </c>
      <c r="C2744" t="s">
        <v>37</v>
      </c>
      <c r="D2744">
        <v>34</v>
      </c>
      <c r="E2744">
        <v>2199015000156</v>
      </c>
      <c r="F2744">
        <v>536</v>
      </c>
      <c r="G2744" s="10">
        <v>177705894958041</v>
      </c>
      <c r="H2744" t="s">
        <v>634</v>
      </c>
      <c r="I2744">
        <v>3003</v>
      </c>
      <c r="J2744" t="s">
        <v>22</v>
      </c>
      <c r="K2744" t="s">
        <v>23</v>
      </c>
      <c r="L2744" t="s">
        <v>31</v>
      </c>
      <c r="M2744" t="s">
        <v>636</v>
      </c>
      <c r="N2744" t="s">
        <v>53</v>
      </c>
      <c r="O2744">
        <v>128</v>
      </c>
      <c r="R2744" s="11">
        <v>8.1018518518518516E-5</v>
      </c>
      <c r="S2744" t="s">
        <v>37</v>
      </c>
      <c r="T2744" t="str">
        <f>IF(Tabela1[[#This Row],[STATUS_NEGOCIO]]="Enviar E-mail",1,"")</f>
        <v/>
      </c>
      <c r="U2744" t="str">
        <f>TEXT(Tabela1[[#This Row],[DATA]],"dd/mm/aaaa")</f>
        <v>24/04/2026</v>
      </c>
    </row>
    <row r="2745" spans="1:21" x14ac:dyDescent="0.25">
      <c r="A2745" s="9">
        <v>46136.687152777777</v>
      </c>
      <c r="B2745" t="s">
        <v>19</v>
      </c>
      <c r="C2745" t="s">
        <v>37</v>
      </c>
      <c r="D2745">
        <v>35</v>
      </c>
      <c r="E2745">
        <v>2326459000105</v>
      </c>
      <c r="F2745">
        <v>537</v>
      </c>
      <c r="G2745" s="10">
        <v>177705897058061</v>
      </c>
      <c r="H2745" t="s">
        <v>295</v>
      </c>
      <c r="I2745">
        <v>3003</v>
      </c>
      <c r="J2745" t="s">
        <v>22</v>
      </c>
      <c r="K2745" t="s">
        <v>23</v>
      </c>
      <c r="L2745" t="s">
        <v>31</v>
      </c>
      <c r="M2745" t="s">
        <v>636</v>
      </c>
      <c r="N2745" t="s">
        <v>53</v>
      </c>
      <c r="O2745">
        <v>128</v>
      </c>
      <c r="R2745" s="11">
        <v>8.1018518518518516E-5</v>
      </c>
      <c r="S2745" t="s">
        <v>37</v>
      </c>
      <c r="T2745" t="str">
        <f>IF(Tabela1[[#This Row],[STATUS_NEGOCIO]]="Enviar E-mail",1,"")</f>
        <v/>
      </c>
      <c r="U2745" t="str">
        <f>TEXT(Tabela1[[#This Row],[DATA]],"dd/mm/aaaa")</f>
        <v>24/04/2026</v>
      </c>
    </row>
    <row r="2746" spans="1:21" x14ac:dyDescent="0.25">
      <c r="A2746" s="9">
        <v>46136.687511574077</v>
      </c>
      <c r="B2746" t="s">
        <v>19</v>
      </c>
      <c r="C2746" t="s">
        <v>37</v>
      </c>
      <c r="D2746">
        <v>36</v>
      </c>
      <c r="E2746">
        <v>2427859000107</v>
      </c>
      <c r="F2746">
        <v>538</v>
      </c>
      <c r="G2746" s="10">
        <v>177705900158101</v>
      </c>
      <c r="H2746" t="s">
        <v>296</v>
      </c>
      <c r="I2746">
        <v>3003</v>
      </c>
      <c r="J2746" t="s">
        <v>22</v>
      </c>
      <c r="K2746" t="s">
        <v>23</v>
      </c>
      <c r="L2746" t="s">
        <v>31</v>
      </c>
      <c r="M2746" t="s">
        <v>636</v>
      </c>
      <c r="N2746" t="s">
        <v>53</v>
      </c>
      <c r="O2746">
        <v>128</v>
      </c>
      <c r="R2746" s="11">
        <v>8.1018518518518516E-5</v>
      </c>
      <c r="S2746" t="s">
        <v>37</v>
      </c>
      <c r="T2746" t="str">
        <f>IF(Tabela1[[#This Row],[STATUS_NEGOCIO]]="Enviar E-mail",1,"")</f>
        <v/>
      </c>
      <c r="U2746" t="str">
        <f>TEXT(Tabela1[[#This Row],[DATA]],"dd/mm/aaaa")</f>
        <v>24/04/2026</v>
      </c>
    </row>
    <row r="2747" spans="1:21" x14ac:dyDescent="0.25">
      <c r="A2747" s="9">
        <v>46136.687754629631</v>
      </c>
      <c r="B2747" t="s">
        <v>19</v>
      </c>
      <c r="C2747" t="s">
        <v>37</v>
      </c>
      <c r="D2747">
        <v>37</v>
      </c>
      <c r="E2747">
        <v>2464189000107</v>
      </c>
      <c r="F2747">
        <v>539</v>
      </c>
      <c r="G2747" s="10">
        <v>177705902258121</v>
      </c>
      <c r="H2747" t="s">
        <v>297</v>
      </c>
      <c r="I2747">
        <v>3003</v>
      </c>
      <c r="J2747" t="s">
        <v>22</v>
      </c>
      <c r="K2747" t="s">
        <v>23</v>
      </c>
      <c r="L2747" t="s">
        <v>31</v>
      </c>
      <c r="M2747" t="s">
        <v>636</v>
      </c>
      <c r="N2747" t="s">
        <v>53</v>
      </c>
      <c r="O2747">
        <v>128</v>
      </c>
      <c r="R2747" s="11">
        <v>8.1018518518518516E-5</v>
      </c>
      <c r="S2747" t="s">
        <v>37</v>
      </c>
      <c r="T2747" t="str">
        <f>IF(Tabela1[[#This Row],[STATUS_NEGOCIO]]="Enviar E-mail",1,"")</f>
        <v/>
      </c>
      <c r="U2747" t="str">
        <f>TEXT(Tabela1[[#This Row],[DATA]],"dd/mm/aaaa")</f>
        <v>24/04/2026</v>
      </c>
    </row>
    <row r="2748" spans="1:21" x14ac:dyDescent="0.25">
      <c r="A2748" s="9">
        <v>46136.687824074077</v>
      </c>
      <c r="B2748" t="s">
        <v>19</v>
      </c>
      <c r="C2748" t="s">
        <v>37</v>
      </c>
      <c r="D2748">
        <v>39</v>
      </c>
      <c r="E2748">
        <v>2510074000101</v>
      </c>
      <c r="F2748">
        <v>540</v>
      </c>
      <c r="G2748" s="10">
        <v>177705902858151</v>
      </c>
      <c r="H2748" t="s">
        <v>299</v>
      </c>
      <c r="I2748">
        <v>3003</v>
      </c>
      <c r="J2748" t="s">
        <v>22</v>
      </c>
      <c r="K2748" t="s">
        <v>23</v>
      </c>
      <c r="L2748" t="s">
        <v>31</v>
      </c>
      <c r="M2748" t="s">
        <v>636</v>
      </c>
      <c r="N2748" t="s">
        <v>53</v>
      </c>
      <c r="O2748">
        <v>128</v>
      </c>
      <c r="R2748" s="11">
        <v>8.1018518518518516E-5</v>
      </c>
      <c r="S2748" t="s">
        <v>37</v>
      </c>
      <c r="T2748" t="str">
        <f>IF(Tabela1[[#This Row],[STATUS_NEGOCIO]]="Enviar E-mail",1,"")</f>
        <v/>
      </c>
      <c r="U2748" t="str">
        <f>TEXT(Tabela1[[#This Row],[DATA]],"dd/mm/aaaa")</f>
        <v>24/04/2026</v>
      </c>
    </row>
    <row r="2749" spans="1:21" x14ac:dyDescent="0.25">
      <c r="A2749" s="9">
        <v>46136.688159722224</v>
      </c>
      <c r="B2749" t="s">
        <v>19</v>
      </c>
      <c r="C2749" t="s">
        <v>37</v>
      </c>
      <c r="D2749">
        <v>40</v>
      </c>
      <c r="E2749">
        <v>2604580000151</v>
      </c>
      <c r="F2749">
        <v>541</v>
      </c>
      <c r="G2749" s="10">
        <v>177705905758231</v>
      </c>
      <c r="H2749" t="s">
        <v>300</v>
      </c>
      <c r="I2749" t="s">
        <v>52</v>
      </c>
      <c r="J2749" t="s">
        <v>22</v>
      </c>
      <c r="K2749" t="s">
        <v>36</v>
      </c>
      <c r="L2749" t="s">
        <v>36</v>
      </c>
      <c r="M2749" t="s">
        <v>636</v>
      </c>
      <c r="N2749" t="s">
        <v>53</v>
      </c>
      <c r="O2749">
        <v>19</v>
      </c>
      <c r="R2749" s="11">
        <v>0</v>
      </c>
      <c r="S2749" t="s">
        <v>37</v>
      </c>
      <c r="T2749" t="str">
        <f>IF(Tabela1[[#This Row],[STATUS_NEGOCIO]]="Enviar E-mail",1,"")</f>
        <v/>
      </c>
      <c r="U2749" t="str">
        <f>TEXT(Tabela1[[#This Row],[DATA]],"dd/mm/aaaa")</f>
        <v>24/04/2026</v>
      </c>
    </row>
    <row r="2750" spans="1:21" x14ac:dyDescent="0.25">
      <c r="A2750" s="9">
        <v>46136.688391203701</v>
      </c>
      <c r="B2750" t="s">
        <v>19</v>
      </c>
      <c r="C2750" t="s">
        <v>37</v>
      </c>
      <c r="D2750">
        <v>41</v>
      </c>
      <c r="E2750">
        <v>2605792000153</v>
      </c>
      <c r="F2750">
        <v>542</v>
      </c>
      <c r="G2750" s="10">
        <v>177705907758251</v>
      </c>
      <c r="H2750" t="s">
        <v>183</v>
      </c>
      <c r="I2750">
        <v>3003</v>
      </c>
      <c r="J2750" t="s">
        <v>22</v>
      </c>
      <c r="K2750" t="s">
        <v>23</v>
      </c>
      <c r="L2750" t="s">
        <v>31</v>
      </c>
      <c r="M2750" t="s">
        <v>636</v>
      </c>
      <c r="N2750" t="s">
        <v>53</v>
      </c>
      <c r="O2750">
        <v>128</v>
      </c>
      <c r="R2750" s="11">
        <v>6.9444444444444444E-5</v>
      </c>
      <c r="S2750" t="s">
        <v>37</v>
      </c>
      <c r="T2750" t="str">
        <f>IF(Tabela1[[#This Row],[STATUS_NEGOCIO]]="Enviar E-mail",1,"")</f>
        <v/>
      </c>
      <c r="U2750" t="str">
        <f>TEXT(Tabela1[[#This Row],[DATA]],"dd/mm/aaaa")</f>
        <v>24/04/2026</v>
      </c>
    </row>
    <row r="2751" spans="1:21" x14ac:dyDescent="0.25">
      <c r="A2751" s="9">
        <v>46136.688530092593</v>
      </c>
      <c r="B2751" t="s">
        <v>19</v>
      </c>
      <c r="C2751" t="s">
        <v>37</v>
      </c>
      <c r="D2751">
        <v>42</v>
      </c>
      <c r="E2751">
        <v>2746258000167</v>
      </c>
      <c r="F2751">
        <v>543</v>
      </c>
      <c r="G2751" s="10">
        <v>177705908958271</v>
      </c>
      <c r="H2751" t="s">
        <v>138</v>
      </c>
      <c r="I2751">
        <v>3003</v>
      </c>
      <c r="J2751" t="s">
        <v>22</v>
      </c>
      <c r="K2751" t="s">
        <v>23</v>
      </c>
      <c r="L2751" t="s">
        <v>31</v>
      </c>
      <c r="M2751" t="s">
        <v>636</v>
      </c>
      <c r="N2751" t="s">
        <v>53</v>
      </c>
      <c r="O2751">
        <v>128</v>
      </c>
      <c r="R2751" s="11">
        <v>8.1018518518518516E-5</v>
      </c>
      <c r="S2751" t="s">
        <v>37</v>
      </c>
      <c r="T2751" t="str">
        <f>IF(Tabela1[[#This Row],[STATUS_NEGOCIO]]="Enviar E-mail",1,"")</f>
        <v/>
      </c>
      <c r="U2751" t="str">
        <f>TEXT(Tabela1[[#This Row],[DATA]],"dd/mm/aaaa")</f>
        <v>24/04/2026</v>
      </c>
    </row>
    <row r="2752" spans="1:21" x14ac:dyDescent="0.25">
      <c r="A2752" s="9">
        <v>46136.688726851855</v>
      </c>
      <c r="B2752" t="s">
        <v>19</v>
      </c>
      <c r="C2752" t="s">
        <v>37</v>
      </c>
      <c r="D2752">
        <v>43</v>
      </c>
      <c r="E2752">
        <v>2755969000106</v>
      </c>
      <c r="F2752">
        <v>544</v>
      </c>
      <c r="G2752" s="10">
        <v>177705910658281</v>
      </c>
      <c r="H2752" t="s">
        <v>207</v>
      </c>
      <c r="I2752">
        <v>3003</v>
      </c>
      <c r="J2752" t="s">
        <v>22</v>
      </c>
      <c r="K2752" t="s">
        <v>23</v>
      </c>
      <c r="L2752" t="s">
        <v>31</v>
      </c>
      <c r="M2752" t="s">
        <v>636</v>
      </c>
      <c r="N2752" t="s">
        <v>53</v>
      </c>
      <c r="O2752">
        <v>147</v>
      </c>
      <c r="R2752" s="11">
        <v>8.1018518518518516E-5</v>
      </c>
      <c r="S2752" t="s">
        <v>37</v>
      </c>
      <c r="T2752" t="str">
        <f>IF(Tabela1[[#This Row],[STATUS_NEGOCIO]]="Enviar E-mail",1,"")</f>
        <v/>
      </c>
      <c r="U2752" t="str">
        <f>TEXT(Tabela1[[#This Row],[DATA]],"dd/mm/aaaa")</f>
        <v>24/04/2026</v>
      </c>
    </row>
    <row r="2753" spans="1:21" x14ac:dyDescent="0.25">
      <c r="A2753" s="9">
        <v>46136.68886574074</v>
      </c>
      <c r="B2753" t="s">
        <v>19</v>
      </c>
      <c r="C2753" t="s">
        <v>37</v>
      </c>
      <c r="D2753">
        <v>44</v>
      </c>
      <c r="E2753">
        <v>2823246000199</v>
      </c>
      <c r="F2753">
        <v>545</v>
      </c>
      <c r="G2753" s="10">
        <v>177705911858311</v>
      </c>
      <c r="H2753" t="s">
        <v>301</v>
      </c>
      <c r="I2753">
        <v>3003</v>
      </c>
      <c r="J2753" t="s">
        <v>22</v>
      </c>
      <c r="K2753" t="s">
        <v>23</v>
      </c>
      <c r="L2753" t="s">
        <v>31</v>
      </c>
      <c r="M2753" t="s">
        <v>636</v>
      </c>
      <c r="N2753" t="s">
        <v>53</v>
      </c>
      <c r="O2753">
        <v>128</v>
      </c>
      <c r="R2753" s="11">
        <v>8.1018518518518516E-5</v>
      </c>
      <c r="S2753" t="s">
        <v>37</v>
      </c>
      <c r="T2753" t="str">
        <f>IF(Tabela1[[#This Row],[STATUS_NEGOCIO]]="Enviar E-mail",1,"")</f>
        <v/>
      </c>
      <c r="U2753" t="str">
        <f>TEXT(Tabela1[[#This Row],[DATA]],"dd/mm/aaaa")</f>
        <v>24/04/2026</v>
      </c>
    </row>
    <row r="2754" spans="1:21" x14ac:dyDescent="0.25">
      <c r="A2754" s="9">
        <v>46136.689247685186</v>
      </c>
      <c r="B2754" t="s">
        <v>19</v>
      </c>
      <c r="C2754" t="s">
        <v>37</v>
      </c>
      <c r="D2754">
        <v>45</v>
      </c>
      <c r="E2754">
        <v>2918682000141</v>
      </c>
      <c r="F2754">
        <v>546</v>
      </c>
      <c r="G2754" s="10">
        <v>177705915158501</v>
      </c>
      <c r="H2754" t="s">
        <v>277</v>
      </c>
      <c r="I2754">
        <v>3003</v>
      </c>
      <c r="J2754" t="s">
        <v>22</v>
      </c>
      <c r="K2754" t="s">
        <v>23</v>
      </c>
      <c r="L2754" t="s">
        <v>31</v>
      </c>
      <c r="M2754" t="s">
        <v>636</v>
      </c>
      <c r="N2754" t="s">
        <v>53</v>
      </c>
      <c r="O2754">
        <v>128</v>
      </c>
      <c r="R2754" s="11">
        <v>8.1018518518518516E-5</v>
      </c>
      <c r="S2754" t="s">
        <v>37</v>
      </c>
      <c r="T2754" t="str">
        <f>IF(Tabela1[[#This Row],[STATUS_NEGOCIO]]="Enviar E-mail",1,"")</f>
        <v/>
      </c>
      <c r="U2754" t="str">
        <f>TEXT(Tabela1[[#This Row],[DATA]],"dd/mm/aaaa")</f>
        <v>24/04/2026</v>
      </c>
    </row>
    <row r="2755" spans="1:21" x14ac:dyDescent="0.25">
      <c r="A2755" s="9">
        <v>46136.689282407409</v>
      </c>
      <c r="B2755" t="s">
        <v>19</v>
      </c>
      <c r="C2755" t="s">
        <v>37</v>
      </c>
      <c r="D2755">
        <v>46</v>
      </c>
      <c r="E2755">
        <v>2961614000165</v>
      </c>
      <c r="F2755">
        <v>547</v>
      </c>
      <c r="G2755" s="10">
        <v>177705915458521</v>
      </c>
      <c r="H2755" t="s">
        <v>192</v>
      </c>
      <c r="I2755" t="s">
        <v>52</v>
      </c>
      <c r="J2755" t="s">
        <v>22</v>
      </c>
      <c r="K2755" t="s">
        <v>36</v>
      </c>
      <c r="L2755" t="s">
        <v>36</v>
      </c>
      <c r="M2755" t="s">
        <v>636</v>
      </c>
      <c r="N2755" t="s">
        <v>53</v>
      </c>
      <c r="O2755">
        <v>19</v>
      </c>
      <c r="R2755" s="11">
        <v>0</v>
      </c>
      <c r="S2755" t="s">
        <v>37</v>
      </c>
      <c r="T2755" t="str">
        <f>IF(Tabela1[[#This Row],[STATUS_NEGOCIO]]="Enviar E-mail",1,"")</f>
        <v/>
      </c>
      <c r="U2755" t="str">
        <f>TEXT(Tabela1[[#This Row],[DATA]],"dd/mm/aaaa")</f>
        <v>24/04/2026</v>
      </c>
    </row>
    <row r="2756" spans="1:21" x14ac:dyDescent="0.25">
      <c r="A2756" s="9">
        <v>46136.68954861111</v>
      </c>
      <c r="B2756" t="s">
        <v>19</v>
      </c>
      <c r="C2756" t="s">
        <v>37</v>
      </c>
      <c r="D2756">
        <v>47</v>
      </c>
      <c r="E2756">
        <v>3063053000140</v>
      </c>
      <c r="F2756">
        <v>548</v>
      </c>
      <c r="G2756" s="10">
        <v>177705917758551</v>
      </c>
      <c r="H2756" t="s">
        <v>302</v>
      </c>
      <c r="I2756">
        <v>3003</v>
      </c>
      <c r="J2756" t="s">
        <v>22</v>
      </c>
      <c r="K2756" t="s">
        <v>23</v>
      </c>
      <c r="L2756" t="s">
        <v>31</v>
      </c>
      <c r="M2756" t="s">
        <v>636</v>
      </c>
      <c r="N2756" t="s">
        <v>53</v>
      </c>
      <c r="O2756">
        <v>128</v>
      </c>
      <c r="R2756" s="11">
        <v>8.1018518518518516E-5</v>
      </c>
      <c r="S2756" t="s">
        <v>37</v>
      </c>
      <c r="T2756" t="str">
        <f>IF(Tabela1[[#This Row],[STATUS_NEGOCIO]]="Enviar E-mail",1,"")</f>
        <v/>
      </c>
      <c r="U2756" t="str">
        <f>TEXT(Tabela1[[#This Row],[DATA]],"dd/mm/aaaa")</f>
        <v>24/04/2026</v>
      </c>
    </row>
    <row r="2757" spans="1:21" x14ac:dyDescent="0.25">
      <c r="A2757" s="9">
        <v>46136.689803240741</v>
      </c>
      <c r="B2757" t="s">
        <v>19</v>
      </c>
      <c r="C2757" t="s">
        <v>37</v>
      </c>
      <c r="D2757">
        <v>48</v>
      </c>
      <c r="E2757">
        <v>3081396000137</v>
      </c>
      <c r="F2757">
        <v>549</v>
      </c>
      <c r="G2757" s="10">
        <v>177705919958631</v>
      </c>
      <c r="H2757" t="s">
        <v>635</v>
      </c>
      <c r="I2757">
        <v>3003</v>
      </c>
      <c r="J2757" t="s">
        <v>22</v>
      </c>
      <c r="K2757" t="s">
        <v>23</v>
      </c>
      <c r="L2757" t="s">
        <v>31</v>
      </c>
      <c r="M2757" t="s">
        <v>636</v>
      </c>
      <c r="N2757" t="s">
        <v>53</v>
      </c>
      <c r="O2757">
        <v>147</v>
      </c>
      <c r="R2757" s="11">
        <v>6.9444444444444444E-5</v>
      </c>
      <c r="S2757" t="s">
        <v>37</v>
      </c>
      <c r="T2757" t="str">
        <f>IF(Tabela1[[#This Row],[STATUS_NEGOCIO]]="Enviar E-mail",1,"")</f>
        <v/>
      </c>
      <c r="U2757" t="str">
        <f>TEXT(Tabela1[[#This Row],[DATA]],"dd/mm/aaaa")</f>
        <v>24/04/2026</v>
      </c>
    </row>
    <row r="2758" spans="1:21" x14ac:dyDescent="0.25">
      <c r="A2758" s="9">
        <v>46136.689849537041</v>
      </c>
      <c r="B2758" t="s">
        <v>19</v>
      </c>
      <c r="C2758" t="s">
        <v>37</v>
      </c>
      <c r="D2758">
        <v>49</v>
      </c>
      <c r="E2758">
        <v>3130917000107</v>
      </c>
      <c r="F2758">
        <v>550</v>
      </c>
      <c r="G2758" s="10">
        <v>177705920358651</v>
      </c>
      <c r="H2758" t="s">
        <v>303</v>
      </c>
      <c r="I2758">
        <v>3003</v>
      </c>
      <c r="J2758" t="s">
        <v>22</v>
      </c>
      <c r="K2758" t="s">
        <v>23</v>
      </c>
      <c r="L2758" t="s">
        <v>31</v>
      </c>
      <c r="M2758" t="s">
        <v>636</v>
      </c>
      <c r="N2758" t="s">
        <v>53</v>
      </c>
      <c r="O2758">
        <v>147</v>
      </c>
      <c r="R2758" s="11">
        <v>8.1018518518518516E-5</v>
      </c>
      <c r="S2758" t="s">
        <v>37</v>
      </c>
      <c r="T2758" t="str">
        <f>IF(Tabela1[[#This Row],[STATUS_NEGOCIO]]="Enviar E-mail",1,"")</f>
        <v/>
      </c>
      <c r="U2758" t="str">
        <f>TEXT(Tabela1[[#This Row],[DATA]],"dd/mm/aaaa")</f>
        <v>24/04/2026</v>
      </c>
    </row>
    <row r="2759" spans="1:21" x14ac:dyDescent="0.25">
      <c r="A2759" s="9">
        <v>46136.690266203703</v>
      </c>
      <c r="B2759" t="s">
        <v>19</v>
      </c>
      <c r="C2759" t="s">
        <v>37</v>
      </c>
      <c r="D2759">
        <v>50</v>
      </c>
      <c r="E2759">
        <v>3135802000105</v>
      </c>
      <c r="F2759">
        <v>551</v>
      </c>
      <c r="G2759" s="10">
        <v>177705923958791</v>
      </c>
      <c r="H2759" t="s">
        <v>304</v>
      </c>
      <c r="I2759">
        <v>3003</v>
      </c>
      <c r="J2759" t="s">
        <v>22</v>
      </c>
      <c r="K2759" t="s">
        <v>23</v>
      </c>
      <c r="L2759" t="s">
        <v>31</v>
      </c>
      <c r="M2759" t="s">
        <v>636</v>
      </c>
      <c r="N2759" t="s">
        <v>53</v>
      </c>
      <c r="O2759">
        <v>128</v>
      </c>
      <c r="R2759" s="11">
        <v>8.1018518518518516E-5</v>
      </c>
      <c r="S2759" t="s">
        <v>37</v>
      </c>
      <c r="T2759" t="str">
        <f>IF(Tabela1[[#This Row],[STATUS_NEGOCIO]]="Enviar E-mail",1,"")</f>
        <v/>
      </c>
      <c r="U2759" t="str">
        <f>TEXT(Tabela1[[#This Row],[DATA]],"dd/mm/aaaa")</f>
        <v>24/04/2026</v>
      </c>
    </row>
    <row r="2760" spans="1:21" x14ac:dyDescent="0.25">
      <c r="A2760" s="9">
        <v>46136.690347222226</v>
      </c>
      <c r="B2760" t="s">
        <v>19</v>
      </c>
      <c r="C2760" t="s">
        <v>37</v>
      </c>
      <c r="D2760">
        <v>51</v>
      </c>
      <c r="E2760">
        <v>3276131000194</v>
      </c>
      <c r="F2760">
        <v>552</v>
      </c>
      <c r="G2760" s="10">
        <v>177705924658811</v>
      </c>
      <c r="H2760" t="s">
        <v>210</v>
      </c>
      <c r="I2760">
        <v>3003</v>
      </c>
      <c r="J2760" t="s">
        <v>22</v>
      </c>
      <c r="K2760" t="s">
        <v>23</v>
      </c>
      <c r="L2760" t="s">
        <v>31</v>
      </c>
      <c r="M2760" t="s">
        <v>636</v>
      </c>
      <c r="N2760" t="s">
        <v>53</v>
      </c>
      <c r="O2760">
        <v>147</v>
      </c>
      <c r="R2760" s="11">
        <v>8.1018518518518516E-5</v>
      </c>
      <c r="S2760" t="s">
        <v>37</v>
      </c>
      <c r="T2760" t="str">
        <f>IF(Tabela1[[#This Row],[STATUS_NEGOCIO]]="Enviar E-mail",1,"")</f>
        <v/>
      </c>
      <c r="U2760" t="str">
        <f>TEXT(Tabela1[[#This Row],[DATA]],"dd/mm/aaaa")</f>
        <v>24/04/2026</v>
      </c>
    </row>
    <row r="2761" spans="1:21" x14ac:dyDescent="0.25">
      <c r="A2761" s="9">
        <v>46136.690428240741</v>
      </c>
      <c r="B2761" t="s">
        <v>19</v>
      </c>
      <c r="C2761" t="s">
        <v>37</v>
      </c>
      <c r="D2761">
        <v>52</v>
      </c>
      <c r="E2761">
        <v>3311811000100</v>
      </c>
      <c r="F2761">
        <v>553</v>
      </c>
      <c r="G2761" s="10">
        <v>177705925358871</v>
      </c>
      <c r="H2761" t="s">
        <v>305</v>
      </c>
      <c r="I2761">
        <v>3003</v>
      </c>
      <c r="J2761" t="s">
        <v>22</v>
      </c>
      <c r="K2761" t="s">
        <v>23</v>
      </c>
      <c r="L2761" t="s">
        <v>31</v>
      </c>
      <c r="M2761" t="s">
        <v>636</v>
      </c>
      <c r="N2761" t="s">
        <v>53</v>
      </c>
      <c r="O2761">
        <v>147</v>
      </c>
      <c r="R2761" s="11">
        <v>8.1018518518518516E-5</v>
      </c>
      <c r="S2761" t="s">
        <v>37</v>
      </c>
      <c r="T2761" t="str">
        <f>IF(Tabela1[[#This Row],[STATUS_NEGOCIO]]="Enviar E-mail",1,"")</f>
        <v/>
      </c>
      <c r="U2761" t="str">
        <f>TEXT(Tabela1[[#This Row],[DATA]],"dd/mm/aaaa")</f>
        <v>24/04/2026</v>
      </c>
    </row>
    <row r="2762" spans="1:21" x14ac:dyDescent="0.25">
      <c r="A2762" s="9">
        <v>46136.690532407411</v>
      </c>
      <c r="B2762" t="s">
        <v>19</v>
      </c>
      <c r="C2762" t="s">
        <v>37</v>
      </c>
      <c r="D2762">
        <v>53</v>
      </c>
      <c r="E2762">
        <v>3463826000185</v>
      </c>
      <c r="F2762">
        <v>554</v>
      </c>
      <c r="G2762" s="10">
        <v>177705926258931</v>
      </c>
      <c r="H2762" t="s">
        <v>306</v>
      </c>
      <c r="I2762">
        <v>3003</v>
      </c>
      <c r="J2762" t="s">
        <v>22</v>
      </c>
      <c r="K2762" t="s">
        <v>23</v>
      </c>
      <c r="L2762" t="s">
        <v>31</v>
      </c>
      <c r="M2762" t="s">
        <v>636</v>
      </c>
      <c r="N2762" t="s">
        <v>53</v>
      </c>
      <c r="O2762">
        <v>128</v>
      </c>
      <c r="R2762" s="11">
        <v>8.1018518518518516E-5</v>
      </c>
      <c r="S2762" t="s">
        <v>37</v>
      </c>
      <c r="T2762" t="str">
        <f>IF(Tabela1[[#This Row],[STATUS_NEGOCIO]]="Enviar E-mail",1,"")</f>
        <v/>
      </c>
      <c r="U2762" t="str">
        <f>TEXT(Tabela1[[#This Row],[DATA]],"dd/mm/aaaa")</f>
        <v>24/04/2026</v>
      </c>
    </row>
    <row r="2763" spans="1:21" x14ac:dyDescent="0.25">
      <c r="A2763" s="9">
        <v>46136.690706018519</v>
      </c>
      <c r="B2763" t="s">
        <v>19</v>
      </c>
      <c r="C2763" t="s">
        <v>37</v>
      </c>
      <c r="D2763">
        <v>54</v>
      </c>
      <c r="E2763">
        <v>3478949000190</v>
      </c>
      <c r="F2763">
        <v>555</v>
      </c>
      <c r="G2763" s="10">
        <v>177705927758951</v>
      </c>
      <c r="H2763" t="s">
        <v>307</v>
      </c>
      <c r="I2763">
        <v>3003</v>
      </c>
      <c r="J2763" t="s">
        <v>22</v>
      </c>
      <c r="K2763" t="s">
        <v>23</v>
      </c>
      <c r="L2763" t="s">
        <v>31</v>
      </c>
      <c r="M2763" t="s">
        <v>636</v>
      </c>
      <c r="N2763" t="s">
        <v>53</v>
      </c>
      <c r="O2763">
        <v>147</v>
      </c>
      <c r="R2763" s="11">
        <v>8.1018518518518516E-5</v>
      </c>
      <c r="S2763" t="s">
        <v>37</v>
      </c>
      <c r="T2763" t="str">
        <f>IF(Tabela1[[#This Row],[STATUS_NEGOCIO]]="Enviar E-mail",1,"")</f>
        <v/>
      </c>
      <c r="U2763" t="str">
        <f>TEXT(Tabela1[[#This Row],[DATA]],"dd/mm/aaaa")</f>
        <v>24/04/2026</v>
      </c>
    </row>
    <row r="2764" spans="1:21" x14ac:dyDescent="0.25">
      <c r="A2764" s="9">
        <v>46136.69085648148</v>
      </c>
      <c r="B2764" t="s">
        <v>19</v>
      </c>
      <c r="C2764" t="s">
        <v>20</v>
      </c>
      <c r="D2764">
        <v>55</v>
      </c>
      <c r="E2764">
        <v>3488597000153</v>
      </c>
      <c r="F2764">
        <v>556</v>
      </c>
      <c r="G2764" s="10">
        <v>177705929058991</v>
      </c>
      <c r="H2764" t="s">
        <v>308</v>
      </c>
      <c r="I2764">
        <v>3003</v>
      </c>
      <c r="J2764" t="s">
        <v>22</v>
      </c>
      <c r="K2764" t="s">
        <v>23</v>
      </c>
      <c r="L2764" t="s">
        <v>219</v>
      </c>
      <c r="M2764" t="s">
        <v>636</v>
      </c>
      <c r="N2764" t="s">
        <v>26</v>
      </c>
      <c r="O2764">
        <v>16</v>
      </c>
      <c r="R2764" s="11">
        <v>9.2592592592592588E-5</v>
      </c>
      <c r="S2764" s="11">
        <v>3.4722222222222222E-5</v>
      </c>
      <c r="T2764" t="str">
        <f>IF(Tabela1[[#This Row],[STATUS_NEGOCIO]]="Enviar E-mail",1,"")</f>
        <v/>
      </c>
      <c r="U2764" t="str">
        <f>TEXT(Tabela1[[#This Row],[DATA]],"dd/mm/aaaa")</f>
        <v>24/04/2026</v>
      </c>
    </row>
    <row r="2765" spans="1:21" x14ac:dyDescent="0.25">
      <c r="A2765" s="9">
        <v>46136.690937500003</v>
      </c>
      <c r="B2765" t="s">
        <v>19</v>
      </c>
      <c r="C2765" t="s">
        <v>37</v>
      </c>
      <c r="D2765">
        <v>59</v>
      </c>
      <c r="E2765">
        <v>3904574000182</v>
      </c>
      <c r="F2765">
        <v>557</v>
      </c>
      <c r="G2765" s="10">
        <v>177705929759011</v>
      </c>
      <c r="H2765" t="s">
        <v>312</v>
      </c>
      <c r="I2765">
        <v>3003</v>
      </c>
      <c r="J2765" t="s">
        <v>22</v>
      </c>
      <c r="K2765" t="s">
        <v>23</v>
      </c>
      <c r="L2765" t="s">
        <v>31</v>
      </c>
      <c r="M2765" t="s">
        <v>636</v>
      </c>
      <c r="N2765" t="s">
        <v>53</v>
      </c>
      <c r="O2765">
        <v>128</v>
      </c>
      <c r="R2765" s="11">
        <v>6.9444444444444444E-5</v>
      </c>
      <c r="S2765" t="s">
        <v>37</v>
      </c>
      <c r="T2765" t="str">
        <f>IF(Tabela1[[#This Row],[STATUS_NEGOCIO]]="Enviar E-mail",1,"")</f>
        <v/>
      </c>
      <c r="U2765" t="str">
        <f>TEXT(Tabela1[[#This Row],[DATA]],"dd/mm/aaaa")</f>
        <v>24/04/2026</v>
      </c>
    </row>
    <row r="2766" spans="1:21" x14ac:dyDescent="0.25">
      <c r="A2766" s="9">
        <v>46136.691111111111</v>
      </c>
      <c r="B2766" t="s">
        <v>19</v>
      </c>
      <c r="C2766" t="s">
        <v>37</v>
      </c>
      <c r="D2766">
        <v>60</v>
      </c>
      <c r="E2766">
        <v>3954733000153</v>
      </c>
      <c r="F2766">
        <v>558</v>
      </c>
      <c r="G2766" s="10">
        <v>177705931259161</v>
      </c>
      <c r="H2766" t="s">
        <v>313</v>
      </c>
      <c r="I2766">
        <v>3003</v>
      </c>
      <c r="J2766" t="s">
        <v>22</v>
      </c>
      <c r="K2766" t="s">
        <v>23</v>
      </c>
      <c r="L2766" t="s">
        <v>31</v>
      </c>
      <c r="M2766" t="s">
        <v>636</v>
      </c>
      <c r="N2766" t="s">
        <v>53</v>
      </c>
      <c r="O2766">
        <v>128</v>
      </c>
      <c r="R2766" s="11">
        <v>8.1018518518518516E-5</v>
      </c>
      <c r="S2766" t="s">
        <v>37</v>
      </c>
      <c r="T2766" t="str">
        <f>IF(Tabela1[[#This Row],[STATUS_NEGOCIO]]="Enviar E-mail",1,"")</f>
        <v/>
      </c>
      <c r="U2766" t="str">
        <f>TEXT(Tabela1[[#This Row],[DATA]],"dd/mm/aaaa")</f>
        <v>24/04/2026</v>
      </c>
    </row>
    <row r="2767" spans="1:21" x14ac:dyDescent="0.25">
      <c r="A2767" s="9">
        <v>46136.691122685188</v>
      </c>
      <c r="B2767" t="s">
        <v>19</v>
      </c>
      <c r="C2767" t="s">
        <v>20</v>
      </c>
      <c r="D2767">
        <v>61</v>
      </c>
      <c r="E2767">
        <v>3995747000115</v>
      </c>
      <c r="F2767">
        <v>559</v>
      </c>
      <c r="G2767" s="10">
        <v>177705931359181</v>
      </c>
      <c r="H2767" t="s">
        <v>314</v>
      </c>
      <c r="I2767">
        <v>3003</v>
      </c>
      <c r="J2767" t="s">
        <v>22</v>
      </c>
      <c r="K2767" t="s">
        <v>23</v>
      </c>
      <c r="L2767" t="s">
        <v>95</v>
      </c>
      <c r="M2767" t="s">
        <v>636</v>
      </c>
      <c r="N2767" t="s">
        <v>32</v>
      </c>
      <c r="O2767">
        <v>16</v>
      </c>
      <c r="R2767" s="11">
        <v>4.0509259259259258E-4</v>
      </c>
      <c r="S2767" s="11">
        <v>3.4722222222222224E-4</v>
      </c>
      <c r="T2767" t="str">
        <f>IF(Tabela1[[#This Row],[STATUS_NEGOCIO]]="Enviar E-mail",1,"")</f>
        <v/>
      </c>
      <c r="U2767" t="str">
        <f>TEXT(Tabela1[[#This Row],[DATA]],"dd/mm/aaaa")</f>
        <v>24/04/2026</v>
      </c>
    </row>
    <row r="2768" spans="1:21" x14ac:dyDescent="0.25">
      <c r="A2768" s="9">
        <v>46136.691550925927</v>
      </c>
      <c r="B2768" t="s">
        <v>19</v>
      </c>
      <c r="C2768" t="s">
        <v>37</v>
      </c>
      <c r="D2768">
        <v>62</v>
      </c>
      <c r="E2768">
        <v>4028062000162</v>
      </c>
      <c r="F2768">
        <v>560</v>
      </c>
      <c r="G2768" s="10">
        <v>177705935059301</v>
      </c>
      <c r="H2768" t="s">
        <v>315</v>
      </c>
      <c r="I2768">
        <v>3003</v>
      </c>
      <c r="J2768" t="s">
        <v>22</v>
      </c>
      <c r="K2768" t="s">
        <v>23</v>
      </c>
      <c r="L2768" t="s">
        <v>31</v>
      </c>
      <c r="M2768" t="s">
        <v>636</v>
      </c>
      <c r="N2768" t="s">
        <v>53</v>
      </c>
      <c r="O2768">
        <v>128</v>
      </c>
      <c r="R2768" s="11">
        <v>8.1018518518518516E-5</v>
      </c>
      <c r="S2768" t="s">
        <v>37</v>
      </c>
      <c r="T2768" t="str">
        <f>IF(Tabela1[[#This Row],[STATUS_NEGOCIO]]="Enviar E-mail",1,"")</f>
        <v/>
      </c>
      <c r="U2768" t="str">
        <f>TEXT(Tabela1[[#This Row],[DATA]],"dd/mm/aaaa")</f>
        <v>24/04/2026</v>
      </c>
    </row>
    <row r="2769" spans="1:21" x14ac:dyDescent="0.25">
      <c r="A2769" s="9">
        <v>46136.691620370373</v>
      </c>
      <c r="B2769" t="s">
        <v>19</v>
      </c>
      <c r="C2769" t="s">
        <v>37</v>
      </c>
      <c r="D2769">
        <v>63</v>
      </c>
      <c r="E2769">
        <v>4044746000158</v>
      </c>
      <c r="F2769">
        <v>561</v>
      </c>
      <c r="G2769" s="10">
        <v>177705935659321</v>
      </c>
      <c r="H2769" t="s">
        <v>110</v>
      </c>
      <c r="I2769">
        <v>3003</v>
      </c>
      <c r="J2769" t="s">
        <v>22</v>
      </c>
      <c r="K2769" t="s">
        <v>23</v>
      </c>
      <c r="L2769" t="s">
        <v>31</v>
      </c>
      <c r="M2769" t="s">
        <v>636</v>
      </c>
      <c r="N2769" t="s">
        <v>53</v>
      </c>
      <c r="O2769">
        <v>128</v>
      </c>
      <c r="R2769" s="11">
        <v>8.1018518518518516E-5</v>
      </c>
      <c r="S2769" t="s">
        <v>37</v>
      </c>
      <c r="T2769" t="str">
        <f>IF(Tabela1[[#This Row],[STATUS_NEGOCIO]]="Enviar E-mail",1,"")</f>
        <v/>
      </c>
      <c r="U2769" t="str">
        <f>TEXT(Tabela1[[#This Row],[DATA]],"dd/mm/aaaa")</f>
        <v>24/04/2026</v>
      </c>
    </row>
    <row r="2770" spans="1:21" x14ac:dyDescent="0.25">
      <c r="A2770" s="9">
        <v>46136.691724537035</v>
      </c>
      <c r="B2770" t="s">
        <v>19</v>
      </c>
      <c r="C2770" t="s">
        <v>37</v>
      </c>
      <c r="D2770">
        <v>64</v>
      </c>
      <c r="E2770">
        <v>4048649000133</v>
      </c>
      <c r="F2770">
        <v>562</v>
      </c>
      <c r="G2770" s="10">
        <v>177705936559381</v>
      </c>
      <c r="H2770" t="s">
        <v>137</v>
      </c>
      <c r="I2770">
        <v>3003</v>
      </c>
      <c r="J2770" t="s">
        <v>22</v>
      </c>
      <c r="K2770" t="s">
        <v>23</v>
      </c>
      <c r="L2770" t="s">
        <v>31</v>
      </c>
      <c r="M2770" t="s">
        <v>636</v>
      </c>
      <c r="N2770" t="s">
        <v>53</v>
      </c>
      <c r="O2770">
        <v>128</v>
      </c>
      <c r="R2770" s="11">
        <v>8.1018518518518516E-5</v>
      </c>
      <c r="S2770" t="s">
        <v>37</v>
      </c>
      <c r="T2770" t="str">
        <f>IF(Tabela1[[#This Row],[STATUS_NEGOCIO]]="Enviar E-mail",1,"")</f>
        <v/>
      </c>
      <c r="U2770" t="str">
        <f>TEXT(Tabela1[[#This Row],[DATA]],"dd/mm/aaaa")</f>
        <v>24/04/2026</v>
      </c>
    </row>
    <row r="2771" spans="1:21" x14ac:dyDescent="0.25">
      <c r="A2771" s="9">
        <v>46136.691770833335</v>
      </c>
      <c r="B2771" t="s">
        <v>19</v>
      </c>
      <c r="C2771" t="s">
        <v>37</v>
      </c>
      <c r="D2771">
        <v>66</v>
      </c>
      <c r="E2771">
        <v>4137354000133</v>
      </c>
      <c r="F2771">
        <v>563</v>
      </c>
      <c r="G2771" s="10">
        <v>177705936959401</v>
      </c>
      <c r="H2771" t="s">
        <v>136</v>
      </c>
      <c r="I2771">
        <v>3003</v>
      </c>
      <c r="J2771" t="s">
        <v>22</v>
      </c>
      <c r="K2771" t="s">
        <v>23</v>
      </c>
      <c r="L2771" t="s">
        <v>31</v>
      </c>
      <c r="M2771" t="s">
        <v>636</v>
      </c>
      <c r="N2771" t="s">
        <v>53</v>
      </c>
      <c r="O2771">
        <v>128</v>
      </c>
      <c r="R2771" s="11">
        <v>8.1018518518518516E-5</v>
      </c>
      <c r="S2771" t="s">
        <v>37</v>
      </c>
      <c r="T2771" t="str">
        <f>IF(Tabela1[[#This Row],[STATUS_NEGOCIO]]="Enviar E-mail",1,"")</f>
        <v/>
      </c>
      <c r="U2771" t="str">
        <f>TEXT(Tabela1[[#This Row],[DATA]],"dd/mm/aaaa")</f>
        <v>24/04/2026</v>
      </c>
    </row>
    <row r="2772" spans="1:21" x14ac:dyDescent="0.25">
      <c r="A2772" s="9">
        <v>46136.691886574074</v>
      </c>
      <c r="B2772" t="s">
        <v>19</v>
      </c>
      <c r="C2772" t="s">
        <v>37</v>
      </c>
      <c r="D2772">
        <v>67</v>
      </c>
      <c r="E2772">
        <v>4160599000181</v>
      </c>
      <c r="F2772">
        <v>564</v>
      </c>
      <c r="G2772" s="10">
        <v>177705937959421</v>
      </c>
      <c r="H2772" t="s">
        <v>238</v>
      </c>
      <c r="I2772">
        <v>3003</v>
      </c>
      <c r="J2772" t="s">
        <v>22</v>
      </c>
      <c r="K2772" t="s">
        <v>23</v>
      </c>
      <c r="L2772" t="s">
        <v>31</v>
      </c>
      <c r="M2772" t="s">
        <v>636</v>
      </c>
      <c r="N2772" t="s">
        <v>53</v>
      </c>
      <c r="O2772">
        <v>128</v>
      </c>
      <c r="R2772" s="11">
        <v>8.1018518518518516E-5</v>
      </c>
      <c r="S2772" t="s">
        <v>37</v>
      </c>
      <c r="T2772" t="str">
        <f>IF(Tabela1[[#This Row],[STATUS_NEGOCIO]]="Enviar E-mail",1,"")</f>
        <v/>
      </c>
      <c r="U2772" t="str">
        <f>TEXT(Tabela1[[#This Row],[DATA]],"dd/mm/aaaa")</f>
        <v>24/04/2026</v>
      </c>
    </row>
    <row r="2773" spans="1:21" x14ac:dyDescent="0.25">
      <c r="A2773" s="9">
        <v>46136.692141203705</v>
      </c>
      <c r="B2773" t="s">
        <v>19</v>
      </c>
      <c r="C2773" t="s">
        <v>37</v>
      </c>
      <c r="D2773">
        <v>68</v>
      </c>
      <c r="E2773">
        <v>4356149000169</v>
      </c>
      <c r="F2773">
        <v>565</v>
      </c>
      <c r="G2773" s="10">
        <v>177705940159491</v>
      </c>
      <c r="H2773" t="s">
        <v>317</v>
      </c>
      <c r="I2773">
        <v>3003</v>
      </c>
      <c r="J2773" t="s">
        <v>22</v>
      </c>
      <c r="K2773" t="s">
        <v>23</v>
      </c>
      <c r="L2773" t="s">
        <v>31</v>
      </c>
      <c r="M2773" t="s">
        <v>636</v>
      </c>
      <c r="N2773" t="s">
        <v>53</v>
      </c>
      <c r="O2773">
        <v>128</v>
      </c>
      <c r="R2773" s="11">
        <v>8.1018518518518516E-5</v>
      </c>
      <c r="S2773" t="s">
        <v>37</v>
      </c>
      <c r="T2773" t="str">
        <f>IF(Tabela1[[#This Row],[STATUS_NEGOCIO]]="Enviar E-mail",1,"")</f>
        <v/>
      </c>
      <c r="U2773" t="str">
        <f>TEXT(Tabela1[[#This Row],[DATA]],"dd/mm/aaaa")</f>
        <v>24/04/2026</v>
      </c>
    </row>
    <row r="2774" spans="1:21" x14ac:dyDescent="0.25">
      <c r="A2774" s="9">
        <v>46136.697523148148</v>
      </c>
      <c r="B2774" t="s">
        <v>19</v>
      </c>
      <c r="C2774" t="s">
        <v>37</v>
      </c>
      <c r="D2774">
        <v>69</v>
      </c>
      <c r="E2774">
        <v>4371864000170</v>
      </c>
      <c r="F2774">
        <v>566</v>
      </c>
      <c r="G2774" s="10">
        <v>177705986660541</v>
      </c>
      <c r="H2774" t="s">
        <v>318</v>
      </c>
      <c r="I2774">
        <v>3003</v>
      </c>
      <c r="J2774" t="s">
        <v>22</v>
      </c>
      <c r="K2774" t="s">
        <v>23</v>
      </c>
      <c r="L2774" t="s">
        <v>31</v>
      </c>
      <c r="M2774" t="s">
        <v>636</v>
      </c>
      <c r="N2774" t="s">
        <v>53</v>
      </c>
      <c r="O2774">
        <v>128</v>
      </c>
      <c r="R2774" s="11">
        <v>8.1018518518518516E-5</v>
      </c>
      <c r="S2774" t="s">
        <v>37</v>
      </c>
      <c r="T2774" t="str">
        <f>IF(Tabela1[[#This Row],[STATUS_NEGOCIO]]="Enviar E-mail",1,"")</f>
        <v/>
      </c>
      <c r="U2774" t="str">
        <f>TEXT(Tabela1[[#This Row],[DATA]],"dd/mm/aaaa")</f>
        <v>24/04/2026</v>
      </c>
    </row>
    <row r="2775" spans="1:21" x14ac:dyDescent="0.25">
      <c r="A2775" s="9">
        <v>46136.697523148148</v>
      </c>
      <c r="B2775" t="s">
        <v>19</v>
      </c>
      <c r="C2775" t="s">
        <v>37</v>
      </c>
      <c r="D2775">
        <v>71</v>
      </c>
      <c r="E2775">
        <v>4433625000106</v>
      </c>
      <c r="F2775">
        <v>567</v>
      </c>
      <c r="G2775" s="10">
        <v>177705986660551</v>
      </c>
      <c r="H2775" t="s">
        <v>320</v>
      </c>
      <c r="I2775">
        <v>3003</v>
      </c>
      <c r="J2775" t="s">
        <v>22</v>
      </c>
      <c r="K2775" t="s">
        <v>23</v>
      </c>
      <c r="L2775" t="s">
        <v>31</v>
      </c>
      <c r="M2775" t="s">
        <v>636</v>
      </c>
      <c r="N2775" t="s">
        <v>53</v>
      </c>
      <c r="O2775">
        <v>128</v>
      </c>
      <c r="R2775" s="11">
        <v>8.1018518518518516E-5</v>
      </c>
      <c r="S2775" t="s">
        <v>37</v>
      </c>
      <c r="T2775" t="str">
        <f>IF(Tabela1[[#This Row],[STATUS_NEGOCIO]]="Enviar E-mail",1,"")</f>
        <v/>
      </c>
      <c r="U2775" t="str">
        <f>TEXT(Tabela1[[#This Row],[DATA]],"dd/mm/aaaa")</f>
        <v>24/04/2026</v>
      </c>
    </row>
    <row r="2776" spans="1:21" x14ac:dyDescent="0.25">
      <c r="A2776" s="9">
        <v>46136.69767361111</v>
      </c>
      <c r="B2776" t="s">
        <v>19</v>
      </c>
      <c r="C2776" t="s">
        <v>37</v>
      </c>
      <c r="D2776">
        <v>73</v>
      </c>
      <c r="E2776">
        <v>4728735000197</v>
      </c>
      <c r="F2776">
        <v>568</v>
      </c>
      <c r="G2776" s="10">
        <v>177705987960571</v>
      </c>
      <c r="H2776" t="s">
        <v>321</v>
      </c>
      <c r="I2776">
        <v>3003</v>
      </c>
      <c r="J2776" t="s">
        <v>22</v>
      </c>
      <c r="K2776" t="s">
        <v>23</v>
      </c>
      <c r="L2776" t="s">
        <v>31</v>
      </c>
      <c r="M2776" t="s">
        <v>636</v>
      </c>
      <c r="N2776" t="s">
        <v>53</v>
      </c>
      <c r="O2776">
        <v>128</v>
      </c>
      <c r="R2776" s="11">
        <v>8.1018518518518516E-5</v>
      </c>
      <c r="S2776" t="s">
        <v>37</v>
      </c>
      <c r="T2776" t="str">
        <f>IF(Tabela1[[#This Row],[STATUS_NEGOCIO]]="Enviar E-mail",1,"")</f>
        <v/>
      </c>
      <c r="U2776" t="str">
        <f>TEXT(Tabela1[[#This Row],[DATA]],"dd/mm/aaaa")</f>
        <v>24/04/2026</v>
      </c>
    </row>
    <row r="2777" spans="1:21" x14ac:dyDescent="0.25">
      <c r="A2777" s="9">
        <v>46136.69809027778</v>
      </c>
      <c r="B2777" t="s">
        <v>19</v>
      </c>
      <c r="C2777" t="s">
        <v>37</v>
      </c>
      <c r="D2777">
        <v>74</v>
      </c>
      <c r="E2777">
        <v>4900076000124</v>
      </c>
      <c r="F2777">
        <v>569</v>
      </c>
      <c r="G2777" s="10">
        <v>177705991560631</v>
      </c>
      <c r="H2777" t="s">
        <v>322</v>
      </c>
      <c r="I2777">
        <v>3003</v>
      </c>
      <c r="J2777" t="s">
        <v>22</v>
      </c>
      <c r="K2777" t="s">
        <v>23</v>
      </c>
      <c r="L2777" t="s">
        <v>31</v>
      </c>
      <c r="M2777" t="s">
        <v>636</v>
      </c>
      <c r="N2777" t="s">
        <v>53</v>
      </c>
      <c r="O2777">
        <v>128</v>
      </c>
      <c r="R2777" s="11">
        <v>8.1018518518518516E-5</v>
      </c>
      <c r="S2777" t="s">
        <v>37</v>
      </c>
      <c r="T2777" t="str">
        <f>IF(Tabela1[[#This Row],[STATUS_NEGOCIO]]="Enviar E-mail",1,"")</f>
        <v/>
      </c>
      <c r="U2777" t="str">
        <f>TEXT(Tabela1[[#This Row],[DATA]],"dd/mm/aaaa")</f>
        <v>24/04/2026</v>
      </c>
    </row>
    <row r="2778" spans="1:21" x14ac:dyDescent="0.25">
      <c r="A2778" s="9">
        <v>46136.698182870372</v>
      </c>
      <c r="B2778" t="s">
        <v>19</v>
      </c>
      <c r="C2778" t="s">
        <v>37</v>
      </c>
      <c r="D2778">
        <v>75</v>
      </c>
      <c r="E2778">
        <v>4987252000107</v>
      </c>
      <c r="F2778">
        <v>570</v>
      </c>
      <c r="G2778" s="10">
        <v>177705992360651</v>
      </c>
      <c r="H2778" t="s">
        <v>323</v>
      </c>
      <c r="I2778">
        <v>3003</v>
      </c>
      <c r="J2778" t="s">
        <v>22</v>
      </c>
      <c r="K2778" t="s">
        <v>23</v>
      </c>
      <c r="L2778" t="s">
        <v>31</v>
      </c>
      <c r="M2778" t="s">
        <v>636</v>
      </c>
      <c r="N2778" t="s">
        <v>53</v>
      </c>
      <c r="O2778">
        <v>128</v>
      </c>
      <c r="R2778" s="11">
        <v>8.1018518518518516E-5</v>
      </c>
      <c r="S2778" t="s">
        <v>37</v>
      </c>
      <c r="T2778" t="str">
        <f>IF(Tabela1[[#This Row],[STATUS_NEGOCIO]]="Enviar E-mail",1,"")</f>
        <v/>
      </c>
      <c r="U2778" t="str">
        <f>TEXT(Tabela1[[#This Row],[DATA]],"dd/mm/aaaa")</f>
        <v>24/04/2026</v>
      </c>
    </row>
    <row r="2779" spans="1:21" x14ac:dyDescent="0.25">
      <c r="A2779" s="9">
        <v>46136.698206018518</v>
      </c>
      <c r="B2779" t="s">
        <v>19</v>
      </c>
      <c r="C2779" t="s">
        <v>37</v>
      </c>
      <c r="D2779">
        <v>76</v>
      </c>
      <c r="E2779">
        <v>5068583000106</v>
      </c>
      <c r="F2779">
        <v>571</v>
      </c>
      <c r="G2779" s="10">
        <v>177705992560671</v>
      </c>
      <c r="H2779" t="s">
        <v>174</v>
      </c>
      <c r="I2779">
        <v>3003</v>
      </c>
      <c r="J2779" t="s">
        <v>22</v>
      </c>
      <c r="K2779" t="s">
        <v>23</v>
      </c>
      <c r="L2779" t="s">
        <v>31</v>
      </c>
      <c r="M2779" t="s">
        <v>636</v>
      </c>
      <c r="N2779" t="s">
        <v>53</v>
      </c>
      <c r="O2779">
        <v>128</v>
      </c>
      <c r="R2779" s="11">
        <v>8.1018518518518516E-5</v>
      </c>
      <c r="S2779" t="s">
        <v>37</v>
      </c>
      <c r="T2779" t="str">
        <f>IF(Tabela1[[#This Row],[STATUS_NEGOCIO]]="Enviar E-mail",1,"")</f>
        <v/>
      </c>
      <c r="U2779" t="str">
        <f>TEXT(Tabela1[[#This Row],[DATA]],"dd/mm/aaaa")</f>
        <v>24/04/2026</v>
      </c>
    </row>
    <row r="2780" spans="1:21" x14ac:dyDescent="0.25">
      <c r="A2780" s="9">
        <v>46136.69835648148</v>
      </c>
      <c r="B2780" t="s">
        <v>19</v>
      </c>
      <c r="C2780" t="s">
        <v>37</v>
      </c>
      <c r="D2780">
        <v>77</v>
      </c>
      <c r="E2780">
        <v>5105470000133</v>
      </c>
      <c r="F2780">
        <v>572</v>
      </c>
      <c r="G2780" s="10">
        <v>177705993860691</v>
      </c>
      <c r="H2780" t="s">
        <v>274</v>
      </c>
      <c r="I2780">
        <v>3003</v>
      </c>
      <c r="J2780" t="s">
        <v>22</v>
      </c>
      <c r="K2780" t="s">
        <v>23</v>
      </c>
      <c r="L2780" t="s">
        <v>31</v>
      </c>
      <c r="M2780" t="s">
        <v>636</v>
      </c>
      <c r="N2780" t="s">
        <v>53</v>
      </c>
      <c r="O2780">
        <v>128</v>
      </c>
      <c r="R2780" s="11">
        <v>8.1018518518518516E-5</v>
      </c>
      <c r="S2780" t="s">
        <v>37</v>
      </c>
      <c r="T2780" t="str">
        <f>IF(Tabela1[[#This Row],[STATUS_NEGOCIO]]="Enviar E-mail",1,"")</f>
        <v/>
      </c>
      <c r="U2780" t="str">
        <f>TEXT(Tabela1[[#This Row],[DATA]],"dd/mm/aaaa")</f>
        <v>24/04/2026</v>
      </c>
    </row>
    <row r="2781" spans="1:21" x14ac:dyDescent="0.25">
      <c r="A2781" s="9">
        <v>46136.698460648149</v>
      </c>
      <c r="B2781" t="s">
        <v>19</v>
      </c>
      <c r="C2781" t="s">
        <v>37</v>
      </c>
      <c r="D2781">
        <v>78</v>
      </c>
      <c r="E2781">
        <v>5124020000198</v>
      </c>
      <c r="F2781">
        <v>573</v>
      </c>
      <c r="G2781" s="10">
        <v>177705994760711</v>
      </c>
      <c r="H2781" t="s">
        <v>268</v>
      </c>
      <c r="I2781">
        <v>3003</v>
      </c>
      <c r="J2781" t="s">
        <v>22</v>
      </c>
      <c r="K2781" t="s">
        <v>23</v>
      </c>
      <c r="L2781" t="s">
        <v>31</v>
      </c>
      <c r="M2781" t="s">
        <v>636</v>
      </c>
      <c r="N2781" t="s">
        <v>53</v>
      </c>
      <c r="O2781">
        <v>128</v>
      </c>
      <c r="R2781" s="11">
        <v>8.1018518518518516E-5</v>
      </c>
      <c r="S2781" t="s">
        <v>37</v>
      </c>
      <c r="T2781" t="str">
        <f>IF(Tabela1[[#This Row],[STATUS_NEGOCIO]]="Enviar E-mail",1,"")</f>
        <v/>
      </c>
      <c r="U2781" t="str">
        <f>TEXT(Tabela1[[#This Row],[DATA]],"dd/mm/aaaa")</f>
        <v>24/04/2026</v>
      </c>
    </row>
    <row r="2782" spans="1:21" x14ac:dyDescent="0.25">
      <c r="A2782" s="9">
        <v>46136.69871527778</v>
      </c>
      <c r="B2782" t="s">
        <v>19</v>
      </c>
      <c r="C2782" t="s">
        <v>37</v>
      </c>
      <c r="D2782">
        <v>79</v>
      </c>
      <c r="E2782">
        <v>5133369000196</v>
      </c>
      <c r="F2782">
        <v>574</v>
      </c>
      <c r="G2782" s="10">
        <v>177705996960751</v>
      </c>
      <c r="H2782" t="s">
        <v>103</v>
      </c>
      <c r="I2782">
        <v>3003</v>
      </c>
      <c r="J2782" t="s">
        <v>22</v>
      </c>
      <c r="K2782" t="s">
        <v>23</v>
      </c>
      <c r="L2782" t="s">
        <v>31</v>
      </c>
      <c r="M2782" t="s">
        <v>636</v>
      </c>
      <c r="N2782" t="s">
        <v>53</v>
      </c>
      <c r="O2782">
        <v>128</v>
      </c>
      <c r="R2782" s="11">
        <v>6.9444444444444444E-5</v>
      </c>
      <c r="S2782" t="s">
        <v>37</v>
      </c>
      <c r="T2782" t="str">
        <f>IF(Tabela1[[#This Row],[STATUS_NEGOCIO]]="Enviar E-mail",1,"")</f>
        <v/>
      </c>
      <c r="U2782" t="str">
        <f>TEXT(Tabela1[[#This Row],[DATA]],"dd/mm/aaaa")</f>
        <v>24/04/2026</v>
      </c>
    </row>
    <row r="2783" spans="1:21" x14ac:dyDescent="0.25">
      <c r="A2783" s="9">
        <v>46136.698738425926</v>
      </c>
      <c r="B2783" t="s">
        <v>19</v>
      </c>
      <c r="C2783" t="s">
        <v>37</v>
      </c>
      <c r="D2783">
        <v>80</v>
      </c>
      <c r="E2783">
        <v>5207886000162</v>
      </c>
      <c r="F2783">
        <v>575</v>
      </c>
      <c r="G2783" s="10">
        <v>177705997160771</v>
      </c>
      <c r="H2783" t="s">
        <v>190</v>
      </c>
      <c r="I2783">
        <v>3003</v>
      </c>
      <c r="J2783" t="s">
        <v>22</v>
      </c>
      <c r="K2783" t="s">
        <v>23</v>
      </c>
      <c r="L2783" t="s">
        <v>31</v>
      </c>
      <c r="M2783" t="s">
        <v>636</v>
      </c>
      <c r="N2783" t="s">
        <v>53</v>
      </c>
      <c r="O2783">
        <v>128</v>
      </c>
      <c r="R2783" s="11">
        <v>8.1018518518518516E-5</v>
      </c>
      <c r="S2783" t="s">
        <v>37</v>
      </c>
      <c r="T2783" t="str">
        <f>IF(Tabela1[[#This Row],[STATUS_NEGOCIO]]="Enviar E-mail",1,"")</f>
        <v/>
      </c>
      <c r="U2783" t="str">
        <f>TEXT(Tabela1[[#This Row],[DATA]],"dd/mm/aaaa")</f>
        <v>24/04/2026</v>
      </c>
    </row>
    <row r="2784" spans="1:21" x14ac:dyDescent="0.25">
      <c r="A2784" s="9">
        <v>46136.699050925927</v>
      </c>
      <c r="B2784" t="s">
        <v>19</v>
      </c>
      <c r="C2784" t="s">
        <v>37</v>
      </c>
      <c r="D2784">
        <v>81</v>
      </c>
      <c r="E2784">
        <v>5476516000120</v>
      </c>
      <c r="F2784">
        <v>576</v>
      </c>
      <c r="G2784" s="10">
        <v>177705999860791</v>
      </c>
      <c r="H2784" t="s">
        <v>324</v>
      </c>
      <c r="I2784">
        <v>3003</v>
      </c>
      <c r="J2784" t="s">
        <v>22</v>
      </c>
      <c r="K2784" t="s">
        <v>23</v>
      </c>
      <c r="L2784" t="s">
        <v>31</v>
      </c>
      <c r="M2784" t="s">
        <v>636</v>
      </c>
      <c r="N2784" t="s">
        <v>53</v>
      </c>
      <c r="O2784">
        <v>128</v>
      </c>
      <c r="R2784" s="11">
        <v>8.1018518518518516E-5</v>
      </c>
      <c r="S2784" t="s">
        <v>37</v>
      </c>
      <c r="T2784" t="str">
        <f>IF(Tabela1[[#This Row],[STATUS_NEGOCIO]]="Enviar E-mail",1,"")</f>
        <v/>
      </c>
      <c r="U2784" t="str">
        <f>TEXT(Tabela1[[#This Row],[DATA]],"dd/mm/aaaa")</f>
        <v>24/04/2026</v>
      </c>
    </row>
    <row r="2785" spans="1:21" x14ac:dyDescent="0.25">
      <c r="A2785" s="9">
        <v>46136.699166666665</v>
      </c>
      <c r="B2785" t="s">
        <v>19</v>
      </c>
      <c r="C2785" t="s">
        <v>37</v>
      </c>
      <c r="D2785">
        <v>82</v>
      </c>
      <c r="E2785">
        <v>5483497000160</v>
      </c>
      <c r="F2785">
        <v>577</v>
      </c>
      <c r="G2785" s="10">
        <v>177706000860811</v>
      </c>
      <c r="H2785" t="s">
        <v>58</v>
      </c>
      <c r="I2785" t="s">
        <v>52</v>
      </c>
      <c r="J2785" t="s">
        <v>22</v>
      </c>
      <c r="K2785" t="s">
        <v>62</v>
      </c>
      <c r="L2785" t="s">
        <v>62</v>
      </c>
      <c r="M2785" t="s">
        <v>636</v>
      </c>
      <c r="N2785" t="s">
        <v>53</v>
      </c>
      <c r="O2785">
        <v>17</v>
      </c>
      <c r="R2785" s="11">
        <v>0</v>
      </c>
      <c r="S2785" t="s">
        <v>37</v>
      </c>
      <c r="T2785" t="str">
        <f>IF(Tabela1[[#This Row],[STATUS_NEGOCIO]]="Enviar E-mail",1,"")</f>
        <v/>
      </c>
      <c r="U2785" t="str">
        <f>TEXT(Tabela1[[#This Row],[DATA]],"dd/mm/aaaa")</f>
        <v>24/04/2026</v>
      </c>
    </row>
    <row r="2786" spans="1:21" x14ac:dyDescent="0.25">
      <c r="A2786" s="9">
        <v>46136.699236111112</v>
      </c>
      <c r="B2786" t="s">
        <v>19</v>
      </c>
      <c r="C2786" t="s">
        <v>37</v>
      </c>
      <c r="D2786">
        <v>83</v>
      </c>
      <c r="E2786">
        <v>5485452000124</v>
      </c>
      <c r="F2786">
        <v>578</v>
      </c>
      <c r="G2786" s="10">
        <v>177706001460831</v>
      </c>
      <c r="H2786" t="s">
        <v>325</v>
      </c>
      <c r="I2786" t="s">
        <v>52</v>
      </c>
      <c r="J2786" t="s">
        <v>22</v>
      </c>
      <c r="K2786" t="s">
        <v>62</v>
      </c>
      <c r="L2786" t="s">
        <v>62</v>
      </c>
      <c r="M2786" t="s">
        <v>636</v>
      </c>
      <c r="N2786" t="s">
        <v>53</v>
      </c>
      <c r="O2786">
        <v>17</v>
      </c>
      <c r="R2786" s="11">
        <v>0</v>
      </c>
      <c r="S2786" t="s">
        <v>37</v>
      </c>
      <c r="T2786" t="str">
        <f>IF(Tabela1[[#This Row],[STATUS_NEGOCIO]]="Enviar E-mail",1,"")</f>
        <v/>
      </c>
      <c r="U2786" t="str">
        <f>TEXT(Tabela1[[#This Row],[DATA]],"dd/mm/aaaa")</f>
        <v>24/04/2026</v>
      </c>
    </row>
    <row r="2787" spans="1:21" x14ac:dyDescent="0.25">
      <c r="A2787" s="9">
        <v>46136.699525462966</v>
      </c>
      <c r="B2787" t="s">
        <v>19</v>
      </c>
      <c r="C2787" t="s">
        <v>37</v>
      </c>
      <c r="D2787">
        <v>84</v>
      </c>
      <c r="E2787">
        <v>5487548000121</v>
      </c>
      <c r="F2787">
        <v>579</v>
      </c>
      <c r="G2787" s="10">
        <v>177706003960931</v>
      </c>
      <c r="H2787" t="s">
        <v>49</v>
      </c>
      <c r="I2787">
        <v>3003</v>
      </c>
      <c r="J2787" t="s">
        <v>22</v>
      </c>
      <c r="K2787" t="s">
        <v>23</v>
      </c>
      <c r="L2787" t="s">
        <v>31</v>
      </c>
      <c r="M2787" t="s">
        <v>636</v>
      </c>
      <c r="N2787" t="s">
        <v>53</v>
      </c>
      <c r="O2787">
        <v>147</v>
      </c>
      <c r="R2787" s="11">
        <v>8.1018518518518516E-5</v>
      </c>
      <c r="S2787" t="s">
        <v>37</v>
      </c>
      <c r="T2787" t="str">
        <f>IF(Tabela1[[#This Row],[STATUS_NEGOCIO]]="Enviar E-mail",1,"")</f>
        <v/>
      </c>
      <c r="U2787" t="str">
        <f>TEXT(Tabela1[[#This Row],[DATA]],"dd/mm/aaaa")</f>
        <v>24/04/2026</v>
      </c>
    </row>
    <row r="2788" spans="1:21" x14ac:dyDescent="0.25">
      <c r="A2788" s="9">
        <v>46136.699606481481</v>
      </c>
      <c r="B2788" t="s">
        <v>19</v>
      </c>
      <c r="C2788" t="s">
        <v>37</v>
      </c>
      <c r="D2788">
        <v>85</v>
      </c>
      <c r="E2788">
        <v>5587109000190</v>
      </c>
      <c r="F2788">
        <v>580</v>
      </c>
      <c r="G2788" s="10">
        <v>177706004660951</v>
      </c>
      <c r="H2788" t="s">
        <v>249</v>
      </c>
      <c r="I2788">
        <v>3003</v>
      </c>
      <c r="J2788" t="s">
        <v>22</v>
      </c>
      <c r="K2788" t="s">
        <v>23</v>
      </c>
      <c r="L2788" t="s">
        <v>31</v>
      </c>
      <c r="M2788" t="s">
        <v>636</v>
      </c>
      <c r="N2788" t="s">
        <v>53</v>
      </c>
      <c r="O2788">
        <v>128</v>
      </c>
      <c r="R2788" s="11">
        <v>6.9444444444444444E-5</v>
      </c>
      <c r="S2788" t="s">
        <v>37</v>
      </c>
      <c r="T2788" t="str">
        <f>IF(Tabela1[[#This Row],[STATUS_NEGOCIO]]="Enviar E-mail",1,"")</f>
        <v/>
      </c>
      <c r="U2788" t="str">
        <f>TEXT(Tabela1[[#This Row],[DATA]],"dd/mm/aaaa")</f>
        <v>24/04/2026</v>
      </c>
    </row>
    <row r="2789" spans="1:21" x14ac:dyDescent="0.25">
      <c r="A2789" s="9">
        <v>46136.699699074074</v>
      </c>
      <c r="B2789" t="s">
        <v>19</v>
      </c>
      <c r="C2789" t="s">
        <v>37</v>
      </c>
      <c r="D2789">
        <v>86</v>
      </c>
      <c r="E2789">
        <v>5600088000104</v>
      </c>
      <c r="F2789">
        <v>581</v>
      </c>
      <c r="G2789" s="10">
        <v>177706005460971</v>
      </c>
      <c r="H2789" t="s">
        <v>326</v>
      </c>
      <c r="I2789">
        <v>3003</v>
      </c>
      <c r="J2789" t="s">
        <v>22</v>
      </c>
      <c r="K2789" t="s">
        <v>23</v>
      </c>
      <c r="L2789" t="s">
        <v>31</v>
      </c>
      <c r="M2789" t="s">
        <v>636</v>
      </c>
      <c r="N2789" t="s">
        <v>53</v>
      </c>
      <c r="O2789">
        <v>128</v>
      </c>
      <c r="R2789" s="11">
        <v>6.9444444444444444E-5</v>
      </c>
      <c r="S2789" t="s">
        <v>37</v>
      </c>
      <c r="T2789" t="str">
        <f>IF(Tabela1[[#This Row],[STATUS_NEGOCIO]]="Enviar E-mail",1,"")</f>
        <v/>
      </c>
      <c r="U2789" t="str">
        <f>TEXT(Tabela1[[#This Row],[DATA]],"dd/mm/aaaa")</f>
        <v>24/04/2026</v>
      </c>
    </row>
    <row r="2790" spans="1:21" x14ac:dyDescent="0.25">
      <c r="A2790" s="9">
        <v>46136.699895833335</v>
      </c>
      <c r="B2790" t="s">
        <v>19</v>
      </c>
      <c r="C2790" t="s">
        <v>37</v>
      </c>
      <c r="D2790">
        <v>88</v>
      </c>
      <c r="E2790">
        <v>5870198000188</v>
      </c>
      <c r="F2790">
        <v>582</v>
      </c>
      <c r="G2790" s="10">
        <v>177706007160991</v>
      </c>
      <c r="H2790" t="s">
        <v>135</v>
      </c>
      <c r="I2790">
        <v>3003</v>
      </c>
      <c r="J2790" t="s">
        <v>22</v>
      </c>
      <c r="K2790" t="s">
        <v>23</v>
      </c>
      <c r="L2790" t="s">
        <v>31</v>
      </c>
      <c r="M2790" t="s">
        <v>636</v>
      </c>
      <c r="N2790" t="s">
        <v>53</v>
      </c>
      <c r="O2790">
        <v>128</v>
      </c>
      <c r="R2790" s="11">
        <v>6.9444444444444444E-5</v>
      </c>
      <c r="S2790" t="s">
        <v>37</v>
      </c>
      <c r="T2790" t="str">
        <f>IF(Tabela1[[#This Row],[STATUS_NEGOCIO]]="Enviar E-mail",1,"")</f>
        <v/>
      </c>
      <c r="U2790" t="str">
        <f>TEXT(Tabela1[[#This Row],[DATA]],"dd/mm/aaaa")</f>
        <v>24/04/2026</v>
      </c>
    </row>
    <row r="2791" spans="1:21" x14ac:dyDescent="0.25">
      <c r="A2791" s="9">
        <v>46136.700162037036</v>
      </c>
      <c r="B2791" t="s">
        <v>19</v>
      </c>
      <c r="C2791" t="s">
        <v>37</v>
      </c>
      <c r="D2791">
        <v>89</v>
      </c>
      <c r="E2791">
        <v>5887391000121</v>
      </c>
      <c r="F2791">
        <v>583</v>
      </c>
      <c r="G2791" s="10">
        <v>177706009461071</v>
      </c>
      <c r="H2791" t="s">
        <v>327</v>
      </c>
      <c r="I2791">
        <v>3003</v>
      </c>
      <c r="J2791" t="s">
        <v>22</v>
      </c>
      <c r="K2791" t="s">
        <v>23</v>
      </c>
      <c r="L2791" t="s">
        <v>31</v>
      </c>
      <c r="M2791" t="s">
        <v>636</v>
      </c>
      <c r="N2791" t="s">
        <v>53</v>
      </c>
      <c r="O2791">
        <v>128</v>
      </c>
      <c r="R2791" s="11">
        <v>6.9444444444444444E-5</v>
      </c>
      <c r="S2791" t="s">
        <v>37</v>
      </c>
      <c r="T2791" t="str">
        <f>IF(Tabela1[[#This Row],[STATUS_NEGOCIO]]="Enviar E-mail",1,"")</f>
        <v/>
      </c>
      <c r="U2791" t="str">
        <f>TEXT(Tabela1[[#This Row],[DATA]],"dd/mm/aaaa")</f>
        <v>24/04/2026</v>
      </c>
    </row>
    <row r="2792" spans="1:21" x14ac:dyDescent="0.25">
      <c r="A2792" s="9">
        <v>46136.700185185182</v>
      </c>
      <c r="B2792" t="s">
        <v>19</v>
      </c>
      <c r="C2792" t="s">
        <v>37</v>
      </c>
      <c r="D2792">
        <v>90</v>
      </c>
      <c r="E2792">
        <v>5951912000162</v>
      </c>
      <c r="F2792">
        <v>584</v>
      </c>
      <c r="G2792" s="10">
        <v>177706009661091</v>
      </c>
      <c r="H2792" t="s">
        <v>328</v>
      </c>
      <c r="I2792">
        <v>3003</v>
      </c>
      <c r="J2792" t="s">
        <v>22</v>
      </c>
      <c r="K2792" t="s">
        <v>23</v>
      </c>
      <c r="L2792" t="s">
        <v>31</v>
      </c>
      <c r="M2792" t="s">
        <v>636</v>
      </c>
      <c r="N2792" t="s">
        <v>53</v>
      </c>
      <c r="O2792">
        <v>128</v>
      </c>
      <c r="R2792" s="11">
        <v>8.1018518518518516E-5</v>
      </c>
      <c r="S2792" t="s">
        <v>37</v>
      </c>
      <c r="T2792" t="str">
        <f>IF(Tabela1[[#This Row],[STATUS_NEGOCIO]]="Enviar E-mail",1,"")</f>
        <v/>
      </c>
      <c r="U2792" t="str">
        <f>TEXT(Tabela1[[#This Row],[DATA]],"dd/mm/aaaa")</f>
        <v>24/04/2026</v>
      </c>
    </row>
    <row r="2793" spans="1:21" x14ac:dyDescent="0.25">
      <c r="A2793" s="9">
        <v>46136.700335648151</v>
      </c>
      <c r="B2793" t="s">
        <v>19</v>
      </c>
      <c r="C2793" t="s">
        <v>37</v>
      </c>
      <c r="D2793">
        <v>91</v>
      </c>
      <c r="E2793">
        <v>6058857000149</v>
      </c>
      <c r="F2793">
        <v>585</v>
      </c>
      <c r="G2793" s="10">
        <v>177706010961111</v>
      </c>
      <c r="H2793" t="s">
        <v>254</v>
      </c>
      <c r="I2793">
        <v>3003</v>
      </c>
      <c r="J2793" t="s">
        <v>22</v>
      </c>
      <c r="K2793" t="s">
        <v>23</v>
      </c>
      <c r="L2793" t="s">
        <v>31</v>
      </c>
      <c r="M2793" t="s">
        <v>636</v>
      </c>
      <c r="N2793" t="s">
        <v>53</v>
      </c>
      <c r="O2793">
        <v>128</v>
      </c>
      <c r="R2793" s="11">
        <v>8.1018518518518516E-5</v>
      </c>
      <c r="S2793" t="s">
        <v>37</v>
      </c>
      <c r="T2793" t="str">
        <f>IF(Tabela1[[#This Row],[STATUS_NEGOCIO]]="Enviar E-mail",1,"")</f>
        <v/>
      </c>
      <c r="U2793" t="str">
        <f>TEXT(Tabela1[[#This Row],[DATA]],"dd/mm/aaaa")</f>
        <v>24/04/2026</v>
      </c>
    </row>
    <row r="2794" spans="1:21" x14ac:dyDescent="0.25">
      <c r="A2794" s="9">
        <v>46136.70034722222</v>
      </c>
      <c r="B2794" t="s">
        <v>19</v>
      </c>
      <c r="C2794" t="s">
        <v>37</v>
      </c>
      <c r="D2794">
        <v>92</v>
      </c>
      <c r="E2794">
        <v>6093542000132</v>
      </c>
      <c r="F2794">
        <v>586</v>
      </c>
      <c r="G2794" s="10">
        <v>177706011061131</v>
      </c>
      <c r="H2794" t="s">
        <v>329</v>
      </c>
      <c r="I2794">
        <v>3003</v>
      </c>
      <c r="J2794" t="s">
        <v>22</v>
      </c>
      <c r="K2794" t="s">
        <v>23</v>
      </c>
      <c r="L2794" t="s">
        <v>31</v>
      </c>
      <c r="M2794" t="s">
        <v>636</v>
      </c>
      <c r="N2794" t="s">
        <v>53</v>
      </c>
      <c r="O2794">
        <v>128</v>
      </c>
      <c r="R2794" s="11">
        <v>8.1018518518518516E-5</v>
      </c>
      <c r="S2794" t="s">
        <v>37</v>
      </c>
      <c r="T2794" t="str">
        <f>IF(Tabela1[[#This Row],[STATUS_NEGOCIO]]="Enviar E-mail",1,"")</f>
        <v/>
      </c>
      <c r="U2794" t="str">
        <f>TEXT(Tabela1[[#This Row],[DATA]],"dd/mm/aaaa")</f>
        <v>24/04/2026</v>
      </c>
    </row>
    <row r="2795" spans="1:21" x14ac:dyDescent="0.25">
      <c r="A2795" s="9">
        <v>46136.70071759259</v>
      </c>
      <c r="B2795" t="s">
        <v>19</v>
      </c>
      <c r="C2795" t="s">
        <v>37</v>
      </c>
      <c r="D2795">
        <v>93</v>
      </c>
      <c r="E2795">
        <v>6100968000176</v>
      </c>
      <c r="F2795">
        <v>587</v>
      </c>
      <c r="G2795" s="10">
        <v>177706014261151</v>
      </c>
      <c r="H2795" t="s">
        <v>330</v>
      </c>
      <c r="I2795" t="s">
        <v>52</v>
      </c>
      <c r="J2795" t="s">
        <v>22</v>
      </c>
      <c r="K2795" t="s">
        <v>36</v>
      </c>
      <c r="L2795" t="s">
        <v>36</v>
      </c>
      <c r="M2795" t="s">
        <v>636</v>
      </c>
      <c r="N2795" t="s">
        <v>53</v>
      </c>
      <c r="O2795">
        <v>1</v>
      </c>
      <c r="R2795" s="11">
        <v>0</v>
      </c>
      <c r="S2795" t="s">
        <v>37</v>
      </c>
      <c r="T2795" t="str">
        <f>IF(Tabela1[[#This Row],[STATUS_NEGOCIO]]="Enviar E-mail",1,"")</f>
        <v/>
      </c>
      <c r="U2795" t="str">
        <f>TEXT(Tabela1[[#This Row],[DATA]],"dd/mm/aaaa")</f>
        <v>24/04/2026</v>
      </c>
    </row>
    <row r="2796" spans="1:21" x14ac:dyDescent="0.25">
      <c r="A2796" s="9">
        <v>46136.700891203705</v>
      </c>
      <c r="B2796" t="s">
        <v>19</v>
      </c>
      <c r="C2796" t="s">
        <v>37</v>
      </c>
      <c r="D2796">
        <v>94</v>
      </c>
      <c r="E2796">
        <v>6215708000146</v>
      </c>
      <c r="F2796">
        <v>588</v>
      </c>
      <c r="G2796" s="10">
        <v>177706015761181</v>
      </c>
      <c r="H2796" t="s">
        <v>180</v>
      </c>
      <c r="I2796">
        <v>3003</v>
      </c>
      <c r="J2796" t="s">
        <v>22</v>
      </c>
      <c r="K2796" t="s">
        <v>23</v>
      </c>
      <c r="L2796" t="s">
        <v>31</v>
      </c>
      <c r="M2796" t="s">
        <v>636</v>
      </c>
      <c r="N2796" t="s">
        <v>53</v>
      </c>
      <c r="O2796">
        <v>128</v>
      </c>
      <c r="R2796" s="11">
        <v>8.1018518518518516E-5</v>
      </c>
      <c r="S2796" t="s">
        <v>37</v>
      </c>
      <c r="T2796" t="str">
        <f>IF(Tabela1[[#This Row],[STATUS_NEGOCIO]]="Enviar E-mail",1,"")</f>
        <v/>
      </c>
      <c r="U2796" t="str">
        <f>TEXT(Tabela1[[#This Row],[DATA]],"dd/mm/aaaa")</f>
        <v>24/04/2026</v>
      </c>
    </row>
    <row r="2797" spans="1:21" x14ac:dyDescent="0.25">
      <c r="A2797" s="9">
        <v>46136.701064814813</v>
      </c>
      <c r="B2797" t="s">
        <v>19</v>
      </c>
      <c r="C2797" t="s">
        <v>37</v>
      </c>
      <c r="D2797">
        <v>95</v>
      </c>
      <c r="E2797">
        <v>6236859000180</v>
      </c>
      <c r="F2797">
        <v>589</v>
      </c>
      <c r="G2797" s="10">
        <v>177706017261191</v>
      </c>
      <c r="H2797" t="s">
        <v>331</v>
      </c>
      <c r="I2797">
        <v>3003</v>
      </c>
      <c r="J2797" t="s">
        <v>22</v>
      </c>
      <c r="K2797" t="s">
        <v>23</v>
      </c>
      <c r="L2797" t="s">
        <v>31</v>
      </c>
      <c r="M2797" t="s">
        <v>636</v>
      </c>
      <c r="N2797" t="s">
        <v>53</v>
      </c>
      <c r="O2797">
        <v>128</v>
      </c>
      <c r="R2797" s="11">
        <v>8.1018518518518516E-5</v>
      </c>
      <c r="S2797" t="s">
        <v>37</v>
      </c>
      <c r="T2797" t="str">
        <f>IF(Tabela1[[#This Row],[STATUS_NEGOCIO]]="Enviar E-mail",1,"")</f>
        <v/>
      </c>
      <c r="U2797" t="str">
        <f>TEXT(Tabela1[[#This Row],[DATA]],"dd/mm/aaaa")</f>
        <v>24/04/2026</v>
      </c>
    </row>
    <row r="2798" spans="1:21" x14ac:dyDescent="0.25">
      <c r="A2798" s="9">
        <v>46136.701192129629</v>
      </c>
      <c r="B2798" t="s">
        <v>19</v>
      </c>
      <c r="C2798" t="s">
        <v>37</v>
      </c>
      <c r="D2798">
        <v>96</v>
      </c>
      <c r="E2798">
        <v>6276371000187</v>
      </c>
      <c r="F2798">
        <v>590</v>
      </c>
      <c r="G2798" s="10">
        <v>177706018361211</v>
      </c>
      <c r="H2798" t="s">
        <v>332</v>
      </c>
      <c r="I2798">
        <v>3003</v>
      </c>
      <c r="J2798" t="s">
        <v>22</v>
      </c>
      <c r="K2798" t="s">
        <v>23</v>
      </c>
      <c r="L2798" t="s">
        <v>31</v>
      </c>
      <c r="M2798" t="s">
        <v>636</v>
      </c>
      <c r="N2798" t="s">
        <v>53</v>
      </c>
      <c r="O2798">
        <v>147</v>
      </c>
      <c r="R2798" s="11">
        <v>8.1018518518518516E-5</v>
      </c>
      <c r="S2798" t="s">
        <v>37</v>
      </c>
      <c r="T2798" t="str">
        <f>IF(Tabela1[[#This Row],[STATUS_NEGOCIO]]="Enviar E-mail",1,"")</f>
        <v/>
      </c>
      <c r="U2798" t="str">
        <f>TEXT(Tabela1[[#This Row],[DATA]],"dd/mm/aaaa")</f>
        <v>24/04/2026</v>
      </c>
    </row>
    <row r="2799" spans="1:21" x14ac:dyDescent="0.25">
      <c r="A2799" s="9">
        <v>46136.701354166667</v>
      </c>
      <c r="B2799" t="s">
        <v>19</v>
      </c>
      <c r="C2799" t="s">
        <v>37</v>
      </c>
      <c r="D2799">
        <v>97</v>
      </c>
      <c r="E2799">
        <v>6326043000148</v>
      </c>
      <c r="F2799">
        <v>591</v>
      </c>
      <c r="G2799" s="10">
        <v>177706019761241</v>
      </c>
      <c r="H2799" t="s">
        <v>116</v>
      </c>
      <c r="I2799">
        <v>3003</v>
      </c>
      <c r="J2799" t="s">
        <v>22</v>
      </c>
      <c r="K2799" t="s">
        <v>23</v>
      </c>
      <c r="L2799" t="s">
        <v>31</v>
      </c>
      <c r="M2799" t="s">
        <v>636</v>
      </c>
      <c r="N2799" t="s">
        <v>53</v>
      </c>
      <c r="O2799">
        <v>128</v>
      </c>
      <c r="R2799" s="11">
        <v>8.1018518518518516E-5</v>
      </c>
      <c r="S2799" t="s">
        <v>37</v>
      </c>
      <c r="T2799" t="str">
        <f>IF(Tabela1[[#This Row],[STATUS_NEGOCIO]]="Enviar E-mail",1,"")</f>
        <v/>
      </c>
      <c r="U2799" t="str">
        <f>TEXT(Tabela1[[#This Row],[DATA]],"dd/mm/aaaa")</f>
        <v>24/04/2026</v>
      </c>
    </row>
    <row r="2800" spans="1:21" x14ac:dyDescent="0.25">
      <c r="A2800" s="9">
        <v>46136.701354166667</v>
      </c>
      <c r="B2800" t="s">
        <v>19</v>
      </c>
      <c r="C2800" t="s">
        <v>37</v>
      </c>
      <c r="D2800">
        <v>98</v>
      </c>
      <c r="E2800">
        <v>6652280000107</v>
      </c>
      <c r="F2800">
        <v>592</v>
      </c>
      <c r="G2800" s="10">
        <v>177706019761251</v>
      </c>
      <c r="H2800" t="s">
        <v>333</v>
      </c>
      <c r="I2800" t="s">
        <v>52</v>
      </c>
      <c r="J2800" t="s">
        <v>22</v>
      </c>
      <c r="K2800" t="s">
        <v>36</v>
      </c>
      <c r="L2800" t="s">
        <v>36</v>
      </c>
      <c r="M2800" t="s">
        <v>636</v>
      </c>
      <c r="N2800" t="s">
        <v>53</v>
      </c>
      <c r="O2800">
        <v>1</v>
      </c>
      <c r="R2800" s="11">
        <v>0</v>
      </c>
      <c r="S2800" t="s">
        <v>37</v>
      </c>
      <c r="T2800" t="str">
        <f>IF(Tabela1[[#This Row],[STATUS_NEGOCIO]]="Enviar E-mail",1,"")</f>
        <v/>
      </c>
      <c r="U2800" t="str">
        <f>TEXT(Tabela1[[#This Row],[DATA]],"dd/mm/aaaa")</f>
        <v>24/04/2026</v>
      </c>
    </row>
    <row r="2801" spans="1:21" x14ac:dyDescent="0.25">
      <c r="A2801" s="9">
        <v>46136.701365740744</v>
      </c>
      <c r="B2801" t="s">
        <v>19</v>
      </c>
      <c r="C2801" t="s">
        <v>37</v>
      </c>
      <c r="D2801">
        <v>99</v>
      </c>
      <c r="E2801">
        <v>6983876000181</v>
      </c>
      <c r="F2801">
        <v>593</v>
      </c>
      <c r="G2801" s="10">
        <v>177706019861261</v>
      </c>
      <c r="H2801" t="s">
        <v>334</v>
      </c>
      <c r="I2801">
        <v>3003</v>
      </c>
      <c r="J2801" t="s">
        <v>22</v>
      </c>
      <c r="K2801" t="s">
        <v>23</v>
      </c>
      <c r="L2801" t="s">
        <v>31</v>
      </c>
      <c r="M2801" t="s">
        <v>636</v>
      </c>
      <c r="N2801" t="s">
        <v>53</v>
      </c>
      <c r="O2801">
        <v>128</v>
      </c>
      <c r="R2801" s="11">
        <v>8.1018518518518516E-5</v>
      </c>
      <c r="S2801" t="s">
        <v>37</v>
      </c>
      <c r="T2801" t="str">
        <f>IF(Tabela1[[#This Row],[STATUS_NEGOCIO]]="Enviar E-mail",1,"")</f>
        <v/>
      </c>
      <c r="U2801" t="str">
        <f>TEXT(Tabela1[[#This Row],[DATA]],"dd/mm/aaaa")</f>
        <v>24/04/2026</v>
      </c>
    </row>
    <row r="2802" spans="1:21" x14ac:dyDescent="0.25">
      <c r="A2802" s="9">
        <v>46136.701469907406</v>
      </c>
      <c r="B2802" t="s">
        <v>19</v>
      </c>
      <c r="C2802" t="s">
        <v>37</v>
      </c>
      <c r="D2802">
        <v>100</v>
      </c>
      <c r="E2802">
        <v>7042642000364</v>
      </c>
      <c r="F2802">
        <v>594</v>
      </c>
      <c r="G2802" s="10">
        <v>177706020761281</v>
      </c>
      <c r="H2802" t="s">
        <v>335</v>
      </c>
      <c r="I2802" t="s">
        <v>52</v>
      </c>
      <c r="J2802" t="s">
        <v>22</v>
      </c>
      <c r="K2802" t="s">
        <v>36</v>
      </c>
      <c r="L2802" t="s">
        <v>36</v>
      </c>
      <c r="M2802" t="s">
        <v>636</v>
      </c>
      <c r="N2802" t="s">
        <v>53</v>
      </c>
      <c r="O2802">
        <v>19</v>
      </c>
      <c r="R2802" s="11">
        <v>0</v>
      </c>
      <c r="S2802" t="s">
        <v>37</v>
      </c>
      <c r="T2802" t="str">
        <f>IF(Tabela1[[#This Row],[STATUS_NEGOCIO]]="Enviar E-mail",1,"")</f>
        <v/>
      </c>
      <c r="U2802" t="str">
        <f>TEXT(Tabela1[[#This Row],[DATA]],"dd/mm/aaaa")</f>
        <v>24/04/2026</v>
      </c>
    </row>
    <row r="2803" spans="1:21" x14ac:dyDescent="0.25">
      <c r="A2803" s="9">
        <v>46136.701874999999</v>
      </c>
      <c r="B2803" t="s">
        <v>19</v>
      </c>
      <c r="C2803" t="s">
        <v>37</v>
      </c>
      <c r="D2803">
        <v>102</v>
      </c>
      <c r="E2803">
        <v>7211888000150</v>
      </c>
      <c r="F2803">
        <v>595</v>
      </c>
      <c r="G2803" s="10">
        <v>177706024261361</v>
      </c>
      <c r="H2803" t="s">
        <v>337</v>
      </c>
      <c r="I2803">
        <v>3003</v>
      </c>
      <c r="J2803" t="s">
        <v>22</v>
      </c>
      <c r="K2803" t="s">
        <v>23</v>
      </c>
      <c r="L2803" t="s">
        <v>31</v>
      </c>
      <c r="M2803" t="s">
        <v>636</v>
      </c>
      <c r="N2803" t="s">
        <v>53</v>
      </c>
      <c r="O2803">
        <v>128</v>
      </c>
      <c r="R2803" s="11">
        <v>8.1018518518518516E-5</v>
      </c>
      <c r="S2803" t="s">
        <v>37</v>
      </c>
      <c r="T2803" t="str">
        <f>IF(Tabela1[[#This Row],[STATUS_NEGOCIO]]="Enviar E-mail",1,"")</f>
        <v/>
      </c>
      <c r="U2803" t="str">
        <f>TEXT(Tabela1[[#This Row],[DATA]],"dd/mm/aaaa")</f>
        <v>24/04/2026</v>
      </c>
    </row>
    <row r="2804" spans="1:21" x14ac:dyDescent="0.25">
      <c r="A2804" s="9">
        <v>46136.702025462961</v>
      </c>
      <c r="B2804" t="s">
        <v>19</v>
      </c>
      <c r="C2804" t="s">
        <v>20</v>
      </c>
      <c r="D2804">
        <v>103</v>
      </c>
      <c r="E2804">
        <v>7355123000194</v>
      </c>
      <c r="F2804">
        <v>596</v>
      </c>
      <c r="G2804" s="10">
        <v>177706025561371</v>
      </c>
      <c r="H2804" t="s">
        <v>161</v>
      </c>
      <c r="I2804">
        <v>3003</v>
      </c>
      <c r="J2804" t="s">
        <v>22</v>
      </c>
      <c r="K2804" t="s">
        <v>23</v>
      </c>
      <c r="L2804" t="s">
        <v>40</v>
      </c>
      <c r="M2804" t="s">
        <v>636</v>
      </c>
      <c r="N2804" t="s">
        <v>32</v>
      </c>
      <c r="O2804">
        <v>16</v>
      </c>
      <c r="R2804" s="11">
        <v>1.9097222222222222E-3</v>
      </c>
      <c r="S2804" s="11">
        <v>1.8634259259259259E-3</v>
      </c>
      <c r="T2804">
        <f>IF(Tabela1[[#This Row],[STATUS_NEGOCIO]]="Enviar E-mail",1,"")</f>
        <v>1</v>
      </c>
      <c r="U2804" t="str">
        <f>TEXT(Tabela1[[#This Row],[DATA]],"dd/mm/aaaa")</f>
        <v>24/04/2026</v>
      </c>
    </row>
    <row r="2805" spans="1:21" x14ac:dyDescent="0.25">
      <c r="A2805" s="9">
        <v>46136.702175925922</v>
      </c>
      <c r="B2805" t="s">
        <v>19</v>
      </c>
      <c r="C2805" t="s">
        <v>37</v>
      </c>
      <c r="D2805">
        <v>104</v>
      </c>
      <c r="E2805">
        <v>7368744000102</v>
      </c>
      <c r="F2805">
        <v>597</v>
      </c>
      <c r="G2805" s="10">
        <v>177706026861491</v>
      </c>
      <c r="H2805" t="s">
        <v>338</v>
      </c>
      <c r="I2805">
        <v>3003</v>
      </c>
      <c r="J2805" t="s">
        <v>22</v>
      </c>
      <c r="K2805" t="s">
        <v>23</v>
      </c>
      <c r="L2805" t="s">
        <v>31</v>
      </c>
      <c r="M2805" t="s">
        <v>636</v>
      </c>
      <c r="N2805" t="s">
        <v>53</v>
      </c>
      <c r="O2805">
        <v>128</v>
      </c>
      <c r="R2805" s="11">
        <v>8.1018518518518516E-5</v>
      </c>
      <c r="S2805" t="s">
        <v>37</v>
      </c>
      <c r="T2805" t="str">
        <f>IF(Tabela1[[#This Row],[STATUS_NEGOCIO]]="Enviar E-mail",1,"")</f>
        <v/>
      </c>
      <c r="U2805" t="str">
        <f>TEXT(Tabela1[[#This Row],[DATA]],"dd/mm/aaaa")</f>
        <v>24/04/2026</v>
      </c>
    </row>
    <row r="2806" spans="1:21" x14ac:dyDescent="0.25">
      <c r="A2806" s="9">
        <v>46136.702337962961</v>
      </c>
      <c r="B2806" t="s">
        <v>19</v>
      </c>
      <c r="C2806" t="s">
        <v>37</v>
      </c>
      <c r="D2806">
        <v>105</v>
      </c>
      <c r="E2806">
        <v>7477770000179</v>
      </c>
      <c r="F2806">
        <v>598</v>
      </c>
      <c r="G2806" s="10">
        <v>177706028261551</v>
      </c>
      <c r="H2806" t="s">
        <v>339</v>
      </c>
      <c r="I2806">
        <v>3003</v>
      </c>
      <c r="J2806" t="s">
        <v>22</v>
      </c>
      <c r="K2806" t="s">
        <v>23</v>
      </c>
      <c r="L2806" t="s">
        <v>31</v>
      </c>
      <c r="M2806" t="s">
        <v>636</v>
      </c>
      <c r="N2806" t="s">
        <v>53</v>
      </c>
      <c r="O2806">
        <v>128</v>
      </c>
      <c r="R2806" s="11">
        <v>8.1018518518518516E-5</v>
      </c>
      <c r="S2806" t="s">
        <v>37</v>
      </c>
      <c r="T2806" t="str">
        <f>IF(Tabela1[[#This Row],[STATUS_NEGOCIO]]="Enviar E-mail",1,"")</f>
        <v/>
      </c>
      <c r="U2806" t="str">
        <f>TEXT(Tabela1[[#This Row],[DATA]],"dd/mm/aaaa")</f>
        <v>24/04/2026</v>
      </c>
    </row>
    <row r="2807" spans="1:21" x14ac:dyDescent="0.25">
      <c r="A2807" s="9">
        <v>46136.702569444446</v>
      </c>
      <c r="B2807" t="s">
        <v>19</v>
      </c>
      <c r="C2807" t="s">
        <v>37</v>
      </c>
      <c r="D2807">
        <v>106</v>
      </c>
      <c r="E2807">
        <v>7485047000131</v>
      </c>
      <c r="F2807">
        <v>599</v>
      </c>
      <c r="G2807" s="10">
        <v>177706030261571</v>
      </c>
      <c r="H2807" t="s">
        <v>340</v>
      </c>
      <c r="I2807">
        <v>3003</v>
      </c>
      <c r="J2807" t="s">
        <v>22</v>
      </c>
      <c r="K2807" t="s">
        <v>23</v>
      </c>
      <c r="L2807" t="s">
        <v>31</v>
      </c>
      <c r="M2807" t="s">
        <v>636</v>
      </c>
      <c r="N2807" t="s">
        <v>53</v>
      </c>
      <c r="O2807">
        <v>147</v>
      </c>
      <c r="R2807" s="11">
        <v>8.1018518518518516E-5</v>
      </c>
      <c r="S2807" t="s">
        <v>37</v>
      </c>
      <c r="T2807" t="str">
        <f>IF(Tabela1[[#This Row],[STATUS_NEGOCIO]]="Enviar E-mail",1,"")</f>
        <v/>
      </c>
      <c r="U2807" t="str">
        <f>TEXT(Tabela1[[#This Row],[DATA]],"dd/mm/aaaa")</f>
        <v>24/04/2026</v>
      </c>
    </row>
    <row r="2808" spans="1:21" x14ac:dyDescent="0.25">
      <c r="A2808" s="9">
        <v>46136.702789351853</v>
      </c>
      <c r="B2808" t="s">
        <v>19</v>
      </c>
      <c r="C2808" t="s">
        <v>37</v>
      </c>
      <c r="D2808">
        <v>107</v>
      </c>
      <c r="E2808">
        <v>7525932000105</v>
      </c>
      <c r="F2808">
        <v>600</v>
      </c>
      <c r="G2808" s="10">
        <v>177706032161591</v>
      </c>
      <c r="H2808" t="s">
        <v>341</v>
      </c>
      <c r="I2808">
        <v>3003</v>
      </c>
      <c r="J2808" t="s">
        <v>22</v>
      </c>
      <c r="K2808" t="s">
        <v>23</v>
      </c>
      <c r="L2808" t="s">
        <v>31</v>
      </c>
      <c r="M2808" t="s">
        <v>636</v>
      </c>
      <c r="N2808" t="s">
        <v>53</v>
      </c>
      <c r="O2808">
        <v>147</v>
      </c>
      <c r="R2808" s="11">
        <v>8.1018518518518516E-5</v>
      </c>
      <c r="S2808" t="s">
        <v>37</v>
      </c>
      <c r="T2808" t="str">
        <f>IF(Tabela1[[#This Row],[STATUS_NEGOCIO]]="Enviar E-mail",1,"")</f>
        <v/>
      </c>
      <c r="U2808" t="str">
        <f>TEXT(Tabela1[[#This Row],[DATA]],"dd/mm/aaaa")</f>
        <v>24/04/2026</v>
      </c>
    </row>
    <row r="2809" spans="1:21" x14ac:dyDescent="0.25">
      <c r="A2809" s="9">
        <v>46136.703159722223</v>
      </c>
      <c r="B2809" t="s">
        <v>19</v>
      </c>
      <c r="C2809" t="s">
        <v>37</v>
      </c>
      <c r="D2809">
        <v>108</v>
      </c>
      <c r="E2809">
        <v>7560240000190</v>
      </c>
      <c r="F2809">
        <v>601</v>
      </c>
      <c r="G2809" s="10">
        <v>177706035361611</v>
      </c>
      <c r="H2809" t="s">
        <v>165</v>
      </c>
      <c r="I2809">
        <v>3003</v>
      </c>
      <c r="J2809" t="s">
        <v>22</v>
      </c>
      <c r="K2809" t="s">
        <v>23</v>
      </c>
      <c r="L2809" t="s">
        <v>31</v>
      </c>
      <c r="M2809" t="s">
        <v>636</v>
      </c>
      <c r="N2809" t="s">
        <v>53</v>
      </c>
      <c r="O2809">
        <v>128</v>
      </c>
      <c r="R2809" s="11">
        <v>8.1018518518518516E-5</v>
      </c>
      <c r="S2809" t="s">
        <v>37</v>
      </c>
      <c r="T2809" t="str">
        <f>IF(Tabela1[[#This Row],[STATUS_NEGOCIO]]="Enviar E-mail",1,"")</f>
        <v/>
      </c>
      <c r="U2809" t="str">
        <f>TEXT(Tabela1[[#This Row],[DATA]],"dd/mm/aaaa")</f>
        <v>24/04/2026</v>
      </c>
    </row>
    <row r="2810" spans="1:21" x14ac:dyDescent="0.25">
      <c r="A2810" s="9">
        <v>46136.703356481485</v>
      </c>
      <c r="B2810" t="s">
        <v>19</v>
      </c>
      <c r="C2810" t="s">
        <v>37</v>
      </c>
      <c r="D2810">
        <v>110</v>
      </c>
      <c r="E2810">
        <v>7585606000185</v>
      </c>
      <c r="F2810">
        <v>602</v>
      </c>
      <c r="G2810" s="10">
        <v>177706037061631</v>
      </c>
      <c r="H2810" t="s">
        <v>93</v>
      </c>
      <c r="I2810">
        <v>3003</v>
      </c>
      <c r="J2810" t="s">
        <v>22</v>
      </c>
      <c r="K2810" t="s">
        <v>23</v>
      </c>
      <c r="L2810" t="s">
        <v>31</v>
      </c>
      <c r="M2810" t="s">
        <v>636</v>
      </c>
      <c r="N2810" t="s">
        <v>53</v>
      </c>
      <c r="O2810">
        <v>128</v>
      </c>
      <c r="R2810" s="11">
        <v>8.1018518518518516E-5</v>
      </c>
      <c r="S2810" t="s">
        <v>37</v>
      </c>
      <c r="T2810" t="str">
        <f>IF(Tabela1[[#This Row],[STATUS_NEGOCIO]]="Enviar E-mail",1,"")</f>
        <v/>
      </c>
      <c r="U2810" t="str">
        <f>TEXT(Tabela1[[#This Row],[DATA]],"dd/mm/aaaa")</f>
        <v>24/04/2026</v>
      </c>
    </row>
    <row r="2811" spans="1:21" x14ac:dyDescent="0.25">
      <c r="A2811" s="9">
        <v>46136.703530092593</v>
      </c>
      <c r="B2811" t="s">
        <v>19</v>
      </c>
      <c r="C2811" t="s">
        <v>37</v>
      </c>
      <c r="D2811">
        <v>111</v>
      </c>
      <c r="E2811">
        <v>7638597000143</v>
      </c>
      <c r="F2811">
        <v>603</v>
      </c>
      <c r="G2811" s="10">
        <v>177706038561651</v>
      </c>
      <c r="H2811" t="s">
        <v>302</v>
      </c>
      <c r="I2811">
        <v>3003</v>
      </c>
      <c r="J2811" t="s">
        <v>22</v>
      </c>
      <c r="K2811" t="s">
        <v>23</v>
      </c>
      <c r="L2811" t="s">
        <v>31</v>
      </c>
      <c r="M2811" t="s">
        <v>636</v>
      </c>
      <c r="N2811" t="s">
        <v>53</v>
      </c>
      <c r="O2811">
        <v>128</v>
      </c>
      <c r="R2811" s="11">
        <v>8.1018518518518516E-5</v>
      </c>
      <c r="S2811" t="s">
        <v>37</v>
      </c>
      <c r="T2811" t="str">
        <f>IF(Tabela1[[#This Row],[STATUS_NEGOCIO]]="Enviar E-mail",1,"")</f>
        <v/>
      </c>
      <c r="U2811" t="str">
        <f>TEXT(Tabela1[[#This Row],[DATA]],"dd/mm/aaaa")</f>
        <v>24/04/2026</v>
      </c>
    </row>
    <row r="2812" spans="1:21" x14ac:dyDescent="0.25">
      <c r="A2812" s="9">
        <v>46136.703796296293</v>
      </c>
      <c r="B2812" t="s">
        <v>19</v>
      </c>
      <c r="C2812" t="s">
        <v>37</v>
      </c>
      <c r="D2812">
        <v>112</v>
      </c>
      <c r="E2812">
        <v>7762793000125</v>
      </c>
      <c r="F2812">
        <v>604</v>
      </c>
      <c r="G2812" s="10">
        <v>177706040861671</v>
      </c>
      <c r="H2812" t="s">
        <v>343</v>
      </c>
      <c r="I2812">
        <v>3003</v>
      </c>
      <c r="J2812" t="s">
        <v>22</v>
      </c>
      <c r="K2812" t="s">
        <v>23</v>
      </c>
      <c r="L2812" t="s">
        <v>31</v>
      </c>
      <c r="M2812" t="s">
        <v>636</v>
      </c>
      <c r="N2812" t="s">
        <v>53</v>
      </c>
      <c r="O2812">
        <v>147</v>
      </c>
      <c r="R2812" s="11">
        <v>8.1018518518518516E-5</v>
      </c>
      <c r="S2812" t="s">
        <v>37</v>
      </c>
      <c r="T2812" t="str">
        <f>IF(Tabela1[[#This Row],[STATUS_NEGOCIO]]="Enviar E-mail",1,"")</f>
        <v/>
      </c>
      <c r="U2812" t="str">
        <f>TEXT(Tabela1[[#This Row],[DATA]],"dd/mm/aaaa")</f>
        <v>24/04/2026</v>
      </c>
    </row>
    <row r="2813" spans="1:21" x14ac:dyDescent="0.25">
      <c r="A2813" s="9">
        <v>46136.704155092593</v>
      </c>
      <c r="B2813" t="s">
        <v>19</v>
      </c>
      <c r="C2813" t="s">
        <v>37</v>
      </c>
      <c r="D2813">
        <v>114</v>
      </c>
      <c r="E2813">
        <v>7876652000133</v>
      </c>
      <c r="F2813">
        <v>606</v>
      </c>
      <c r="G2813" s="10">
        <v>177706043961841</v>
      </c>
      <c r="H2813" t="s">
        <v>344</v>
      </c>
      <c r="I2813">
        <v>3003</v>
      </c>
      <c r="J2813" t="s">
        <v>22</v>
      </c>
      <c r="K2813" t="s">
        <v>23</v>
      </c>
      <c r="L2813" t="s">
        <v>31</v>
      </c>
      <c r="M2813" t="s">
        <v>636</v>
      </c>
      <c r="N2813" t="s">
        <v>53</v>
      </c>
      <c r="O2813">
        <v>128</v>
      </c>
      <c r="R2813" s="11">
        <v>8.1018518518518516E-5</v>
      </c>
      <c r="S2813" t="s">
        <v>37</v>
      </c>
      <c r="T2813" t="str">
        <f>IF(Tabela1[[#This Row],[STATUS_NEGOCIO]]="Enviar E-mail",1,"")</f>
        <v/>
      </c>
      <c r="U2813" t="str">
        <f>TEXT(Tabela1[[#This Row],[DATA]],"dd/mm/aaaa")</f>
        <v>24/04/2026</v>
      </c>
    </row>
    <row r="2814" spans="1:21" x14ac:dyDescent="0.25">
      <c r="A2814" s="9">
        <v>46136.704293981478</v>
      </c>
      <c r="B2814" t="s">
        <v>19</v>
      </c>
      <c r="C2814" t="s">
        <v>37</v>
      </c>
      <c r="D2814">
        <v>113</v>
      </c>
      <c r="E2814">
        <v>7783371000136</v>
      </c>
      <c r="F2814">
        <v>605</v>
      </c>
      <c r="G2814" s="10">
        <v>177706042461751</v>
      </c>
      <c r="H2814" t="s">
        <v>84</v>
      </c>
      <c r="I2814">
        <v>3003</v>
      </c>
      <c r="J2814" t="s">
        <v>22</v>
      </c>
      <c r="K2814" t="s">
        <v>23</v>
      </c>
      <c r="L2814" t="s">
        <v>31</v>
      </c>
      <c r="M2814" t="s">
        <v>636</v>
      </c>
      <c r="N2814" t="s">
        <v>26</v>
      </c>
      <c r="O2814">
        <v>131</v>
      </c>
      <c r="R2814" s="11">
        <v>3.8194444444444446E-4</v>
      </c>
      <c r="S2814" t="s">
        <v>37</v>
      </c>
      <c r="T2814" t="str">
        <f>IF(Tabela1[[#This Row],[STATUS_NEGOCIO]]="Enviar E-mail",1,"")</f>
        <v/>
      </c>
      <c r="U2814" t="str">
        <f>TEXT(Tabela1[[#This Row],[DATA]],"dd/mm/aaaa")</f>
        <v>24/04/2026</v>
      </c>
    </row>
    <row r="2815" spans="1:21" x14ac:dyDescent="0.25">
      <c r="A2815" s="9">
        <v>46136.704479166663</v>
      </c>
      <c r="B2815" t="s">
        <v>19</v>
      </c>
      <c r="C2815" t="s">
        <v>37</v>
      </c>
      <c r="D2815">
        <v>115</v>
      </c>
      <c r="E2815">
        <v>7955927000124</v>
      </c>
      <c r="F2815">
        <v>607</v>
      </c>
      <c r="G2815" s="10">
        <v>177706046761901</v>
      </c>
      <c r="H2815" t="s">
        <v>79</v>
      </c>
      <c r="I2815">
        <v>3003</v>
      </c>
      <c r="J2815" t="s">
        <v>22</v>
      </c>
      <c r="K2815" t="s">
        <v>23</v>
      </c>
      <c r="L2815" t="s">
        <v>31</v>
      </c>
      <c r="M2815" t="s">
        <v>636</v>
      </c>
      <c r="N2815" t="s">
        <v>53</v>
      </c>
      <c r="O2815">
        <v>128</v>
      </c>
      <c r="R2815" s="11">
        <v>8.1018518518518516E-5</v>
      </c>
      <c r="S2815" t="s">
        <v>37</v>
      </c>
      <c r="T2815" t="str">
        <f>IF(Tabela1[[#This Row],[STATUS_NEGOCIO]]="Enviar E-mail",1,"")</f>
        <v/>
      </c>
      <c r="U2815" t="str">
        <f>TEXT(Tabela1[[#This Row],[DATA]],"dd/mm/aaaa")</f>
        <v>24/04/2026</v>
      </c>
    </row>
    <row r="2816" spans="1:21" x14ac:dyDescent="0.25">
      <c r="A2816" s="9">
        <v>46136.704479166663</v>
      </c>
      <c r="B2816" t="s">
        <v>19</v>
      </c>
      <c r="C2816" t="s">
        <v>37</v>
      </c>
      <c r="D2816">
        <v>116</v>
      </c>
      <c r="E2816">
        <v>8083779000168</v>
      </c>
      <c r="F2816">
        <v>608</v>
      </c>
      <c r="G2816" s="10">
        <v>177706046761911</v>
      </c>
      <c r="H2816" t="s">
        <v>345</v>
      </c>
      <c r="I2816">
        <v>3003</v>
      </c>
      <c r="J2816" t="s">
        <v>22</v>
      </c>
      <c r="K2816" t="s">
        <v>23</v>
      </c>
      <c r="L2816" t="s">
        <v>31</v>
      </c>
      <c r="M2816" t="s">
        <v>636</v>
      </c>
      <c r="N2816" t="s">
        <v>53</v>
      </c>
      <c r="O2816">
        <v>128</v>
      </c>
      <c r="R2816" s="11">
        <v>8.1018518518518516E-5</v>
      </c>
      <c r="S2816" t="s">
        <v>37</v>
      </c>
      <c r="T2816" t="str">
        <f>IF(Tabela1[[#This Row],[STATUS_NEGOCIO]]="Enviar E-mail",1,"")</f>
        <v/>
      </c>
      <c r="U2816" t="str">
        <f>TEXT(Tabela1[[#This Row],[DATA]],"dd/mm/aaaa")</f>
        <v>24/04/2026</v>
      </c>
    </row>
    <row r="2817" spans="1:21" x14ac:dyDescent="0.25">
      <c r="A2817" s="9">
        <v>46136.705000000002</v>
      </c>
      <c r="B2817" t="s">
        <v>19</v>
      </c>
      <c r="C2817" t="s">
        <v>37</v>
      </c>
      <c r="D2817">
        <v>117</v>
      </c>
      <c r="E2817">
        <v>8117661000103</v>
      </c>
      <c r="F2817">
        <v>609</v>
      </c>
      <c r="G2817" s="10">
        <v>177706051261931</v>
      </c>
      <c r="H2817" t="s">
        <v>94</v>
      </c>
      <c r="I2817">
        <v>3003</v>
      </c>
      <c r="J2817" t="s">
        <v>22</v>
      </c>
      <c r="K2817" t="s">
        <v>23</v>
      </c>
      <c r="L2817" t="s">
        <v>31</v>
      </c>
      <c r="M2817" t="s">
        <v>636</v>
      </c>
      <c r="N2817" t="s">
        <v>53</v>
      </c>
      <c r="O2817">
        <v>128</v>
      </c>
      <c r="R2817" s="11">
        <v>8.1018518518518516E-5</v>
      </c>
      <c r="S2817" t="s">
        <v>37</v>
      </c>
      <c r="T2817" t="str">
        <f>IF(Tabela1[[#This Row],[STATUS_NEGOCIO]]="Enviar E-mail",1,"")</f>
        <v/>
      </c>
      <c r="U2817" t="str">
        <f>TEXT(Tabela1[[#This Row],[DATA]],"dd/mm/aaaa")</f>
        <v>24/04/2026</v>
      </c>
    </row>
    <row r="2818" spans="1:21" x14ac:dyDescent="0.25">
      <c r="A2818" s="9">
        <v>46136.705011574071</v>
      </c>
      <c r="B2818" t="s">
        <v>19</v>
      </c>
      <c r="C2818" t="s">
        <v>37</v>
      </c>
      <c r="D2818">
        <v>118</v>
      </c>
      <c r="E2818">
        <v>8144303000190</v>
      </c>
      <c r="F2818">
        <v>610</v>
      </c>
      <c r="G2818" s="10">
        <v>177706051361951</v>
      </c>
      <c r="H2818" t="s">
        <v>346</v>
      </c>
      <c r="I2818">
        <v>3003</v>
      </c>
      <c r="J2818" t="s">
        <v>22</v>
      </c>
      <c r="K2818" t="s">
        <v>23</v>
      </c>
      <c r="L2818" t="s">
        <v>31</v>
      </c>
      <c r="M2818" t="s">
        <v>636</v>
      </c>
      <c r="N2818" t="s">
        <v>53</v>
      </c>
      <c r="O2818">
        <v>128</v>
      </c>
      <c r="R2818" s="11">
        <v>8.1018518518518516E-5</v>
      </c>
      <c r="S2818" t="s">
        <v>37</v>
      </c>
      <c r="T2818" t="str">
        <f>IF(Tabela1[[#This Row],[STATUS_NEGOCIO]]="Enviar E-mail",1,"")</f>
        <v/>
      </c>
      <c r="U2818" t="str">
        <f>TEXT(Tabela1[[#This Row],[DATA]],"dd/mm/aaaa")</f>
        <v>24/04/2026</v>
      </c>
    </row>
    <row r="2819" spans="1:21" x14ac:dyDescent="0.25">
      <c r="A2819" s="9">
        <v>46136.705208333333</v>
      </c>
      <c r="B2819" t="s">
        <v>19</v>
      </c>
      <c r="C2819" t="s">
        <v>37</v>
      </c>
      <c r="D2819">
        <v>119</v>
      </c>
      <c r="E2819">
        <v>8174306000176</v>
      </c>
      <c r="F2819">
        <v>611</v>
      </c>
      <c r="G2819" s="10">
        <v>177706053061971</v>
      </c>
      <c r="H2819" t="s">
        <v>347</v>
      </c>
      <c r="I2819">
        <v>3003</v>
      </c>
      <c r="J2819" t="s">
        <v>22</v>
      </c>
      <c r="K2819" t="s">
        <v>23</v>
      </c>
      <c r="L2819" t="s">
        <v>31</v>
      </c>
      <c r="M2819" t="s">
        <v>636</v>
      </c>
      <c r="N2819" t="s">
        <v>53</v>
      </c>
      <c r="O2819">
        <v>128</v>
      </c>
      <c r="R2819" s="11">
        <v>8.1018518518518516E-5</v>
      </c>
      <c r="S2819" t="s">
        <v>37</v>
      </c>
      <c r="T2819" t="str">
        <f>IF(Tabela1[[#This Row],[STATUS_NEGOCIO]]="Enviar E-mail",1,"")</f>
        <v/>
      </c>
      <c r="U2819" t="str">
        <f>TEXT(Tabela1[[#This Row],[DATA]],"dd/mm/aaaa")</f>
        <v>24/04/2026</v>
      </c>
    </row>
    <row r="2820" spans="1:21" x14ac:dyDescent="0.25">
      <c r="A2820" s="9">
        <v>46136.705370370371</v>
      </c>
      <c r="B2820" t="s">
        <v>19</v>
      </c>
      <c r="C2820" t="s">
        <v>37</v>
      </c>
      <c r="D2820">
        <v>120</v>
      </c>
      <c r="E2820">
        <v>8226364000104</v>
      </c>
      <c r="F2820">
        <v>612</v>
      </c>
      <c r="G2820" s="10">
        <v>177706054461991</v>
      </c>
      <c r="H2820" t="s">
        <v>348</v>
      </c>
      <c r="I2820">
        <v>3003</v>
      </c>
      <c r="J2820" t="s">
        <v>22</v>
      </c>
      <c r="K2820" t="s">
        <v>23</v>
      </c>
      <c r="L2820" t="s">
        <v>31</v>
      </c>
      <c r="M2820" t="s">
        <v>636</v>
      </c>
      <c r="N2820" t="s">
        <v>53</v>
      </c>
      <c r="O2820">
        <v>128</v>
      </c>
      <c r="R2820" s="11">
        <v>6.9444444444444444E-5</v>
      </c>
      <c r="S2820" t="s">
        <v>37</v>
      </c>
      <c r="T2820" t="str">
        <f>IF(Tabela1[[#This Row],[STATUS_NEGOCIO]]="Enviar E-mail",1,"")</f>
        <v/>
      </c>
      <c r="U2820" t="str">
        <f>TEXT(Tabela1[[#This Row],[DATA]],"dd/mm/aaaa")</f>
        <v>24/04/2026</v>
      </c>
    </row>
    <row r="2821" spans="1:21" x14ac:dyDescent="0.25">
      <c r="A2821" s="9">
        <v>46136.705451388887</v>
      </c>
      <c r="B2821" t="s">
        <v>19</v>
      </c>
      <c r="C2821" t="s">
        <v>37</v>
      </c>
      <c r="D2821">
        <v>121</v>
      </c>
      <c r="E2821">
        <v>8311819000262</v>
      </c>
      <c r="F2821">
        <v>613</v>
      </c>
      <c r="G2821" s="10">
        <v>177706055162011</v>
      </c>
      <c r="H2821" t="s">
        <v>349</v>
      </c>
      <c r="I2821">
        <v>3003</v>
      </c>
      <c r="J2821" t="s">
        <v>22</v>
      </c>
      <c r="K2821" t="s">
        <v>23</v>
      </c>
      <c r="L2821" t="s">
        <v>31</v>
      </c>
      <c r="M2821" t="s">
        <v>636</v>
      </c>
      <c r="N2821" t="s">
        <v>53</v>
      </c>
      <c r="O2821">
        <v>128</v>
      </c>
      <c r="R2821" s="11">
        <v>6.9444444444444444E-5</v>
      </c>
      <c r="S2821" t="s">
        <v>37</v>
      </c>
      <c r="T2821" t="str">
        <f>IF(Tabela1[[#This Row],[STATUS_NEGOCIO]]="Enviar E-mail",1,"")</f>
        <v/>
      </c>
      <c r="U2821" t="str">
        <f>TEXT(Tabela1[[#This Row],[DATA]],"dd/mm/aaaa")</f>
        <v>24/04/2026</v>
      </c>
    </row>
    <row r="2822" spans="1:21" x14ac:dyDescent="0.25">
      <c r="A2822" s="9">
        <v>46136.705590277779</v>
      </c>
      <c r="B2822" t="s">
        <v>19</v>
      </c>
      <c r="C2822" t="s">
        <v>37</v>
      </c>
      <c r="D2822">
        <v>122</v>
      </c>
      <c r="E2822">
        <v>8518829000354</v>
      </c>
      <c r="F2822">
        <v>614</v>
      </c>
      <c r="G2822" s="10">
        <v>177706056362031</v>
      </c>
      <c r="H2822" t="s">
        <v>350</v>
      </c>
      <c r="I2822">
        <v>3003</v>
      </c>
      <c r="J2822" t="s">
        <v>22</v>
      </c>
      <c r="K2822" t="s">
        <v>23</v>
      </c>
      <c r="L2822" t="s">
        <v>31</v>
      </c>
      <c r="M2822" t="s">
        <v>636</v>
      </c>
      <c r="N2822" t="s">
        <v>53</v>
      </c>
      <c r="O2822">
        <v>128</v>
      </c>
      <c r="R2822" s="11">
        <v>4.6296296296296294E-5</v>
      </c>
      <c r="S2822" t="s">
        <v>37</v>
      </c>
      <c r="T2822" t="str">
        <f>IF(Tabela1[[#This Row],[STATUS_NEGOCIO]]="Enviar E-mail",1,"")</f>
        <v/>
      </c>
      <c r="U2822" t="str">
        <f>TEXT(Tabela1[[#This Row],[DATA]],"dd/mm/aaaa")</f>
        <v>24/04/2026</v>
      </c>
    </row>
    <row r="2823" spans="1:21" x14ac:dyDescent="0.25">
      <c r="A2823" s="9">
        <v>46136.705717592595</v>
      </c>
      <c r="B2823" t="s">
        <v>19</v>
      </c>
      <c r="C2823" t="s">
        <v>37</v>
      </c>
      <c r="D2823">
        <v>123</v>
      </c>
      <c r="E2823">
        <v>8537926000122</v>
      </c>
      <c r="F2823">
        <v>615</v>
      </c>
      <c r="G2823" s="10">
        <v>177706057462051</v>
      </c>
      <c r="H2823" t="s">
        <v>351</v>
      </c>
      <c r="I2823">
        <v>3003</v>
      </c>
      <c r="J2823" t="s">
        <v>22</v>
      </c>
      <c r="K2823" t="s">
        <v>23</v>
      </c>
      <c r="L2823" t="s">
        <v>31</v>
      </c>
      <c r="M2823" t="s">
        <v>636</v>
      </c>
      <c r="N2823" t="s">
        <v>53</v>
      </c>
      <c r="O2823">
        <v>128</v>
      </c>
      <c r="R2823" s="11">
        <v>8.1018518518518516E-5</v>
      </c>
      <c r="S2823" t="s">
        <v>37</v>
      </c>
      <c r="T2823" t="str">
        <f>IF(Tabela1[[#This Row],[STATUS_NEGOCIO]]="Enviar E-mail",1,"")</f>
        <v/>
      </c>
      <c r="U2823" t="str">
        <f>TEXT(Tabela1[[#This Row],[DATA]],"dd/mm/aaaa")</f>
        <v>24/04/2026</v>
      </c>
    </row>
    <row r="2824" spans="1:21" x14ac:dyDescent="0.25">
      <c r="A2824" s="9">
        <v>46136.705868055556</v>
      </c>
      <c r="B2824" t="s">
        <v>19</v>
      </c>
      <c r="C2824" t="s">
        <v>37</v>
      </c>
      <c r="D2824">
        <v>124</v>
      </c>
      <c r="E2824">
        <v>8599024000110</v>
      </c>
      <c r="F2824">
        <v>616</v>
      </c>
      <c r="G2824" s="10">
        <v>177706058762101</v>
      </c>
      <c r="H2824" t="s">
        <v>352</v>
      </c>
      <c r="I2824">
        <v>3003</v>
      </c>
      <c r="J2824" t="s">
        <v>22</v>
      </c>
      <c r="K2824" t="s">
        <v>23</v>
      </c>
      <c r="L2824" t="s">
        <v>31</v>
      </c>
      <c r="M2824" t="s">
        <v>636</v>
      </c>
      <c r="N2824" t="s">
        <v>53</v>
      </c>
      <c r="O2824">
        <v>128</v>
      </c>
      <c r="R2824" s="11">
        <v>8.1018518518518516E-5</v>
      </c>
      <c r="S2824" t="s">
        <v>37</v>
      </c>
      <c r="T2824" t="str">
        <f>IF(Tabela1[[#This Row],[STATUS_NEGOCIO]]="Enviar E-mail",1,"")</f>
        <v/>
      </c>
      <c r="U2824" t="str">
        <f>TEXT(Tabela1[[#This Row],[DATA]],"dd/mm/aaaa")</f>
        <v>24/04/2026</v>
      </c>
    </row>
    <row r="2825" spans="1:21" x14ac:dyDescent="0.25">
      <c r="A2825" s="9">
        <v>46136.705891203703</v>
      </c>
      <c r="B2825" t="s">
        <v>19</v>
      </c>
      <c r="C2825" t="s">
        <v>37</v>
      </c>
      <c r="D2825">
        <v>126</v>
      </c>
      <c r="E2825">
        <v>8764146000115</v>
      </c>
      <c r="F2825">
        <v>618</v>
      </c>
      <c r="G2825" s="10">
        <v>177706058962121</v>
      </c>
      <c r="H2825" t="s">
        <v>354</v>
      </c>
      <c r="I2825">
        <v>3003</v>
      </c>
      <c r="J2825" t="s">
        <v>22</v>
      </c>
      <c r="K2825" t="s">
        <v>23</v>
      </c>
      <c r="L2825" t="s">
        <v>31</v>
      </c>
      <c r="M2825" t="s">
        <v>636</v>
      </c>
      <c r="N2825" t="s">
        <v>53</v>
      </c>
      <c r="O2825">
        <v>128</v>
      </c>
      <c r="R2825" s="11">
        <v>6.9444444444444444E-5</v>
      </c>
      <c r="S2825" t="s">
        <v>37</v>
      </c>
      <c r="T2825" t="str">
        <f>IF(Tabela1[[#This Row],[STATUS_NEGOCIO]]="Enviar E-mail",1,"")</f>
        <v/>
      </c>
      <c r="U2825" t="str">
        <f>TEXT(Tabela1[[#This Row],[DATA]],"dd/mm/aaaa")</f>
        <v>24/04/2026</v>
      </c>
    </row>
    <row r="2826" spans="1:21" x14ac:dyDescent="0.25">
      <c r="A2826" s="9">
        <v>46136.706145833334</v>
      </c>
      <c r="B2826" t="s">
        <v>19</v>
      </c>
      <c r="C2826" t="s">
        <v>37</v>
      </c>
      <c r="D2826">
        <v>127</v>
      </c>
      <c r="E2826">
        <v>8879331000155</v>
      </c>
      <c r="F2826">
        <v>619</v>
      </c>
      <c r="G2826" s="10">
        <v>177706061162201</v>
      </c>
      <c r="H2826" t="s">
        <v>355</v>
      </c>
      <c r="I2826" t="s">
        <v>52</v>
      </c>
      <c r="J2826" t="s">
        <v>22</v>
      </c>
      <c r="K2826" t="s">
        <v>36</v>
      </c>
      <c r="L2826" t="s">
        <v>36</v>
      </c>
      <c r="M2826" t="s">
        <v>636</v>
      </c>
      <c r="N2826" t="s">
        <v>53</v>
      </c>
      <c r="O2826">
        <v>34</v>
      </c>
      <c r="R2826" s="11">
        <v>0</v>
      </c>
      <c r="S2826" t="s">
        <v>37</v>
      </c>
      <c r="T2826" t="str">
        <f>IF(Tabela1[[#This Row],[STATUS_NEGOCIO]]="Enviar E-mail",1,"")</f>
        <v/>
      </c>
      <c r="U2826" t="str">
        <f>TEXT(Tabela1[[#This Row],[DATA]],"dd/mm/aaaa")</f>
        <v>24/04/2026</v>
      </c>
    </row>
    <row r="2827" spans="1:21" x14ac:dyDescent="0.25">
      <c r="A2827" s="9">
        <v>46136.70621527778</v>
      </c>
      <c r="B2827" t="s">
        <v>19</v>
      </c>
      <c r="C2827" t="s">
        <v>37</v>
      </c>
      <c r="D2827">
        <v>128</v>
      </c>
      <c r="E2827">
        <v>8892204000196</v>
      </c>
      <c r="F2827">
        <v>620</v>
      </c>
      <c r="G2827" s="10">
        <v>177706061762211</v>
      </c>
      <c r="H2827" t="s">
        <v>356</v>
      </c>
      <c r="I2827" t="s">
        <v>52</v>
      </c>
      <c r="J2827" t="s">
        <v>22</v>
      </c>
      <c r="K2827" t="s">
        <v>36</v>
      </c>
      <c r="L2827" t="s">
        <v>36</v>
      </c>
      <c r="M2827" t="s">
        <v>636</v>
      </c>
      <c r="N2827" t="s">
        <v>53</v>
      </c>
      <c r="O2827">
        <v>19</v>
      </c>
      <c r="R2827" s="11">
        <v>0</v>
      </c>
      <c r="S2827" t="s">
        <v>37</v>
      </c>
      <c r="T2827" t="str">
        <f>IF(Tabela1[[#This Row],[STATUS_NEGOCIO]]="Enviar E-mail",1,"")</f>
        <v/>
      </c>
      <c r="U2827" t="str">
        <f>TEXT(Tabela1[[#This Row],[DATA]],"dd/mm/aaaa")</f>
        <v>24/04/2026</v>
      </c>
    </row>
    <row r="2828" spans="1:21" x14ac:dyDescent="0.25">
      <c r="A2828" s="9">
        <v>46136.70621527778</v>
      </c>
      <c r="B2828" t="s">
        <v>19</v>
      </c>
      <c r="C2828" t="s">
        <v>37</v>
      </c>
      <c r="D2828">
        <v>129</v>
      </c>
      <c r="E2828">
        <v>8912389000153</v>
      </c>
      <c r="F2828">
        <v>621</v>
      </c>
      <c r="G2828" s="10">
        <v>177706061762231</v>
      </c>
      <c r="H2828" t="s">
        <v>357</v>
      </c>
      <c r="I2828">
        <v>3003</v>
      </c>
      <c r="J2828" t="s">
        <v>22</v>
      </c>
      <c r="K2828" t="s">
        <v>23</v>
      </c>
      <c r="L2828" t="s">
        <v>31</v>
      </c>
      <c r="M2828" t="s">
        <v>636</v>
      </c>
      <c r="N2828" t="s">
        <v>53</v>
      </c>
      <c r="O2828">
        <v>128</v>
      </c>
      <c r="R2828" s="11">
        <v>6.9444444444444444E-5</v>
      </c>
      <c r="S2828" t="s">
        <v>37</v>
      </c>
      <c r="T2828" t="str">
        <f>IF(Tabela1[[#This Row],[STATUS_NEGOCIO]]="Enviar E-mail",1,"")</f>
        <v/>
      </c>
      <c r="U2828" t="str">
        <f>TEXT(Tabela1[[#This Row],[DATA]],"dd/mm/aaaa")</f>
        <v>24/04/2026</v>
      </c>
    </row>
    <row r="2829" spans="1:21" x14ac:dyDescent="0.25">
      <c r="A2829" s="9">
        <v>46136.706504629627</v>
      </c>
      <c r="B2829" t="s">
        <v>19</v>
      </c>
      <c r="C2829" t="s">
        <v>37</v>
      </c>
      <c r="D2829">
        <v>130</v>
      </c>
      <c r="E2829">
        <v>8951936000100</v>
      </c>
      <c r="F2829">
        <v>622</v>
      </c>
      <c r="G2829" s="10">
        <v>177706064262311</v>
      </c>
      <c r="H2829" t="s">
        <v>358</v>
      </c>
      <c r="I2829">
        <v>3003</v>
      </c>
      <c r="J2829" t="s">
        <v>22</v>
      </c>
      <c r="K2829" t="s">
        <v>23</v>
      </c>
      <c r="L2829" t="s">
        <v>31</v>
      </c>
      <c r="M2829" t="s">
        <v>636</v>
      </c>
      <c r="N2829" t="s">
        <v>53</v>
      </c>
      <c r="O2829">
        <v>128</v>
      </c>
      <c r="R2829" s="11">
        <v>8.1018518518518516E-5</v>
      </c>
      <c r="S2829" t="s">
        <v>37</v>
      </c>
      <c r="T2829" t="str">
        <f>IF(Tabela1[[#This Row],[STATUS_NEGOCIO]]="Enviar E-mail",1,"")</f>
        <v/>
      </c>
      <c r="U2829" t="str">
        <f>TEXT(Tabela1[[#This Row],[DATA]],"dd/mm/aaaa")</f>
        <v>24/04/2026</v>
      </c>
    </row>
    <row r="2830" spans="1:21" x14ac:dyDescent="0.25">
      <c r="A2830" s="9">
        <v>46136.706793981481</v>
      </c>
      <c r="B2830" t="s">
        <v>19</v>
      </c>
      <c r="C2830" t="s">
        <v>37</v>
      </c>
      <c r="D2830">
        <v>131</v>
      </c>
      <c r="E2830">
        <v>8973205000165</v>
      </c>
      <c r="F2830">
        <v>623</v>
      </c>
      <c r="G2830" s="10">
        <v>177706066762321</v>
      </c>
      <c r="H2830" t="s">
        <v>359</v>
      </c>
      <c r="I2830">
        <v>3003</v>
      </c>
      <c r="J2830" t="s">
        <v>22</v>
      </c>
      <c r="K2830" t="s">
        <v>23</v>
      </c>
      <c r="L2830" t="s">
        <v>31</v>
      </c>
      <c r="M2830" t="s">
        <v>636</v>
      </c>
      <c r="N2830" t="s">
        <v>53</v>
      </c>
      <c r="O2830">
        <v>128</v>
      </c>
      <c r="R2830" s="11">
        <v>8.1018518518518516E-5</v>
      </c>
      <c r="S2830" t="s">
        <v>37</v>
      </c>
      <c r="T2830" t="str">
        <f>IF(Tabela1[[#This Row],[STATUS_NEGOCIO]]="Enviar E-mail",1,"")</f>
        <v/>
      </c>
      <c r="U2830" t="str">
        <f>TEXT(Tabela1[[#This Row],[DATA]],"dd/mm/aaaa")</f>
        <v>24/04/2026</v>
      </c>
    </row>
    <row r="2831" spans="1:21" x14ac:dyDescent="0.25">
      <c r="A2831" s="9">
        <v>46136.707048611112</v>
      </c>
      <c r="B2831" t="s">
        <v>19</v>
      </c>
      <c r="C2831" t="s">
        <v>37</v>
      </c>
      <c r="D2831">
        <v>132</v>
      </c>
      <c r="E2831">
        <v>8996355000194</v>
      </c>
      <c r="F2831">
        <v>624</v>
      </c>
      <c r="G2831" s="10">
        <v>177706068962341</v>
      </c>
      <c r="H2831" t="s">
        <v>360</v>
      </c>
      <c r="I2831">
        <v>3003</v>
      </c>
      <c r="J2831" t="s">
        <v>22</v>
      </c>
      <c r="K2831" t="s">
        <v>23</v>
      </c>
      <c r="L2831" t="s">
        <v>31</v>
      </c>
      <c r="M2831" t="s">
        <v>636</v>
      </c>
      <c r="N2831" t="s">
        <v>53</v>
      </c>
      <c r="O2831">
        <v>128</v>
      </c>
      <c r="R2831" s="11">
        <v>8.1018518518518516E-5</v>
      </c>
      <c r="S2831" t="s">
        <v>37</v>
      </c>
      <c r="T2831" t="str">
        <f>IF(Tabela1[[#This Row],[STATUS_NEGOCIO]]="Enviar E-mail",1,"")</f>
        <v/>
      </c>
      <c r="U2831" t="str">
        <f>TEXT(Tabela1[[#This Row],[DATA]],"dd/mm/aaaa")</f>
        <v>24/04/2026</v>
      </c>
    </row>
    <row r="2832" spans="1:21" x14ac:dyDescent="0.25">
      <c r="A2832" s="9">
        <v>46136.707152777781</v>
      </c>
      <c r="B2832" t="s">
        <v>19</v>
      </c>
      <c r="C2832" t="s">
        <v>37</v>
      </c>
      <c r="D2832">
        <v>133</v>
      </c>
      <c r="E2832">
        <v>9082639000138</v>
      </c>
      <c r="F2832">
        <v>625</v>
      </c>
      <c r="G2832" s="10">
        <v>177706069862391</v>
      </c>
      <c r="H2832" t="s">
        <v>41</v>
      </c>
      <c r="I2832">
        <v>3003</v>
      </c>
      <c r="J2832" t="s">
        <v>22</v>
      </c>
      <c r="K2832" t="s">
        <v>23</v>
      </c>
      <c r="L2832" t="s">
        <v>31</v>
      </c>
      <c r="M2832" t="s">
        <v>636</v>
      </c>
      <c r="N2832" t="s">
        <v>53</v>
      </c>
      <c r="O2832">
        <v>128</v>
      </c>
      <c r="R2832" s="11">
        <v>6.9444444444444444E-5</v>
      </c>
      <c r="S2832" t="s">
        <v>37</v>
      </c>
      <c r="T2832" t="str">
        <f>IF(Tabela1[[#This Row],[STATUS_NEGOCIO]]="Enviar E-mail",1,"")</f>
        <v/>
      </c>
      <c r="U2832" t="str">
        <f>TEXT(Tabela1[[#This Row],[DATA]],"dd/mm/aaaa")</f>
        <v>24/04/2026</v>
      </c>
    </row>
    <row r="2833" spans="1:21" x14ac:dyDescent="0.25">
      <c r="A2833" s="9">
        <v>46136.707245370373</v>
      </c>
      <c r="B2833" t="s">
        <v>19</v>
      </c>
      <c r="C2833" t="s">
        <v>37</v>
      </c>
      <c r="D2833">
        <v>136</v>
      </c>
      <c r="E2833">
        <v>9232340000112</v>
      </c>
      <c r="F2833">
        <v>626</v>
      </c>
      <c r="G2833" s="10">
        <v>177706070662411</v>
      </c>
      <c r="H2833" t="s">
        <v>362</v>
      </c>
      <c r="I2833">
        <v>3003</v>
      </c>
      <c r="J2833" t="s">
        <v>22</v>
      </c>
      <c r="K2833" t="s">
        <v>23</v>
      </c>
      <c r="L2833" t="s">
        <v>31</v>
      </c>
      <c r="M2833" t="s">
        <v>636</v>
      </c>
      <c r="N2833" t="s">
        <v>53</v>
      </c>
      <c r="O2833">
        <v>128</v>
      </c>
      <c r="R2833" s="11">
        <v>8.1018518518518516E-5</v>
      </c>
      <c r="S2833" t="s">
        <v>37</v>
      </c>
      <c r="T2833" t="str">
        <f>IF(Tabela1[[#This Row],[STATUS_NEGOCIO]]="Enviar E-mail",1,"")</f>
        <v/>
      </c>
      <c r="U2833" t="str">
        <f>TEXT(Tabela1[[#This Row],[DATA]],"dd/mm/aaaa")</f>
        <v>24/04/2026</v>
      </c>
    </row>
    <row r="2834" spans="1:21" x14ac:dyDescent="0.25">
      <c r="A2834" s="9">
        <v>46136.707407407404</v>
      </c>
      <c r="B2834" t="s">
        <v>19</v>
      </c>
      <c r="C2834" t="s">
        <v>37</v>
      </c>
      <c r="D2834">
        <v>137</v>
      </c>
      <c r="E2834">
        <v>9243828000145</v>
      </c>
      <c r="F2834">
        <v>627</v>
      </c>
      <c r="G2834" s="10">
        <v>177706072062471</v>
      </c>
      <c r="H2834" t="s">
        <v>80</v>
      </c>
      <c r="I2834">
        <v>3003</v>
      </c>
      <c r="J2834" t="s">
        <v>22</v>
      </c>
      <c r="K2834" t="s">
        <v>23</v>
      </c>
      <c r="L2834" t="s">
        <v>31</v>
      </c>
      <c r="M2834" t="s">
        <v>636</v>
      </c>
      <c r="N2834" t="s">
        <v>53</v>
      </c>
      <c r="O2834">
        <v>128</v>
      </c>
      <c r="R2834" s="11">
        <v>8.1018518518518516E-5</v>
      </c>
      <c r="S2834" t="s">
        <v>37</v>
      </c>
      <c r="T2834" t="str">
        <f>IF(Tabela1[[#This Row],[STATUS_NEGOCIO]]="Enviar E-mail",1,"")</f>
        <v/>
      </c>
      <c r="U2834" t="str">
        <f>TEXT(Tabela1[[#This Row],[DATA]],"dd/mm/aaaa")</f>
        <v>24/04/2026</v>
      </c>
    </row>
    <row r="2835" spans="1:21" x14ac:dyDescent="0.25">
      <c r="A2835" s="9">
        <v>46136.707418981481</v>
      </c>
      <c r="B2835" t="s">
        <v>19</v>
      </c>
      <c r="C2835" t="s">
        <v>37</v>
      </c>
      <c r="D2835">
        <v>139</v>
      </c>
      <c r="E2835">
        <v>9445964000118</v>
      </c>
      <c r="F2835">
        <v>628</v>
      </c>
      <c r="G2835" s="10">
        <v>177706072162491</v>
      </c>
      <c r="H2835" t="s">
        <v>211</v>
      </c>
      <c r="I2835">
        <v>3003</v>
      </c>
      <c r="J2835" t="s">
        <v>22</v>
      </c>
      <c r="K2835" t="s">
        <v>23</v>
      </c>
      <c r="L2835" t="s">
        <v>31</v>
      </c>
      <c r="M2835" t="s">
        <v>636</v>
      </c>
      <c r="N2835" t="s">
        <v>53</v>
      </c>
      <c r="O2835">
        <v>128</v>
      </c>
      <c r="R2835" s="11">
        <v>8.1018518518518516E-5</v>
      </c>
      <c r="S2835" t="s">
        <v>37</v>
      </c>
      <c r="T2835" t="str">
        <f>IF(Tabela1[[#This Row],[STATUS_NEGOCIO]]="Enviar E-mail",1,"")</f>
        <v/>
      </c>
      <c r="U2835" t="str">
        <f>TEXT(Tabela1[[#This Row],[DATA]],"dd/mm/aaaa")</f>
        <v>24/04/2026</v>
      </c>
    </row>
    <row r="2836" spans="1:21" x14ac:dyDescent="0.25">
      <c r="A2836" s="9">
        <v>46136.707592592589</v>
      </c>
      <c r="B2836" t="s">
        <v>19</v>
      </c>
      <c r="C2836" t="s">
        <v>37</v>
      </c>
      <c r="D2836">
        <v>140</v>
      </c>
      <c r="E2836">
        <v>9450692000144</v>
      </c>
      <c r="F2836">
        <v>629</v>
      </c>
      <c r="G2836" s="10">
        <v>177706073662511</v>
      </c>
      <c r="H2836" t="s">
        <v>282</v>
      </c>
      <c r="I2836">
        <v>3003</v>
      </c>
      <c r="J2836" t="s">
        <v>22</v>
      </c>
      <c r="K2836" t="s">
        <v>23</v>
      </c>
      <c r="L2836" t="s">
        <v>31</v>
      </c>
      <c r="M2836" t="s">
        <v>636</v>
      </c>
      <c r="N2836" t="s">
        <v>53</v>
      </c>
      <c r="O2836">
        <v>128</v>
      </c>
      <c r="R2836" s="11">
        <v>8.1018518518518516E-5</v>
      </c>
      <c r="S2836" t="s">
        <v>37</v>
      </c>
      <c r="T2836" t="str">
        <f>IF(Tabela1[[#This Row],[STATUS_NEGOCIO]]="Enviar E-mail",1,"")</f>
        <v/>
      </c>
      <c r="U2836" t="str">
        <f>TEXT(Tabela1[[#This Row],[DATA]],"dd/mm/aaaa")</f>
        <v>24/04/2026</v>
      </c>
    </row>
    <row r="2837" spans="1:21" x14ac:dyDescent="0.25">
      <c r="A2837" s="9">
        <v>46136.707951388889</v>
      </c>
      <c r="B2837" t="s">
        <v>19</v>
      </c>
      <c r="C2837" t="s">
        <v>37</v>
      </c>
      <c r="D2837">
        <v>141</v>
      </c>
      <c r="E2837">
        <v>9477090000180</v>
      </c>
      <c r="F2837">
        <v>630</v>
      </c>
      <c r="G2837" s="10">
        <v>177706076762651</v>
      </c>
      <c r="H2837" t="s">
        <v>364</v>
      </c>
      <c r="I2837">
        <v>3003</v>
      </c>
      <c r="J2837" t="s">
        <v>22</v>
      </c>
      <c r="K2837" t="s">
        <v>23</v>
      </c>
      <c r="L2837" t="s">
        <v>31</v>
      </c>
      <c r="M2837" t="s">
        <v>636</v>
      </c>
      <c r="N2837" t="s">
        <v>53</v>
      </c>
      <c r="O2837">
        <v>128</v>
      </c>
      <c r="R2837" s="11">
        <v>8.1018518518518516E-5</v>
      </c>
      <c r="S2837" t="s">
        <v>37</v>
      </c>
      <c r="T2837" t="str">
        <f>IF(Tabela1[[#This Row],[STATUS_NEGOCIO]]="Enviar E-mail",1,"")</f>
        <v/>
      </c>
      <c r="U2837" t="str">
        <f>TEXT(Tabela1[[#This Row],[DATA]],"dd/mm/aaaa")</f>
        <v>24/04/2026</v>
      </c>
    </row>
    <row r="2838" spans="1:21" x14ac:dyDescent="0.25">
      <c r="A2838" s="9">
        <v>46136.708113425928</v>
      </c>
      <c r="B2838" t="s">
        <v>19</v>
      </c>
      <c r="C2838" t="s">
        <v>37</v>
      </c>
      <c r="D2838">
        <v>142</v>
      </c>
      <c r="E2838">
        <v>9524235000157</v>
      </c>
      <c r="F2838">
        <v>631</v>
      </c>
      <c r="G2838" s="10">
        <v>177706078162671</v>
      </c>
      <c r="H2838" t="s">
        <v>365</v>
      </c>
      <c r="I2838">
        <v>3003</v>
      </c>
      <c r="J2838" t="s">
        <v>22</v>
      </c>
      <c r="K2838" t="s">
        <v>23</v>
      </c>
      <c r="L2838" t="s">
        <v>31</v>
      </c>
      <c r="M2838" t="s">
        <v>636</v>
      </c>
      <c r="N2838" t="s">
        <v>53</v>
      </c>
      <c r="O2838">
        <v>128</v>
      </c>
      <c r="R2838" s="11">
        <v>8.1018518518518516E-5</v>
      </c>
      <c r="S2838" t="s">
        <v>37</v>
      </c>
      <c r="T2838" t="str">
        <f>IF(Tabela1[[#This Row],[STATUS_NEGOCIO]]="Enviar E-mail",1,"")</f>
        <v/>
      </c>
      <c r="U2838" t="str">
        <f>TEXT(Tabela1[[#This Row],[DATA]],"dd/mm/aaaa")</f>
        <v>24/04/2026</v>
      </c>
    </row>
    <row r="2839" spans="1:21" x14ac:dyDescent="0.25">
      <c r="A2839" s="9">
        <v>46136.708171296297</v>
      </c>
      <c r="B2839" t="s">
        <v>19</v>
      </c>
      <c r="C2839" t="s">
        <v>20</v>
      </c>
      <c r="D2839">
        <v>143</v>
      </c>
      <c r="E2839">
        <v>10199619000120</v>
      </c>
      <c r="F2839">
        <v>632</v>
      </c>
      <c r="G2839" s="10">
        <v>177706078662691</v>
      </c>
      <c r="H2839" t="s">
        <v>366</v>
      </c>
      <c r="I2839">
        <v>3003</v>
      </c>
      <c r="J2839" t="s">
        <v>22</v>
      </c>
      <c r="K2839" t="s">
        <v>23</v>
      </c>
      <c r="L2839" t="s">
        <v>40</v>
      </c>
      <c r="M2839" t="s">
        <v>636</v>
      </c>
      <c r="N2839" t="s">
        <v>32</v>
      </c>
      <c r="O2839">
        <v>16</v>
      </c>
      <c r="R2839" s="11">
        <v>2.3842592592592591E-3</v>
      </c>
      <c r="S2839" s="11">
        <v>2.3263888888888887E-3</v>
      </c>
      <c r="T2839">
        <f>IF(Tabela1[[#This Row],[STATUS_NEGOCIO]]="Enviar E-mail",1,"")</f>
        <v>1</v>
      </c>
      <c r="U2839" t="str">
        <f>TEXT(Tabela1[[#This Row],[DATA]],"dd/mm/aaaa")</f>
        <v>24/04/2026</v>
      </c>
    </row>
    <row r="2840" spans="1:21" x14ac:dyDescent="0.25">
      <c r="A2840" s="9">
        <v>46136.708564814813</v>
      </c>
      <c r="B2840" t="s">
        <v>19</v>
      </c>
      <c r="C2840" t="s">
        <v>37</v>
      </c>
      <c r="D2840">
        <v>144</v>
      </c>
      <c r="E2840">
        <v>10312430000100</v>
      </c>
      <c r="F2840">
        <v>633</v>
      </c>
      <c r="G2840" s="10">
        <v>177706082062721</v>
      </c>
      <c r="H2840" t="s">
        <v>367</v>
      </c>
      <c r="I2840">
        <v>3003</v>
      </c>
      <c r="J2840" t="s">
        <v>22</v>
      </c>
      <c r="K2840" t="s">
        <v>23</v>
      </c>
      <c r="L2840" t="s">
        <v>31</v>
      </c>
      <c r="M2840" t="s">
        <v>636</v>
      </c>
      <c r="N2840" t="s">
        <v>53</v>
      </c>
      <c r="O2840">
        <v>128</v>
      </c>
      <c r="R2840" s="11">
        <v>8.1018518518518516E-5</v>
      </c>
      <c r="S2840" t="s">
        <v>37</v>
      </c>
      <c r="T2840" t="str">
        <f>IF(Tabela1[[#This Row],[STATUS_NEGOCIO]]="Enviar E-mail",1,"")</f>
        <v/>
      </c>
      <c r="U2840" t="str">
        <f>TEXT(Tabela1[[#This Row],[DATA]],"dd/mm/aaaa")</f>
        <v>24/04/2026</v>
      </c>
    </row>
    <row r="2841" spans="1:21" x14ac:dyDescent="0.25">
      <c r="A2841" s="9">
        <v>46136.708796296298</v>
      </c>
      <c r="B2841" t="s">
        <v>19</v>
      </c>
      <c r="C2841" t="s">
        <v>37</v>
      </c>
      <c r="D2841">
        <v>145</v>
      </c>
      <c r="E2841">
        <v>10320742000158</v>
      </c>
      <c r="F2841">
        <v>634</v>
      </c>
      <c r="G2841" s="10">
        <v>177706084062801</v>
      </c>
      <c r="H2841" t="s">
        <v>368</v>
      </c>
      <c r="I2841">
        <v>3003</v>
      </c>
      <c r="J2841" t="s">
        <v>22</v>
      </c>
      <c r="K2841" t="s">
        <v>23</v>
      </c>
      <c r="L2841" t="s">
        <v>31</v>
      </c>
      <c r="M2841" t="s">
        <v>636</v>
      </c>
      <c r="N2841" t="s">
        <v>53</v>
      </c>
      <c r="O2841">
        <v>128</v>
      </c>
      <c r="R2841" s="11">
        <v>8.1018518518518516E-5</v>
      </c>
      <c r="S2841" t="s">
        <v>37</v>
      </c>
      <c r="T2841" t="str">
        <f>IF(Tabela1[[#This Row],[STATUS_NEGOCIO]]="Enviar E-mail",1,"")</f>
        <v/>
      </c>
      <c r="U2841" t="str">
        <f>TEXT(Tabela1[[#This Row],[DATA]],"dd/mm/aaaa")</f>
        <v>24/04/2026</v>
      </c>
    </row>
    <row r="2842" spans="1:21" x14ac:dyDescent="0.25">
      <c r="A2842" s="9">
        <v>46136.709131944444</v>
      </c>
      <c r="B2842" t="s">
        <v>19</v>
      </c>
      <c r="C2842" t="s">
        <v>37</v>
      </c>
      <c r="D2842">
        <v>146</v>
      </c>
      <c r="E2842">
        <v>10335794000106</v>
      </c>
      <c r="F2842">
        <v>635</v>
      </c>
      <c r="G2842" s="10">
        <v>177706086962821</v>
      </c>
      <c r="H2842" t="s">
        <v>163</v>
      </c>
      <c r="I2842">
        <v>3003</v>
      </c>
      <c r="J2842" t="s">
        <v>22</v>
      </c>
      <c r="K2842" t="s">
        <v>23</v>
      </c>
      <c r="L2842" t="s">
        <v>31</v>
      </c>
      <c r="M2842" t="s">
        <v>636</v>
      </c>
      <c r="N2842" t="s">
        <v>53</v>
      </c>
      <c r="O2842">
        <v>128</v>
      </c>
      <c r="R2842" s="11">
        <v>6.9444444444444444E-5</v>
      </c>
      <c r="S2842" t="s">
        <v>37</v>
      </c>
      <c r="T2842" t="str">
        <f>IF(Tabela1[[#This Row],[STATUS_NEGOCIO]]="Enviar E-mail",1,"")</f>
        <v/>
      </c>
      <c r="U2842" t="str">
        <f>TEXT(Tabela1[[#This Row],[DATA]],"dd/mm/aaaa")</f>
        <v>24/04/2026</v>
      </c>
    </row>
    <row r="2843" spans="1:21" x14ac:dyDescent="0.25">
      <c r="A2843" s="9">
        <v>46136.709629629629</v>
      </c>
      <c r="B2843" t="s">
        <v>19</v>
      </c>
      <c r="C2843" t="s">
        <v>37</v>
      </c>
      <c r="D2843">
        <v>147</v>
      </c>
      <c r="E2843">
        <v>10364002000113</v>
      </c>
      <c r="F2843">
        <v>636</v>
      </c>
      <c r="G2843" s="10">
        <v>177706091262981</v>
      </c>
      <c r="H2843" t="s">
        <v>369</v>
      </c>
      <c r="I2843">
        <v>3003</v>
      </c>
      <c r="J2843" t="s">
        <v>22</v>
      </c>
      <c r="K2843" t="s">
        <v>23</v>
      </c>
      <c r="L2843" t="s">
        <v>31</v>
      </c>
      <c r="M2843" t="s">
        <v>636</v>
      </c>
      <c r="N2843" t="s">
        <v>53</v>
      </c>
      <c r="O2843">
        <v>128</v>
      </c>
      <c r="R2843" s="11">
        <v>8.1018518518518516E-5</v>
      </c>
      <c r="S2843" t="s">
        <v>37</v>
      </c>
      <c r="T2843" t="str">
        <f>IF(Tabela1[[#This Row],[STATUS_NEGOCIO]]="Enviar E-mail",1,"")</f>
        <v/>
      </c>
      <c r="U2843" t="str">
        <f>TEXT(Tabela1[[#This Row],[DATA]],"dd/mm/aaaa")</f>
        <v>24/04/2026</v>
      </c>
    </row>
    <row r="2844" spans="1:21" x14ac:dyDescent="0.25">
      <c r="A2844" s="9">
        <v>46136.710138888891</v>
      </c>
      <c r="B2844" t="s">
        <v>19</v>
      </c>
      <c r="C2844" t="s">
        <v>37</v>
      </c>
      <c r="D2844">
        <v>148</v>
      </c>
      <c r="E2844">
        <v>10379649000119</v>
      </c>
      <c r="F2844">
        <v>637</v>
      </c>
      <c r="G2844" s="10">
        <v>177706095663041</v>
      </c>
      <c r="H2844" t="s">
        <v>96</v>
      </c>
      <c r="I2844">
        <v>3003</v>
      </c>
      <c r="J2844" t="s">
        <v>22</v>
      </c>
      <c r="K2844" t="s">
        <v>23</v>
      </c>
      <c r="L2844" t="s">
        <v>31</v>
      </c>
      <c r="M2844" t="s">
        <v>636</v>
      </c>
      <c r="N2844" t="s">
        <v>53</v>
      </c>
      <c r="O2844">
        <v>128</v>
      </c>
      <c r="R2844" s="11">
        <v>8.1018518518518516E-5</v>
      </c>
      <c r="S2844" t="s">
        <v>37</v>
      </c>
      <c r="T2844" t="str">
        <f>IF(Tabela1[[#This Row],[STATUS_NEGOCIO]]="Enviar E-mail",1,"")</f>
        <v/>
      </c>
      <c r="U2844" t="str">
        <f>TEXT(Tabela1[[#This Row],[DATA]],"dd/mm/aaaa")</f>
        <v>24/04/2026</v>
      </c>
    </row>
    <row r="2845" spans="1:21" x14ac:dyDescent="0.25">
      <c r="A2845" s="9">
        <v>46136.710613425923</v>
      </c>
      <c r="B2845" t="s">
        <v>19</v>
      </c>
      <c r="C2845" t="s">
        <v>37</v>
      </c>
      <c r="D2845">
        <v>149</v>
      </c>
      <c r="E2845">
        <v>10433504000159</v>
      </c>
      <c r="F2845">
        <v>638</v>
      </c>
      <c r="G2845" s="10">
        <v>177706099763181</v>
      </c>
      <c r="H2845" t="s">
        <v>370</v>
      </c>
      <c r="I2845">
        <v>3003</v>
      </c>
      <c r="J2845" t="s">
        <v>22</v>
      </c>
      <c r="K2845" t="s">
        <v>23</v>
      </c>
      <c r="L2845" t="s">
        <v>31</v>
      </c>
      <c r="M2845" t="s">
        <v>636</v>
      </c>
      <c r="N2845" t="s">
        <v>53</v>
      </c>
      <c r="O2845">
        <v>128</v>
      </c>
      <c r="R2845" s="11">
        <v>8.1018518518518516E-5</v>
      </c>
      <c r="S2845" t="s">
        <v>37</v>
      </c>
      <c r="T2845" t="str">
        <f>IF(Tabela1[[#This Row],[STATUS_NEGOCIO]]="Enviar E-mail",1,"")</f>
        <v/>
      </c>
      <c r="U2845" t="str">
        <f>TEXT(Tabela1[[#This Row],[DATA]],"dd/mm/aaaa")</f>
        <v>24/04/2026</v>
      </c>
    </row>
    <row r="2846" spans="1:21" x14ac:dyDescent="0.25">
      <c r="A2846" s="9">
        <v>46136.710740740738</v>
      </c>
      <c r="B2846" t="s">
        <v>19</v>
      </c>
      <c r="C2846" t="s">
        <v>37</v>
      </c>
      <c r="D2846">
        <v>150</v>
      </c>
      <c r="E2846">
        <v>10443491000107</v>
      </c>
      <c r="F2846">
        <v>639</v>
      </c>
      <c r="G2846" s="10">
        <v>177706100863251</v>
      </c>
      <c r="H2846" t="s">
        <v>371</v>
      </c>
      <c r="I2846">
        <v>3003</v>
      </c>
      <c r="J2846" t="s">
        <v>22</v>
      </c>
      <c r="K2846" t="s">
        <v>23</v>
      </c>
      <c r="L2846" t="s">
        <v>31</v>
      </c>
      <c r="M2846" t="s">
        <v>636</v>
      </c>
      <c r="N2846" t="s">
        <v>53</v>
      </c>
      <c r="O2846">
        <v>131</v>
      </c>
      <c r="R2846" s="11">
        <v>1.1574074074074073E-5</v>
      </c>
      <c r="S2846" t="s">
        <v>37</v>
      </c>
      <c r="T2846" t="str">
        <f>IF(Tabela1[[#This Row],[STATUS_NEGOCIO]]="Enviar E-mail",1,"")</f>
        <v/>
      </c>
      <c r="U2846" t="str">
        <f>TEXT(Tabela1[[#This Row],[DATA]],"dd/mm/aaaa")</f>
        <v>24/04/2026</v>
      </c>
    </row>
    <row r="2847" spans="1:21" x14ac:dyDescent="0.25">
      <c r="A2847" s="9">
        <v>46136.710740740738</v>
      </c>
      <c r="B2847" t="s">
        <v>19</v>
      </c>
      <c r="C2847" t="s">
        <v>37</v>
      </c>
      <c r="D2847">
        <v>151</v>
      </c>
      <c r="E2847">
        <v>10479198000191</v>
      </c>
      <c r="F2847">
        <v>640</v>
      </c>
      <c r="G2847" s="10">
        <v>177706100863261</v>
      </c>
      <c r="H2847" t="s">
        <v>69</v>
      </c>
      <c r="I2847">
        <v>3003</v>
      </c>
      <c r="J2847" t="s">
        <v>22</v>
      </c>
      <c r="K2847" t="s">
        <v>23</v>
      </c>
      <c r="L2847" t="s">
        <v>31</v>
      </c>
      <c r="M2847" t="s">
        <v>636</v>
      </c>
      <c r="N2847" t="s">
        <v>53</v>
      </c>
      <c r="O2847">
        <v>128</v>
      </c>
      <c r="R2847" s="11">
        <v>8.1018518518518516E-5</v>
      </c>
      <c r="S2847" t="s">
        <v>37</v>
      </c>
      <c r="T2847" t="str">
        <f>IF(Tabela1[[#This Row],[STATUS_NEGOCIO]]="Enviar E-mail",1,"")</f>
        <v/>
      </c>
      <c r="U2847" t="str">
        <f>TEXT(Tabela1[[#This Row],[DATA]],"dd/mm/aaaa")</f>
        <v>24/04/2026</v>
      </c>
    </row>
    <row r="2848" spans="1:21" x14ac:dyDescent="0.25">
      <c r="A2848" s="9">
        <v>46136.714733796296</v>
      </c>
      <c r="B2848" t="s">
        <v>19</v>
      </c>
      <c r="C2848" t="s">
        <v>37</v>
      </c>
      <c r="D2848">
        <v>152</v>
      </c>
      <c r="E2848">
        <v>10480153000137</v>
      </c>
      <c r="F2848">
        <v>641</v>
      </c>
      <c r="G2848" s="10">
        <v>177706135363731</v>
      </c>
      <c r="H2848" t="s">
        <v>372</v>
      </c>
      <c r="I2848">
        <v>3003</v>
      </c>
      <c r="J2848" t="s">
        <v>22</v>
      </c>
      <c r="K2848" t="s">
        <v>23</v>
      </c>
      <c r="L2848" t="s">
        <v>31</v>
      </c>
      <c r="M2848" t="s">
        <v>636</v>
      </c>
      <c r="N2848" t="s">
        <v>53</v>
      </c>
      <c r="O2848">
        <v>128</v>
      </c>
      <c r="R2848" s="11">
        <v>6.9444444444444444E-5</v>
      </c>
      <c r="S2848" t="s">
        <v>37</v>
      </c>
      <c r="T2848" t="str">
        <f>IF(Tabela1[[#This Row],[STATUS_NEGOCIO]]="Enviar E-mail",1,"")</f>
        <v/>
      </c>
      <c r="U2848" t="str">
        <f>TEXT(Tabela1[[#This Row],[DATA]],"dd/mm/aaaa")</f>
        <v>24/04/2026</v>
      </c>
    </row>
    <row r="2849" spans="1:21" x14ac:dyDescent="0.25">
      <c r="A2849" s="9">
        <v>46136.714733796296</v>
      </c>
      <c r="B2849" t="s">
        <v>19</v>
      </c>
      <c r="C2849" t="s">
        <v>37</v>
      </c>
      <c r="D2849">
        <v>153</v>
      </c>
      <c r="E2849">
        <v>10594727000106</v>
      </c>
      <c r="F2849">
        <v>642</v>
      </c>
      <c r="G2849" s="10">
        <v>177706135363741</v>
      </c>
      <c r="H2849" t="s">
        <v>373</v>
      </c>
      <c r="I2849">
        <v>3003</v>
      </c>
      <c r="J2849" t="s">
        <v>22</v>
      </c>
      <c r="K2849" t="s">
        <v>23</v>
      </c>
      <c r="L2849" t="s">
        <v>31</v>
      </c>
      <c r="M2849" t="s">
        <v>636</v>
      </c>
      <c r="N2849" t="s">
        <v>53</v>
      </c>
      <c r="O2849">
        <v>128</v>
      </c>
      <c r="R2849" s="11">
        <v>8.1018518518518516E-5</v>
      </c>
      <c r="S2849" t="s">
        <v>37</v>
      </c>
      <c r="T2849" t="str">
        <f>IF(Tabela1[[#This Row],[STATUS_NEGOCIO]]="Enviar E-mail",1,"")</f>
        <v/>
      </c>
      <c r="U2849" t="str">
        <f>TEXT(Tabela1[[#This Row],[DATA]],"dd/mm/aaaa")</f>
        <v>24/04/2026</v>
      </c>
    </row>
    <row r="2850" spans="1:21" x14ac:dyDescent="0.25">
      <c r="A2850" s="9">
        <v>46136.71503472222</v>
      </c>
      <c r="B2850" t="s">
        <v>19</v>
      </c>
      <c r="C2850" t="s">
        <v>37</v>
      </c>
      <c r="D2850">
        <v>154</v>
      </c>
      <c r="E2850">
        <v>10737265000120</v>
      </c>
      <c r="F2850">
        <v>643</v>
      </c>
      <c r="G2850" s="10">
        <v>177706137963801</v>
      </c>
      <c r="H2850" t="s">
        <v>374</v>
      </c>
      <c r="I2850">
        <v>3003</v>
      </c>
      <c r="J2850" t="s">
        <v>22</v>
      </c>
      <c r="K2850" t="s">
        <v>23</v>
      </c>
      <c r="L2850" t="s">
        <v>31</v>
      </c>
      <c r="M2850" t="s">
        <v>636</v>
      </c>
      <c r="N2850" t="s">
        <v>53</v>
      </c>
      <c r="O2850">
        <v>128</v>
      </c>
      <c r="R2850" s="11">
        <v>8.1018518518518516E-5</v>
      </c>
      <c r="S2850" t="s">
        <v>37</v>
      </c>
      <c r="T2850" t="str">
        <f>IF(Tabela1[[#This Row],[STATUS_NEGOCIO]]="Enviar E-mail",1,"")</f>
        <v/>
      </c>
      <c r="U2850" t="str">
        <f>TEXT(Tabela1[[#This Row],[DATA]],"dd/mm/aaaa")</f>
        <v>24/04/2026</v>
      </c>
    </row>
    <row r="2851" spans="1:21" x14ac:dyDescent="0.25">
      <c r="A2851" s="9">
        <v>46136.715254629627</v>
      </c>
      <c r="B2851" t="s">
        <v>19</v>
      </c>
      <c r="C2851" t="s">
        <v>37</v>
      </c>
      <c r="D2851">
        <v>155</v>
      </c>
      <c r="E2851">
        <v>10745721000184</v>
      </c>
      <c r="F2851">
        <v>644</v>
      </c>
      <c r="G2851" s="10">
        <v>177706139863861</v>
      </c>
      <c r="H2851" t="s">
        <v>375</v>
      </c>
      <c r="I2851">
        <v>3003</v>
      </c>
      <c r="J2851" t="s">
        <v>22</v>
      </c>
      <c r="K2851" t="s">
        <v>23</v>
      </c>
      <c r="L2851" t="s">
        <v>31</v>
      </c>
      <c r="M2851" t="s">
        <v>636</v>
      </c>
      <c r="N2851" t="s">
        <v>53</v>
      </c>
      <c r="O2851">
        <v>128</v>
      </c>
      <c r="R2851" s="11">
        <v>8.1018518518518516E-5</v>
      </c>
      <c r="S2851" t="s">
        <v>37</v>
      </c>
      <c r="T2851" t="str">
        <f>IF(Tabela1[[#This Row],[STATUS_NEGOCIO]]="Enviar E-mail",1,"")</f>
        <v/>
      </c>
      <c r="U2851" t="str">
        <f>TEXT(Tabela1[[#This Row],[DATA]],"dd/mm/aaaa")</f>
        <v>24/04/2026</v>
      </c>
    </row>
    <row r="2852" spans="1:21" x14ac:dyDescent="0.25">
      <c r="A2852" s="9">
        <v>46136.715439814812</v>
      </c>
      <c r="B2852" t="s">
        <v>19</v>
      </c>
      <c r="C2852" t="s">
        <v>37</v>
      </c>
      <c r="D2852">
        <v>156</v>
      </c>
      <c r="E2852">
        <v>10746169000149</v>
      </c>
      <c r="F2852">
        <v>645</v>
      </c>
      <c r="G2852" s="10">
        <v>177706141463881</v>
      </c>
      <c r="H2852" t="s">
        <v>376</v>
      </c>
      <c r="I2852">
        <v>3003</v>
      </c>
      <c r="J2852" t="s">
        <v>22</v>
      </c>
      <c r="K2852" t="s">
        <v>23</v>
      </c>
      <c r="L2852" t="s">
        <v>31</v>
      </c>
      <c r="M2852" t="s">
        <v>636</v>
      </c>
      <c r="N2852" t="s">
        <v>53</v>
      </c>
      <c r="O2852">
        <v>128</v>
      </c>
      <c r="R2852" s="11">
        <v>8.1018518518518516E-5</v>
      </c>
      <c r="S2852" t="s">
        <v>37</v>
      </c>
      <c r="T2852" t="str">
        <f>IF(Tabela1[[#This Row],[STATUS_NEGOCIO]]="Enviar E-mail",1,"")</f>
        <v/>
      </c>
      <c r="U2852" t="str">
        <f>TEXT(Tabela1[[#This Row],[DATA]],"dd/mm/aaaa")</f>
        <v>24/04/2026</v>
      </c>
    </row>
    <row r="2853" spans="1:21" x14ac:dyDescent="0.25">
      <c r="A2853" s="9">
        <v>46136.715555555558</v>
      </c>
      <c r="B2853" t="s">
        <v>19</v>
      </c>
      <c r="C2853" t="s">
        <v>37</v>
      </c>
      <c r="D2853">
        <v>157</v>
      </c>
      <c r="E2853">
        <v>10790942000174</v>
      </c>
      <c r="F2853">
        <v>646</v>
      </c>
      <c r="G2853" s="10">
        <v>177706142463901</v>
      </c>
      <c r="H2853" t="s">
        <v>377</v>
      </c>
      <c r="I2853">
        <v>3003</v>
      </c>
      <c r="J2853" t="s">
        <v>22</v>
      </c>
      <c r="K2853" t="s">
        <v>23</v>
      </c>
      <c r="L2853" t="s">
        <v>31</v>
      </c>
      <c r="M2853" t="s">
        <v>636</v>
      </c>
      <c r="N2853" t="s">
        <v>53</v>
      </c>
      <c r="O2853">
        <v>147</v>
      </c>
      <c r="R2853" s="11">
        <v>8.1018518518518516E-5</v>
      </c>
      <c r="S2853" t="s">
        <v>37</v>
      </c>
      <c r="T2853" t="str">
        <f>IF(Tabela1[[#This Row],[STATUS_NEGOCIO]]="Enviar E-mail",1,"")</f>
        <v/>
      </c>
      <c r="U2853" t="str">
        <f>TEXT(Tabela1[[#This Row],[DATA]],"dd/mm/aaaa")</f>
        <v>24/04/2026</v>
      </c>
    </row>
    <row r="2854" spans="1:21" x14ac:dyDescent="0.25">
      <c r="A2854" s="9">
        <v>46136.715763888889</v>
      </c>
      <c r="B2854" t="s">
        <v>19</v>
      </c>
      <c r="C2854" t="s">
        <v>37</v>
      </c>
      <c r="D2854">
        <v>158</v>
      </c>
      <c r="E2854">
        <v>10888515000123</v>
      </c>
      <c r="F2854">
        <v>647</v>
      </c>
      <c r="G2854" s="10">
        <v>177706144263921</v>
      </c>
      <c r="H2854" t="s">
        <v>378</v>
      </c>
      <c r="I2854">
        <v>3003</v>
      </c>
      <c r="J2854" t="s">
        <v>22</v>
      </c>
      <c r="K2854" t="s">
        <v>23</v>
      </c>
      <c r="L2854" t="s">
        <v>31</v>
      </c>
      <c r="M2854" t="s">
        <v>636</v>
      </c>
      <c r="N2854" t="s">
        <v>53</v>
      </c>
      <c r="O2854">
        <v>128</v>
      </c>
      <c r="R2854" s="11">
        <v>5.7870370370370373E-5</v>
      </c>
      <c r="S2854" t="s">
        <v>37</v>
      </c>
      <c r="T2854" t="str">
        <f>IF(Tabela1[[#This Row],[STATUS_NEGOCIO]]="Enviar E-mail",1,"")</f>
        <v/>
      </c>
      <c r="U2854" t="str">
        <f>TEXT(Tabela1[[#This Row],[DATA]],"dd/mm/aaaa")</f>
        <v>24/04/2026</v>
      </c>
    </row>
    <row r="2855" spans="1:21" x14ac:dyDescent="0.25">
      <c r="A2855" s="9">
        <v>46136.715868055559</v>
      </c>
      <c r="B2855" t="s">
        <v>19</v>
      </c>
      <c r="C2855" t="s">
        <v>37</v>
      </c>
      <c r="D2855">
        <v>159</v>
      </c>
      <c r="E2855">
        <v>10984785000138</v>
      </c>
      <c r="F2855">
        <v>648</v>
      </c>
      <c r="G2855" s="10">
        <v>177706145163941</v>
      </c>
      <c r="H2855" t="s">
        <v>29</v>
      </c>
      <c r="I2855">
        <v>3003</v>
      </c>
      <c r="J2855" t="s">
        <v>22</v>
      </c>
      <c r="K2855" t="s">
        <v>23</v>
      </c>
      <c r="L2855" t="s">
        <v>31</v>
      </c>
      <c r="M2855" t="s">
        <v>636</v>
      </c>
      <c r="N2855" t="s">
        <v>53</v>
      </c>
      <c r="O2855">
        <v>128</v>
      </c>
      <c r="R2855" s="11">
        <v>8.1018518518518516E-5</v>
      </c>
      <c r="S2855" t="s">
        <v>37</v>
      </c>
      <c r="T2855" t="str">
        <f>IF(Tabela1[[#This Row],[STATUS_NEGOCIO]]="Enviar E-mail",1,"")</f>
        <v/>
      </c>
      <c r="U2855" t="str">
        <f>TEXT(Tabela1[[#This Row],[DATA]],"dd/mm/aaaa")</f>
        <v>24/04/2026</v>
      </c>
    </row>
    <row r="2856" spans="1:21" x14ac:dyDescent="0.25">
      <c r="A2856" s="9">
        <v>46136.715879629628</v>
      </c>
      <c r="B2856" t="s">
        <v>19</v>
      </c>
      <c r="C2856" t="s">
        <v>20</v>
      </c>
      <c r="D2856">
        <v>160</v>
      </c>
      <c r="E2856">
        <v>11013156000123</v>
      </c>
      <c r="F2856">
        <v>649</v>
      </c>
      <c r="G2856" s="10">
        <v>177706145263961</v>
      </c>
      <c r="H2856" t="s">
        <v>379</v>
      </c>
      <c r="I2856">
        <v>3003</v>
      </c>
      <c r="J2856" t="s">
        <v>22</v>
      </c>
      <c r="K2856" t="s">
        <v>23</v>
      </c>
      <c r="L2856" t="s">
        <v>265</v>
      </c>
      <c r="M2856" t="s">
        <v>636</v>
      </c>
      <c r="N2856" t="s">
        <v>32</v>
      </c>
      <c r="O2856">
        <v>16</v>
      </c>
      <c r="R2856" s="11">
        <v>2.199074074074074E-4</v>
      </c>
      <c r="S2856" s="11">
        <v>1.8518518518518518E-4</v>
      </c>
      <c r="T2856" t="str">
        <f>IF(Tabela1[[#This Row],[STATUS_NEGOCIO]]="Enviar E-mail",1,"")</f>
        <v/>
      </c>
      <c r="U2856" t="str">
        <f>TEXT(Tabela1[[#This Row],[DATA]],"dd/mm/aaaa")</f>
        <v>24/04/2026</v>
      </c>
    </row>
    <row r="2857" spans="1:21" x14ac:dyDescent="0.25">
      <c r="A2857" s="9">
        <v>46136.716064814813</v>
      </c>
      <c r="B2857" t="s">
        <v>19</v>
      </c>
      <c r="C2857" t="s">
        <v>37</v>
      </c>
      <c r="D2857">
        <v>161</v>
      </c>
      <c r="E2857">
        <v>11117005000115</v>
      </c>
      <c r="F2857">
        <v>650</v>
      </c>
      <c r="G2857" s="10">
        <v>177706146863991</v>
      </c>
      <c r="H2857" t="s">
        <v>380</v>
      </c>
      <c r="I2857">
        <v>3003</v>
      </c>
      <c r="J2857" t="s">
        <v>22</v>
      </c>
      <c r="K2857" t="s">
        <v>23</v>
      </c>
      <c r="L2857" t="s">
        <v>31</v>
      </c>
      <c r="M2857" t="s">
        <v>636</v>
      </c>
      <c r="N2857" t="s">
        <v>53</v>
      </c>
      <c r="O2857">
        <v>128</v>
      </c>
      <c r="R2857" s="11">
        <v>8.1018518518518516E-5</v>
      </c>
      <c r="S2857" t="s">
        <v>37</v>
      </c>
      <c r="T2857" t="str">
        <f>IF(Tabela1[[#This Row],[STATUS_NEGOCIO]]="Enviar E-mail",1,"")</f>
        <v/>
      </c>
      <c r="U2857" t="str">
        <f>TEXT(Tabela1[[#This Row],[DATA]],"dd/mm/aaaa")</f>
        <v>24/04/2026</v>
      </c>
    </row>
    <row r="2858" spans="1:21" x14ac:dyDescent="0.25">
      <c r="A2858" s="9">
        <v>46136.716249999998</v>
      </c>
      <c r="B2858" t="s">
        <v>19</v>
      </c>
      <c r="C2858" t="s">
        <v>37</v>
      </c>
      <c r="D2858">
        <v>163</v>
      </c>
      <c r="E2858">
        <v>11360283000107</v>
      </c>
      <c r="F2858">
        <v>651</v>
      </c>
      <c r="G2858" s="10">
        <v>177706148464011</v>
      </c>
      <c r="H2858" t="s">
        <v>382</v>
      </c>
      <c r="I2858">
        <v>3003</v>
      </c>
      <c r="J2858" t="s">
        <v>22</v>
      </c>
      <c r="K2858" t="s">
        <v>23</v>
      </c>
      <c r="L2858" t="s">
        <v>31</v>
      </c>
      <c r="M2858" t="s">
        <v>636</v>
      </c>
      <c r="N2858" t="s">
        <v>53</v>
      </c>
      <c r="O2858">
        <v>128</v>
      </c>
      <c r="R2858" s="11">
        <v>8.1018518518518516E-5</v>
      </c>
      <c r="S2858" t="s">
        <v>37</v>
      </c>
      <c r="T2858" t="str">
        <f>IF(Tabela1[[#This Row],[STATUS_NEGOCIO]]="Enviar E-mail",1,"")</f>
        <v/>
      </c>
      <c r="U2858" t="str">
        <f>TEXT(Tabela1[[#This Row],[DATA]],"dd/mm/aaaa")</f>
        <v>24/04/2026</v>
      </c>
    </row>
    <row r="2859" spans="1:21" x14ac:dyDescent="0.25">
      <c r="A2859" s="9">
        <v>46136.716527777775</v>
      </c>
      <c r="B2859" t="s">
        <v>19</v>
      </c>
      <c r="C2859" t="s">
        <v>37</v>
      </c>
      <c r="D2859">
        <v>164</v>
      </c>
      <c r="E2859">
        <v>11642542000184</v>
      </c>
      <c r="F2859">
        <v>652</v>
      </c>
      <c r="G2859" s="10">
        <v>177706150864091</v>
      </c>
      <c r="H2859" t="s">
        <v>383</v>
      </c>
      <c r="I2859">
        <v>3003</v>
      </c>
      <c r="J2859" t="s">
        <v>22</v>
      </c>
      <c r="K2859" t="s">
        <v>23</v>
      </c>
      <c r="L2859" t="s">
        <v>31</v>
      </c>
      <c r="M2859" t="s">
        <v>636</v>
      </c>
      <c r="N2859" t="s">
        <v>53</v>
      </c>
      <c r="O2859">
        <v>131</v>
      </c>
      <c r="R2859" s="11">
        <v>4.6296296296296294E-5</v>
      </c>
      <c r="S2859" t="s">
        <v>37</v>
      </c>
      <c r="T2859" t="str">
        <f>IF(Tabela1[[#This Row],[STATUS_NEGOCIO]]="Enviar E-mail",1,"")</f>
        <v/>
      </c>
      <c r="U2859" t="str">
        <f>TEXT(Tabela1[[#This Row],[DATA]],"dd/mm/aaaa")</f>
        <v>24/04/2026</v>
      </c>
    </row>
    <row r="2860" spans="1:21" x14ac:dyDescent="0.25">
      <c r="A2860" s="9">
        <v>46136.71665509259</v>
      </c>
      <c r="B2860" t="s">
        <v>19</v>
      </c>
      <c r="C2860" t="s">
        <v>37</v>
      </c>
      <c r="D2860">
        <v>165</v>
      </c>
      <c r="E2860">
        <v>11649203000120</v>
      </c>
      <c r="F2860">
        <v>653</v>
      </c>
      <c r="G2860" s="10">
        <v>177706151964121</v>
      </c>
      <c r="H2860" t="s">
        <v>384</v>
      </c>
      <c r="I2860">
        <v>3003</v>
      </c>
      <c r="J2860" t="s">
        <v>22</v>
      </c>
      <c r="K2860" t="s">
        <v>23</v>
      </c>
      <c r="L2860" t="s">
        <v>31</v>
      </c>
      <c r="M2860" t="s">
        <v>636</v>
      </c>
      <c r="N2860" t="s">
        <v>53</v>
      </c>
      <c r="O2860">
        <v>128</v>
      </c>
      <c r="R2860" s="11">
        <v>8.1018518518518516E-5</v>
      </c>
      <c r="S2860" t="s">
        <v>37</v>
      </c>
      <c r="T2860" t="str">
        <f>IF(Tabela1[[#This Row],[STATUS_NEGOCIO]]="Enviar E-mail",1,"")</f>
        <v/>
      </c>
      <c r="U2860" t="str">
        <f>TEXT(Tabela1[[#This Row],[DATA]],"dd/mm/aaaa")</f>
        <v>24/04/2026</v>
      </c>
    </row>
    <row r="2861" spans="1:21" x14ac:dyDescent="0.25">
      <c r="A2861" s="9">
        <v>46136.71670138889</v>
      </c>
      <c r="B2861" t="s">
        <v>19</v>
      </c>
      <c r="C2861" t="s">
        <v>37</v>
      </c>
      <c r="D2861">
        <v>166</v>
      </c>
      <c r="E2861">
        <v>11661920000177</v>
      </c>
      <c r="F2861">
        <v>654</v>
      </c>
      <c r="G2861" s="10">
        <v>177706152364191</v>
      </c>
      <c r="H2861" t="s">
        <v>385</v>
      </c>
      <c r="I2861">
        <v>3003</v>
      </c>
      <c r="J2861" t="s">
        <v>22</v>
      </c>
      <c r="K2861" t="s">
        <v>23</v>
      </c>
      <c r="L2861" t="s">
        <v>31</v>
      </c>
      <c r="M2861" t="s">
        <v>636</v>
      </c>
      <c r="N2861" t="s">
        <v>53</v>
      </c>
      <c r="O2861">
        <v>128</v>
      </c>
      <c r="R2861" s="11">
        <v>8.1018518518518516E-5</v>
      </c>
      <c r="S2861" t="s">
        <v>37</v>
      </c>
      <c r="T2861" t="str">
        <f>IF(Tabela1[[#This Row],[STATUS_NEGOCIO]]="Enviar E-mail",1,"")</f>
        <v/>
      </c>
      <c r="U2861" t="str">
        <f>TEXT(Tabela1[[#This Row],[DATA]],"dd/mm/aaaa")</f>
        <v>24/04/2026</v>
      </c>
    </row>
    <row r="2862" spans="1:21" x14ac:dyDescent="0.25">
      <c r="A2862" s="9">
        <v>46136.716817129629</v>
      </c>
      <c r="B2862" t="s">
        <v>19</v>
      </c>
      <c r="C2862" t="s">
        <v>37</v>
      </c>
      <c r="D2862">
        <v>167</v>
      </c>
      <c r="E2862">
        <v>11701732000125</v>
      </c>
      <c r="F2862">
        <v>655</v>
      </c>
      <c r="G2862" s="10">
        <v>177706153364211</v>
      </c>
      <c r="H2862" t="s">
        <v>98</v>
      </c>
      <c r="I2862">
        <v>3003</v>
      </c>
      <c r="J2862" t="s">
        <v>22</v>
      </c>
      <c r="K2862" t="s">
        <v>23</v>
      </c>
      <c r="L2862" t="s">
        <v>31</v>
      </c>
      <c r="M2862" t="s">
        <v>636</v>
      </c>
      <c r="N2862" t="s">
        <v>53</v>
      </c>
      <c r="O2862">
        <v>128</v>
      </c>
      <c r="R2862" s="11">
        <v>8.1018518518518516E-5</v>
      </c>
      <c r="S2862" t="s">
        <v>37</v>
      </c>
      <c r="T2862" t="str">
        <f>IF(Tabela1[[#This Row],[STATUS_NEGOCIO]]="Enviar E-mail",1,"")</f>
        <v/>
      </c>
      <c r="U2862" t="str">
        <f>TEXT(Tabela1[[#This Row],[DATA]],"dd/mm/aaaa")</f>
        <v>24/04/2026</v>
      </c>
    </row>
    <row r="2863" spans="1:21" x14ac:dyDescent="0.25">
      <c r="A2863" s="9">
        <v>46168.394108796296</v>
      </c>
      <c r="B2863" t="s">
        <v>19</v>
      </c>
      <c r="C2863" t="s">
        <v>27</v>
      </c>
      <c r="E2863"/>
      <c r="F2863">
        <v>2772746630</v>
      </c>
      <c r="G2863" s="10">
        <v>17797984515921</v>
      </c>
      <c r="H2863" t="s">
        <v>28</v>
      </c>
      <c r="I2863" t="s">
        <v>178</v>
      </c>
      <c r="J2863" t="s">
        <v>30</v>
      </c>
      <c r="K2863" t="s">
        <v>23</v>
      </c>
      <c r="L2863" t="s">
        <v>106</v>
      </c>
      <c r="N2863" t="s">
        <v>26</v>
      </c>
      <c r="O2863">
        <v>16</v>
      </c>
      <c r="R2863" s="11">
        <v>1.6087962962962963E-3</v>
      </c>
      <c r="S2863" s="11">
        <v>1.5393518518518519E-3</v>
      </c>
      <c r="T2863" t="str">
        <f>IF(Tabela1[[#This Row],[STATUS_NEGOCIO]]="Enviar E-mail",1,"")</f>
        <v/>
      </c>
      <c r="U2863" t="str">
        <f>TEXT(Tabela1[[#This Row],[DATA]],"dd/mm/aaaa")</f>
        <v>26/05/2026</v>
      </c>
    </row>
    <row r="2864" spans="1:21" x14ac:dyDescent="0.25">
      <c r="A2864" s="9">
        <v>46168.397118055553</v>
      </c>
      <c r="B2864" t="s">
        <v>19</v>
      </c>
      <c r="C2864" t="s">
        <v>20</v>
      </c>
      <c r="E2864"/>
      <c r="F2864">
        <v>2764767586</v>
      </c>
      <c r="G2864" s="10">
        <v>17797987116671</v>
      </c>
      <c r="H2864" t="s">
        <v>28</v>
      </c>
      <c r="I2864" t="s">
        <v>99</v>
      </c>
      <c r="J2864" t="s">
        <v>30</v>
      </c>
      <c r="K2864" t="s">
        <v>23</v>
      </c>
      <c r="L2864" t="s">
        <v>95</v>
      </c>
      <c r="N2864" t="s">
        <v>26</v>
      </c>
      <c r="O2864">
        <v>16</v>
      </c>
      <c r="R2864" s="11">
        <v>5.3240740740740744E-4</v>
      </c>
      <c r="S2864" s="11">
        <v>3.7037037037037035E-4</v>
      </c>
      <c r="T2864" t="str">
        <f>IF(Tabela1[[#This Row],[STATUS_NEGOCIO]]="Enviar E-mail",1,"")</f>
        <v/>
      </c>
      <c r="U2864" t="str">
        <f>TEXT(Tabela1[[#This Row],[DATA]],"dd/mm/aaaa")</f>
        <v>26/05/2026</v>
      </c>
    </row>
    <row r="2865" spans="1:21" x14ac:dyDescent="0.25">
      <c r="A2865" s="9">
        <v>46168.404374999998</v>
      </c>
      <c r="B2865" t="s">
        <v>19</v>
      </c>
      <c r="C2865" t="s">
        <v>27</v>
      </c>
      <c r="E2865"/>
      <c r="F2865">
        <v>2744677443</v>
      </c>
      <c r="G2865" s="10">
        <v>17797993388201</v>
      </c>
      <c r="H2865" t="s">
        <v>28</v>
      </c>
      <c r="I2865" t="s">
        <v>259</v>
      </c>
      <c r="J2865" t="s">
        <v>30</v>
      </c>
      <c r="K2865" t="s">
        <v>23</v>
      </c>
      <c r="L2865" t="s">
        <v>31</v>
      </c>
      <c r="N2865" t="s">
        <v>26</v>
      </c>
      <c r="O2865">
        <v>16</v>
      </c>
      <c r="R2865" s="11">
        <v>5.5555555555555556E-4</v>
      </c>
      <c r="S2865" s="11">
        <v>1.1574074074074075E-4</v>
      </c>
      <c r="T2865" t="str">
        <f>IF(Tabela1[[#This Row],[STATUS_NEGOCIO]]="Enviar E-mail",1,"")</f>
        <v/>
      </c>
      <c r="U2865" t="str">
        <f>TEXT(Tabela1[[#This Row],[DATA]],"dd/mm/aaaa")</f>
        <v>26/05/2026</v>
      </c>
    </row>
    <row r="2866" spans="1:21" x14ac:dyDescent="0.25">
      <c r="A2866" s="9">
        <v>46168.406469907408</v>
      </c>
      <c r="B2866" t="s">
        <v>19</v>
      </c>
      <c r="C2866" t="s">
        <v>20</v>
      </c>
      <c r="E2866"/>
      <c r="F2866">
        <v>2712668116</v>
      </c>
      <c r="G2866" s="10">
        <v>17797994698461</v>
      </c>
      <c r="H2866" t="s">
        <v>28</v>
      </c>
      <c r="I2866" t="s">
        <v>83</v>
      </c>
      <c r="J2866" t="s">
        <v>30</v>
      </c>
      <c r="K2866" t="s">
        <v>62</v>
      </c>
      <c r="N2866" t="s">
        <v>26</v>
      </c>
      <c r="O2866">
        <v>19</v>
      </c>
      <c r="R2866" s="11">
        <v>1.1574074074074073E-5</v>
      </c>
      <c r="S2866" t="s">
        <v>37</v>
      </c>
      <c r="T2866" t="str">
        <f>IF(Tabela1[[#This Row],[STATUS_NEGOCIO]]="Enviar E-mail",1,"")</f>
        <v/>
      </c>
      <c r="U2866" t="str">
        <f>TEXT(Tabela1[[#This Row],[DATA]],"dd/mm/aaaa")</f>
        <v>26/05/2026</v>
      </c>
    </row>
    <row r="2867" spans="1:21" x14ac:dyDescent="0.25">
      <c r="A2867" s="9">
        <v>46168.407314814816</v>
      </c>
      <c r="B2867" t="s">
        <v>19</v>
      </c>
      <c r="C2867" t="s">
        <v>27</v>
      </c>
      <c r="E2867"/>
      <c r="F2867">
        <v>2779766381</v>
      </c>
      <c r="G2867" s="10">
        <v>17797995928641</v>
      </c>
      <c r="H2867" t="s">
        <v>28</v>
      </c>
      <c r="I2867" t="s">
        <v>212</v>
      </c>
      <c r="J2867" t="s">
        <v>30</v>
      </c>
      <c r="K2867" t="s">
        <v>23</v>
      </c>
      <c r="L2867" t="s">
        <v>44</v>
      </c>
      <c r="N2867" t="s">
        <v>26</v>
      </c>
      <c r="O2867">
        <v>16</v>
      </c>
      <c r="R2867" s="11">
        <v>2.5462962962962961E-4</v>
      </c>
      <c r="S2867" s="11">
        <v>8.1018518518518516E-5</v>
      </c>
      <c r="T2867" t="str">
        <f>IF(Tabela1[[#This Row],[STATUS_NEGOCIO]]="Enviar E-mail",1,"")</f>
        <v/>
      </c>
      <c r="U2867" t="str">
        <f>TEXT(Tabela1[[#This Row],[DATA]],"dd/mm/aaaa")</f>
        <v>26/05/2026</v>
      </c>
    </row>
    <row r="2868" spans="1:21" x14ac:dyDescent="0.25">
      <c r="A2868" s="9">
        <v>46168.408009259256</v>
      </c>
      <c r="B2868" t="s">
        <v>19</v>
      </c>
      <c r="C2868" t="s">
        <v>27</v>
      </c>
      <c r="E2868"/>
      <c r="F2868">
        <v>2779766441</v>
      </c>
      <c r="G2868" s="10">
        <v>17797996528821</v>
      </c>
      <c r="H2868" t="s">
        <v>28</v>
      </c>
      <c r="I2868" t="s">
        <v>212</v>
      </c>
      <c r="J2868" t="s">
        <v>30</v>
      </c>
      <c r="K2868" t="s">
        <v>23</v>
      </c>
      <c r="L2868" t="s">
        <v>44</v>
      </c>
      <c r="N2868" t="s">
        <v>26</v>
      </c>
      <c r="O2868">
        <v>16</v>
      </c>
      <c r="R2868" s="11">
        <v>1.8518518518518518E-4</v>
      </c>
      <c r="S2868" s="11">
        <v>9.2592592592592588E-5</v>
      </c>
      <c r="T2868" t="str">
        <f>IF(Tabela1[[#This Row],[STATUS_NEGOCIO]]="Enviar E-mail",1,"")</f>
        <v/>
      </c>
      <c r="U2868" t="str">
        <f>TEXT(Tabela1[[#This Row],[DATA]],"dd/mm/aaaa")</f>
        <v>26/05/2026</v>
      </c>
    </row>
    <row r="2869" spans="1:21" x14ac:dyDescent="0.25">
      <c r="A2869" s="9">
        <v>46168.408437500002</v>
      </c>
      <c r="B2869" t="s">
        <v>19</v>
      </c>
      <c r="C2869" t="s">
        <v>27</v>
      </c>
      <c r="E2869"/>
      <c r="F2869">
        <v>2779766478</v>
      </c>
      <c r="G2869" s="10">
        <v>17797996899021</v>
      </c>
      <c r="H2869" t="s">
        <v>28</v>
      </c>
      <c r="I2869" t="s">
        <v>212</v>
      </c>
      <c r="J2869" t="s">
        <v>30</v>
      </c>
      <c r="K2869" t="s">
        <v>23</v>
      </c>
      <c r="L2869" t="s">
        <v>44</v>
      </c>
      <c r="N2869" t="s">
        <v>32</v>
      </c>
      <c r="O2869">
        <v>16</v>
      </c>
      <c r="R2869" s="11">
        <v>3.9351851851851852E-4</v>
      </c>
      <c r="S2869" s="11">
        <v>2.7777777777777778E-4</v>
      </c>
      <c r="T2869" t="str">
        <f>IF(Tabela1[[#This Row],[STATUS_NEGOCIO]]="Enviar E-mail",1,"")</f>
        <v/>
      </c>
      <c r="U2869" t="str">
        <f>TEXT(Tabela1[[#This Row],[DATA]],"dd/mm/aaaa")</f>
        <v>26/05/2026</v>
      </c>
    </row>
    <row r="2870" spans="1:21" x14ac:dyDescent="0.25">
      <c r="A2870" s="9">
        <v>46168.408912037034</v>
      </c>
      <c r="B2870" t="s">
        <v>19</v>
      </c>
      <c r="C2870" t="s">
        <v>20</v>
      </c>
      <c r="E2870"/>
      <c r="F2870">
        <v>2777461950</v>
      </c>
      <c r="G2870" s="10">
        <v>17797997309091</v>
      </c>
      <c r="H2870" t="s">
        <v>28</v>
      </c>
      <c r="I2870" t="s">
        <v>205</v>
      </c>
      <c r="J2870" t="s">
        <v>30</v>
      </c>
      <c r="K2870" t="s">
        <v>23</v>
      </c>
      <c r="L2870" t="s">
        <v>31</v>
      </c>
      <c r="N2870" t="s">
        <v>32</v>
      </c>
      <c r="O2870">
        <v>16</v>
      </c>
      <c r="R2870" s="11">
        <v>1.9675925925925926E-4</v>
      </c>
      <c r="S2870" s="11">
        <v>3.4722222222222222E-5</v>
      </c>
      <c r="T2870" t="str">
        <f>IF(Tabela1[[#This Row],[STATUS_NEGOCIO]]="Enviar E-mail",1,"")</f>
        <v/>
      </c>
      <c r="U2870" t="str">
        <f>TEXT(Tabela1[[#This Row],[DATA]],"dd/mm/aaaa")</f>
        <v>26/05/2026</v>
      </c>
    </row>
    <row r="2871" spans="1:21" x14ac:dyDescent="0.25">
      <c r="A2871" s="9">
        <v>46168.408935185187</v>
      </c>
      <c r="B2871" t="s">
        <v>19</v>
      </c>
      <c r="C2871" t="s">
        <v>27</v>
      </c>
      <c r="E2871"/>
      <c r="F2871">
        <v>2779766521</v>
      </c>
      <c r="G2871" s="10">
        <v>17797997329111</v>
      </c>
      <c r="H2871" t="s">
        <v>28</v>
      </c>
      <c r="I2871" t="s">
        <v>212</v>
      </c>
      <c r="J2871" t="s">
        <v>30</v>
      </c>
      <c r="K2871" t="s">
        <v>23</v>
      </c>
      <c r="L2871" t="s">
        <v>44</v>
      </c>
      <c r="N2871" t="s">
        <v>32</v>
      </c>
      <c r="O2871">
        <v>16</v>
      </c>
      <c r="R2871" s="11">
        <v>3.0092592592592595E-4</v>
      </c>
      <c r="S2871" s="11">
        <v>1.5046296296296297E-4</v>
      </c>
      <c r="T2871" t="str">
        <f>IF(Tabela1[[#This Row],[STATUS_NEGOCIO]]="Enviar E-mail",1,"")</f>
        <v/>
      </c>
      <c r="U2871" t="str">
        <f>TEXT(Tabela1[[#This Row],[DATA]],"dd/mm/aaaa")</f>
        <v>26/05/2026</v>
      </c>
    </row>
    <row r="2872" spans="1:21" x14ac:dyDescent="0.25">
      <c r="A2872" s="9">
        <v>46168.409375000003</v>
      </c>
      <c r="B2872" t="s">
        <v>19</v>
      </c>
      <c r="C2872" t="s">
        <v>27</v>
      </c>
      <c r="E2872"/>
      <c r="F2872">
        <v>2773751773</v>
      </c>
      <c r="G2872" s="10">
        <v>17797997709191</v>
      </c>
      <c r="H2872" t="s">
        <v>28</v>
      </c>
      <c r="I2872" t="s">
        <v>150</v>
      </c>
      <c r="J2872" t="s">
        <v>30</v>
      </c>
      <c r="K2872" t="s">
        <v>23</v>
      </c>
      <c r="L2872" t="s">
        <v>106</v>
      </c>
      <c r="N2872" t="s">
        <v>26</v>
      </c>
      <c r="O2872">
        <v>16</v>
      </c>
      <c r="R2872" s="11">
        <v>2.4074074074074076E-3</v>
      </c>
      <c r="S2872" s="11">
        <v>2.2337962962962962E-3</v>
      </c>
      <c r="T2872" t="str">
        <f>IF(Tabela1[[#This Row],[STATUS_NEGOCIO]]="Enviar E-mail",1,"")</f>
        <v/>
      </c>
      <c r="U2872" t="str">
        <f>TEXT(Tabela1[[#This Row],[DATA]],"dd/mm/aaaa")</f>
        <v>26/05/2026</v>
      </c>
    </row>
    <row r="2873" spans="1:21" x14ac:dyDescent="0.25">
      <c r="A2873" s="9">
        <v>46168.40960648148</v>
      </c>
      <c r="B2873" t="s">
        <v>19</v>
      </c>
      <c r="C2873" t="s">
        <v>20</v>
      </c>
      <c r="E2873"/>
      <c r="F2873">
        <v>2761398597</v>
      </c>
      <c r="G2873" s="10">
        <v>17797997909251</v>
      </c>
      <c r="H2873" t="s">
        <v>28</v>
      </c>
      <c r="I2873" t="s">
        <v>609</v>
      </c>
      <c r="J2873" t="s">
        <v>30</v>
      </c>
      <c r="K2873" t="s">
        <v>23</v>
      </c>
      <c r="L2873" t="s">
        <v>31</v>
      </c>
      <c r="N2873" t="s">
        <v>32</v>
      </c>
      <c r="O2873">
        <v>16</v>
      </c>
      <c r="R2873" s="11">
        <v>3.2407407407407406E-4</v>
      </c>
      <c r="S2873" s="11">
        <v>4.6296296296296294E-5</v>
      </c>
      <c r="T2873" t="str">
        <f>IF(Tabela1[[#This Row],[STATUS_NEGOCIO]]="Enviar E-mail",1,"")</f>
        <v/>
      </c>
      <c r="U2873" t="str">
        <f>TEXT(Tabela1[[#This Row],[DATA]],"dd/mm/aaaa")</f>
        <v>26/05/2026</v>
      </c>
    </row>
    <row r="2874" spans="1:21" x14ac:dyDescent="0.25">
      <c r="A2874" s="9">
        <v>46168.410358796296</v>
      </c>
      <c r="B2874" t="s">
        <v>19</v>
      </c>
      <c r="C2874" t="s">
        <v>20</v>
      </c>
      <c r="E2874"/>
      <c r="F2874">
        <v>2778959974</v>
      </c>
      <c r="G2874" s="10">
        <v>17797998559281</v>
      </c>
      <c r="H2874" t="s">
        <v>28</v>
      </c>
      <c r="I2874" t="s">
        <v>248</v>
      </c>
      <c r="J2874" t="s">
        <v>30</v>
      </c>
      <c r="K2874" t="s">
        <v>23</v>
      </c>
      <c r="L2874" t="s">
        <v>31</v>
      </c>
      <c r="N2874" t="s">
        <v>32</v>
      </c>
      <c r="O2874">
        <v>16</v>
      </c>
      <c r="R2874" s="11">
        <v>4.861111111111111E-4</v>
      </c>
      <c r="S2874" s="11">
        <v>1.1574074074074073E-5</v>
      </c>
      <c r="T2874" t="str">
        <f>IF(Tabela1[[#This Row],[STATUS_NEGOCIO]]="Enviar E-mail",1,"")</f>
        <v/>
      </c>
      <c r="U2874" t="str">
        <f>TEXT(Tabela1[[#This Row],[DATA]],"dd/mm/aaaa")</f>
        <v>26/05/2026</v>
      </c>
    </row>
    <row r="2875" spans="1:21" x14ac:dyDescent="0.25">
      <c r="A2875" s="9">
        <v>46168.411261574074</v>
      </c>
      <c r="B2875" t="s">
        <v>19</v>
      </c>
      <c r="C2875" t="s">
        <v>20</v>
      </c>
      <c r="E2875"/>
      <c r="F2875">
        <v>2761254398</v>
      </c>
      <c r="G2875" s="10">
        <v>17797999339371</v>
      </c>
      <c r="H2875" t="s">
        <v>28</v>
      </c>
      <c r="I2875" t="s">
        <v>255</v>
      </c>
      <c r="J2875" t="s">
        <v>30</v>
      </c>
      <c r="K2875" t="s">
        <v>23</v>
      </c>
      <c r="L2875" t="s">
        <v>44</v>
      </c>
      <c r="N2875" t="s">
        <v>32</v>
      </c>
      <c r="O2875">
        <v>16</v>
      </c>
      <c r="R2875" s="11">
        <v>3.4722222222222224E-4</v>
      </c>
      <c r="S2875" s="11">
        <v>8.1018518518518516E-5</v>
      </c>
      <c r="T2875" t="str">
        <f>IF(Tabela1[[#This Row],[STATUS_NEGOCIO]]="Enviar E-mail",1,"")</f>
        <v/>
      </c>
      <c r="U2875" t="str">
        <f>TEXT(Tabela1[[#This Row],[DATA]],"dd/mm/aaaa")</f>
        <v>26/05/2026</v>
      </c>
    </row>
    <row r="2876" spans="1:21" x14ac:dyDescent="0.25">
      <c r="A2876" s="9">
        <v>46168.412245370368</v>
      </c>
      <c r="B2876" t="s">
        <v>19</v>
      </c>
      <c r="C2876" t="s">
        <v>20</v>
      </c>
      <c r="E2876"/>
      <c r="F2876">
        <v>2767205794</v>
      </c>
      <c r="G2876" s="10">
        <v>17798000189911</v>
      </c>
      <c r="H2876" t="s">
        <v>28</v>
      </c>
      <c r="I2876" t="s">
        <v>82</v>
      </c>
      <c r="J2876" t="s">
        <v>30</v>
      </c>
      <c r="K2876" t="s">
        <v>23</v>
      </c>
      <c r="L2876" t="s">
        <v>31</v>
      </c>
      <c r="N2876" t="s">
        <v>32</v>
      </c>
      <c r="O2876">
        <v>16</v>
      </c>
      <c r="R2876" s="11">
        <v>3.7037037037037035E-4</v>
      </c>
      <c r="S2876" s="11">
        <v>5.7870370370370373E-5</v>
      </c>
      <c r="T2876" t="str">
        <f>IF(Tabela1[[#This Row],[STATUS_NEGOCIO]]="Enviar E-mail",1,"")</f>
        <v/>
      </c>
      <c r="U2876" t="str">
        <f>TEXT(Tabela1[[#This Row],[DATA]],"dd/mm/aaaa")</f>
        <v>26/05/2026</v>
      </c>
    </row>
    <row r="2877" spans="1:21" x14ac:dyDescent="0.25">
      <c r="A2877" s="9">
        <v>46168.412986111114</v>
      </c>
      <c r="B2877" t="s">
        <v>19</v>
      </c>
      <c r="C2877" t="s">
        <v>20</v>
      </c>
      <c r="E2877"/>
      <c r="F2877">
        <v>2743914961</v>
      </c>
      <c r="G2877" s="10">
        <v>177980008210101</v>
      </c>
      <c r="H2877" t="s">
        <v>28</v>
      </c>
      <c r="I2877" t="s">
        <v>595</v>
      </c>
      <c r="J2877" t="s">
        <v>30</v>
      </c>
      <c r="K2877" t="s">
        <v>23</v>
      </c>
      <c r="L2877" t="s">
        <v>106</v>
      </c>
      <c r="N2877" t="s">
        <v>32</v>
      </c>
      <c r="O2877">
        <v>16</v>
      </c>
      <c r="R2877" s="11">
        <v>3.7731481481481483E-3</v>
      </c>
      <c r="S2877" s="11">
        <v>3.6921296296296298E-3</v>
      </c>
      <c r="T2877" t="str">
        <f>IF(Tabela1[[#This Row],[STATUS_NEGOCIO]]="Enviar E-mail",1,"")</f>
        <v/>
      </c>
      <c r="U2877" t="str">
        <f>TEXT(Tabela1[[#This Row],[DATA]],"dd/mm/aaaa")</f>
        <v>26/05/2026</v>
      </c>
    </row>
    <row r="2878" spans="1:21" x14ac:dyDescent="0.25">
      <c r="A2878" s="9">
        <v>46168.413541666669</v>
      </c>
      <c r="B2878" t="s">
        <v>19</v>
      </c>
      <c r="C2878" t="s">
        <v>27</v>
      </c>
      <c r="E2878"/>
      <c r="F2878">
        <v>2779224102</v>
      </c>
      <c r="G2878" s="10">
        <v>177980013010361</v>
      </c>
      <c r="H2878" t="s">
        <v>28</v>
      </c>
      <c r="I2878" t="s">
        <v>289</v>
      </c>
      <c r="J2878" t="s">
        <v>30</v>
      </c>
      <c r="K2878" t="s">
        <v>23</v>
      </c>
      <c r="L2878" t="s">
        <v>31</v>
      </c>
      <c r="N2878" t="s">
        <v>32</v>
      </c>
      <c r="O2878">
        <v>16</v>
      </c>
      <c r="R2878" s="11">
        <v>7.9861111111111116E-4</v>
      </c>
      <c r="S2878" s="11">
        <v>6.8287037037037036E-4</v>
      </c>
      <c r="T2878" t="str">
        <f>IF(Tabela1[[#This Row],[STATUS_NEGOCIO]]="Enviar E-mail",1,"")</f>
        <v/>
      </c>
      <c r="U2878" t="str">
        <f>TEXT(Tabela1[[#This Row],[DATA]],"dd/mm/aaaa")</f>
        <v>26/05/2026</v>
      </c>
    </row>
    <row r="2879" spans="1:21" x14ac:dyDescent="0.25">
      <c r="A2879" s="9">
        <v>46168.415381944447</v>
      </c>
      <c r="B2879" t="s">
        <v>19</v>
      </c>
      <c r="C2879" t="s">
        <v>27</v>
      </c>
      <c r="E2879"/>
      <c r="F2879">
        <v>2761155616</v>
      </c>
      <c r="G2879" s="10">
        <v>177980024110761</v>
      </c>
      <c r="H2879" t="s">
        <v>28</v>
      </c>
      <c r="I2879" t="s">
        <v>290</v>
      </c>
      <c r="J2879" t="s">
        <v>30</v>
      </c>
      <c r="K2879" t="s">
        <v>62</v>
      </c>
      <c r="N2879" t="s">
        <v>26</v>
      </c>
      <c r="O2879">
        <v>19</v>
      </c>
      <c r="R2879" s="11">
        <v>1.1574074074074073E-5</v>
      </c>
      <c r="S2879" t="s">
        <v>37</v>
      </c>
      <c r="T2879" t="str">
        <f>IF(Tabela1[[#This Row],[STATUS_NEGOCIO]]="Enviar E-mail",1,"")</f>
        <v/>
      </c>
      <c r="U2879" t="str">
        <f>TEXT(Tabela1[[#This Row],[DATA]],"dd/mm/aaaa")</f>
        <v>26/05/2026</v>
      </c>
    </row>
    <row r="2880" spans="1:21" x14ac:dyDescent="0.25">
      <c r="A2880" s="9">
        <v>46168.415555555555</v>
      </c>
      <c r="B2880" t="s">
        <v>19</v>
      </c>
      <c r="C2880" t="s">
        <v>27</v>
      </c>
      <c r="E2880"/>
      <c r="F2880">
        <v>2761155679</v>
      </c>
      <c r="G2880" s="10">
        <v>177980030410881</v>
      </c>
      <c r="H2880" t="s">
        <v>28</v>
      </c>
      <c r="I2880" t="s">
        <v>290</v>
      </c>
      <c r="J2880" t="s">
        <v>30</v>
      </c>
      <c r="K2880" t="s">
        <v>36</v>
      </c>
      <c r="N2880" t="s">
        <v>32</v>
      </c>
      <c r="O2880">
        <v>19</v>
      </c>
      <c r="R2880" s="11">
        <v>5.6712962962962967E-4</v>
      </c>
      <c r="S2880" t="s">
        <v>37</v>
      </c>
      <c r="T2880" t="str">
        <f>IF(Tabela1[[#This Row],[STATUS_NEGOCIO]]="Enviar E-mail",1,"")</f>
        <v/>
      </c>
      <c r="U2880" t="str">
        <f>TEXT(Tabela1[[#This Row],[DATA]],"dd/mm/aaaa")</f>
        <v>26/05/2026</v>
      </c>
    </row>
    <row r="2881" spans="1:21" x14ac:dyDescent="0.25">
      <c r="A2881" s="9">
        <v>46168.416388888887</v>
      </c>
      <c r="B2881" t="s">
        <v>19</v>
      </c>
      <c r="C2881" t="s">
        <v>27</v>
      </c>
      <c r="E2881"/>
      <c r="F2881">
        <v>2760941804</v>
      </c>
      <c r="G2881" s="10">
        <v>177980037611111</v>
      </c>
      <c r="H2881" t="s">
        <v>28</v>
      </c>
      <c r="I2881" t="s">
        <v>293</v>
      </c>
      <c r="J2881" t="s">
        <v>30</v>
      </c>
      <c r="K2881" t="s">
        <v>23</v>
      </c>
      <c r="L2881" t="s">
        <v>40</v>
      </c>
      <c r="N2881" t="s">
        <v>26</v>
      </c>
      <c r="O2881">
        <v>16</v>
      </c>
      <c r="R2881" s="11">
        <v>3.472222222222222E-3</v>
      </c>
      <c r="S2881" s="11">
        <v>3.3101851851851851E-3</v>
      </c>
      <c r="T2881">
        <f>IF(Tabela1[[#This Row],[STATUS_NEGOCIO]]="Enviar E-mail",1,"")</f>
        <v>1</v>
      </c>
      <c r="U2881" t="str">
        <f>TEXT(Tabela1[[#This Row],[DATA]],"dd/mm/aaaa")</f>
        <v>26/05/2026</v>
      </c>
    </row>
    <row r="2882" spans="1:21" x14ac:dyDescent="0.25">
      <c r="A2882" s="9">
        <v>46168.419236111113</v>
      </c>
      <c r="B2882" t="s">
        <v>19</v>
      </c>
      <c r="C2882" t="s">
        <v>20</v>
      </c>
      <c r="E2882"/>
      <c r="F2882">
        <v>2771846443</v>
      </c>
      <c r="G2882" s="10">
        <v>177980062211371</v>
      </c>
      <c r="H2882" t="s">
        <v>28</v>
      </c>
      <c r="I2882" t="s">
        <v>73</v>
      </c>
      <c r="J2882" t="s">
        <v>30</v>
      </c>
      <c r="K2882" t="s">
        <v>23</v>
      </c>
      <c r="L2882" t="s">
        <v>95</v>
      </c>
      <c r="N2882" t="s">
        <v>26</v>
      </c>
      <c r="O2882">
        <v>16</v>
      </c>
      <c r="R2882" s="11">
        <v>5.5555555555555556E-4</v>
      </c>
      <c r="S2882" s="11">
        <v>4.861111111111111E-4</v>
      </c>
      <c r="T2882" t="str">
        <f>IF(Tabela1[[#This Row],[STATUS_NEGOCIO]]="Enviar E-mail",1,"")</f>
        <v/>
      </c>
      <c r="U2882" t="str">
        <f>TEXT(Tabela1[[#This Row],[DATA]],"dd/mm/aaaa")</f>
        <v>26/05/2026</v>
      </c>
    </row>
    <row r="2883" spans="1:21" x14ac:dyDescent="0.25">
      <c r="A2883" s="9">
        <v>46168.427164351851</v>
      </c>
      <c r="B2883" t="s">
        <v>19</v>
      </c>
      <c r="C2883" t="s">
        <v>27</v>
      </c>
      <c r="E2883"/>
      <c r="F2883">
        <v>2753817666</v>
      </c>
      <c r="G2883" s="10">
        <v>177980130713861</v>
      </c>
      <c r="H2883" t="s">
        <v>28</v>
      </c>
      <c r="I2883" t="s">
        <v>193</v>
      </c>
      <c r="J2883" t="s">
        <v>30</v>
      </c>
      <c r="K2883" t="s">
        <v>23</v>
      </c>
      <c r="L2883" t="s">
        <v>100</v>
      </c>
      <c r="N2883" t="s">
        <v>26</v>
      </c>
      <c r="O2883">
        <v>16</v>
      </c>
      <c r="R2883" s="11">
        <v>9.2592592592592596E-4</v>
      </c>
      <c r="S2883" s="11">
        <v>8.564814814814815E-4</v>
      </c>
      <c r="T2883" t="str">
        <f>IF(Tabela1[[#This Row],[STATUS_NEGOCIO]]="Enviar E-mail",1,"")</f>
        <v/>
      </c>
      <c r="U2883" t="str">
        <f>TEXT(Tabela1[[#This Row],[DATA]],"dd/mm/aaaa")</f>
        <v>26/05/2026</v>
      </c>
    </row>
    <row r="2884" spans="1:21" x14ac:dyDescent="0.25">
      <c r="A2884" s="9">
        <v>46168.429444444446</v>
      </c>
      <c r="B2884" t="s">
        <v>19</v>
      </c>
      <c r="C2884" t="s">
        <v>20</v>
      </c>
      <c r="E2884"/>
      <c r="F2884">
        <v>2779234347</v>
      </c>
      <c r="G2884" s="10">
        <v>177980150414151</v>
      </c>
      <c r="H2884" t="s">
        <v>28</v>
      </c>
      <c r="I2884" t="s">
        <v>114</v>
      </c>
      <c r="J2884" t="s">
        <v>30</v>
      </c>
      <c r="K2884" t="s">
        <v>36</v>
      </c>
      <c r="N2884" t="s">
        <v>32</v>
      </c>
      <c r="O2884">
        <v>19</v>
      </c>
      <c r="R2884" s="11">
        <v>2.4305555555555555E-4</v>
      </c>
      <c r="S2884" t="s">
        <v>37</v>
      </c>
      <c r="T2884" t="str">
        <f>IF(Tabela1[[#This Row],[STATUS_NEGOCIO]]="Enviar E-mail",1,"")</f>
        <v/>
      </c>
      <c r="U2884" t="str">
        <f>TEXT(Tabela1[[#This Row],[DATA]],"dd/mm/aaaa")</f>
        <v>26/05/2026</v>
      </c>
    </row>
    <row r="2885" spans="1:21" x14ac:dyDescent="0.25">
      <c r="A2885" s="9">
        <v>46168.430810185186</v>
      </c>
      <c r="B2885" t="s">
        <v>19</v>
      </c>
      <c r="C2885" t="s">
        <v>20</v>
      </c>
      <c r="E2885"/>
      <c r="F2885">
        <v>2763958489</v>
      </c>
      <c r="G2885" s="10">
        <v>177980162214181</v>
      </c>
      <c r="H2885" t="s">
        <v>28</v>
      </c>
      <c r="I2885" t="s">
        <v>214</v>
      </c>
      <c r="J2885" t="s">
        <v>30</v>
      </c>
      <c r="K2885" t="s">
        <v>23</v>
      </c>
      <c r="L2885" t="s">
        <v>31</v>
      </c>
      <c r="N2885" t="s">
        <v>32</v>
      </c>
      <c r="O2885">
        <v>16</v>
      </c>
      <c r="R2885" s="11">
        <v>1.9675925925925926E-4</v>
      </c>
      <c r="S2885" s="11">
        <v>1.1574074074074073E-5</v>
      </c>
      <c r="T2885" t="str">
        <f>IF(Tabela1[[#This Row],[STATUS_NEGOCIO]]="Enviar E-mail",1,"")</f>
        <v/>
      </c>
      <c r="U2885" t="str">
        <f>TEXT(Tabela1[[#This Row],[DATA]],"dd/mm/aaaa")</f>
        <v>26/05/2026</v>
      </c>
    </row>
    <row r="2886" spans="1:21" x14ac:dyDescent="0.25">
      <c r="A2886" s="9">
        <v>46168.431388888886</v>
      </c>
      <c r="B2886" t="s">
        <v>19</v>
      </c>
      <c r="C2886" t="s">
        <v>20</v>
      </c>
      <c r="E2886"/>
      <c r="F2886">
        <v>2745050032</v>
      </c>
      <c r="G2886" s="10">
        <v>177980167214321</v>
      </c>
      <c r="H2886" t="s">
        <v>28</v>
      </c>
      <c r="I2886" t="s">
        <v>223</v>
      </c>
      <c r="J2886" t="s">
        <v>30</v>
      </c>
      <c r="K2886" t="s">
        <v>23</v>
      </c>
      <c r="L2886" t="s">
        <v>40</v>
      </c>
      <c r="N2886" t="s">
        <v>32</v>
      </c>
      <c r="O2886">
        <v>16</v>
      </c>
      <c r="R2886" s="11">
        <v>3.460648148148148E-3</v>
      </c>
      <c r="S2886" s="11">
        <v>3.3564814814814816E-3</v>
      </c>
      <c r="T2886">
        <f>IF(Tabela1[[#This Row],[STATUS_NEGOCIO]]="Enviar E-mail",1,"")</f>
        <v>1</v>
      </c>
      <c r="U2886" t="str">
        <f>TEXT(Tabela1[[#This Row],[DATA]],"dd/mm/aaaa")</f>
        <v>26/05/2026</v>
      </c>
    </row>
    <row r="2887" spans="1:21" x14ac:dyDescent="0.25">
      <c r="A2887" s="9">
        <v>46168.431921296295</v>
      </c>
      <c r="B2887" t="s">
        <v>19</v>
      </c>
      <c r="C2887" t="s">
        <v>27</v>
      </c>
      <c r="E2887"/>
      <c r="F2887">
        <v>2779700846</v>
      </c>
      <c r="G2887" s="10">
        <v>177980171814351</v>
      </c>
      <c r="H2887" t="s">
        <v>28</v>
      </c>
      <c r="I2887" t="s">
        <v>298</v>
      </c>
      <c r="J2887" t="s">
        <v>30</v>
      </c>
      <c r="K2887" t="s">
        <v>23</v>
      </c>
      <c r="L2887" t="s">
        <v>31</v>
      </c>
      <c r="N2887" t="s">
        <v>32</v>
      </c>
      <c r="O2887">
        <v>16</v>
      </c>
      <c r="R2887" s="11">
        <v>4.7453703703703704E-4</v>
      </c>
      <c r="S2887" s="11">
        <v>2.0833333333333335E-4</v>
      </c>
      <c r="T2887" t="str">
        <f>IF(Tabela1[[#This Row],[STATUS_NEGOCIO]]="Enviar E-mail",1,"")</f>
        <v/>
      </c>
      <c r="U2887" t="str">
        <f>TEXT(Tabela1[[#This Row],[DATA]],"dd/mm/aaaa")</f>
        <v>26/05/2026</v>
      </c>
    </row>
    <row r="2888" spans="1:21" x14ac:dyDescent="0.25">
      <c r="A2888" s="9">
        <v>46168.432743055557</v>
      </c>
      <c r="B2888" t="s">
        <v>19</v>
      </c>
      <c r="C2888" t="s">
        <v>27</v>
      </c>
      <c r="E2888"/>
      <c r="F2888">
        <v>2761174985</v>
      </c>
      <c r="G2888" s="10">
        <v>177980178914541</v>
      </c>
      <c r="H2888" t="s">
        <v>28</v>
      </c>
      <c r="I2888" t="s">
        <v>67</v>
      </c>
      <c r="J2888" t="s">
        <v>30</v>
      </c>
      <c r="K2888" t="s">
        <v>23</v>
      </c>
      <c r="L2888" t="s">
        <v>44</v>
      </c>
      <c r="N2888" t="s">
        <v>26</v>
      </c>
      <c r="O2888">
        <v>16</v>
      </c>
      <c r="R2888" s="11">
        <v>2.0833333333333335E-4</v>
      </c>
      <c r="S2888" s="11">
        <v>1.0416666666666667E-4</v>
      </c>
      <c r="T2888" t="str">
        <f>IF(Tabela1[[#This Row],[STATUS_NEGOCIO]]="Enviar E-mail",1,"")</f>
        <v/>
      </c>
      <c r="U2888" t="str">
        <f>TEXT(Tabela1[[#This Row],[DATA]],"dd/mm/aaaa")</f>
        <v>26/05/2026</v>
      </c>
    </row>
    <row r="2889" spans="1:21" x14ac:dyDescent="0.25">
      <c r="A2889" s="9">
        <v>46168.434178240743</v>
      </c>
      <c r="B2889" t="s">
        <v>19</v>
      </c>
      <c r="C2889" t="s">
        <v>27</v>
      </c>
      <c r="E2889"/>
      <c r="F2889">
        <v>2761175099</v>
      </c>
      <c r="G2889" s="10">
        <v>177980190314821</v>
      </c>
      <c r="H2889" t="s">
        <v>28</v>
      </c>
      <c r="I2889" t="s">
        <v>67</v>
      </c>
      <c r="J2889" t="s">
        <v>30</v>
      </c>
      <c r="K2889" t="s">
        <v>62</v>
      </c>
      <c r="N2889" t="s">
        <v>26</v>
      </c>
      <c r="O2889">
        <v>17</v>
      </c>
      <c r="R2889" s="11">
        <v>1.1574074074074073E-5</v>
      </c>
      <c r="S2889" t="s">
        <v>37</v>
      </c>
      <c r="T2889" t="str">
        <f>IF(Tabela1[[#This Row],[STATUS_NEGOCIO]]="Enviar E-mail",1,"")</f>
        <v/>
      </c>
      <c r="U2889" t="str">
        <f>TEXT(Tabela1[[#This Row],[DATA]],"dd/mm/aaaa")</f>
        <v>26/05/2026</v>
      </c>
    </row>
    <row r="2890" spans="1:21" x14ac:dyDescent="0.25">
      <c r="A2890" s="9">
        <v>46168.434699074074</v>
      </c>
      <c r="B2890" t="s">
        <v>19</v>
      </c>
      <c r="C2890" t="s">
        <v>27</v>
      </c>
      <c r="E2890"/>
      <c r="F2890">
        <v>2761175154</v>
      </c>
      <c r="G2890" s="10">
        <v>177980195815021</v>
      </c>
      <c r="H2890" t="s">
        <v>28</v>
      </c>
      <c r="I2890" t="s">
        <v>67</v>
      </c>
      <c r="J2890" t="s">
        <v>30</v>
      </c>
      <c r="K2890" t="s">
        <v>36</v>
      </c>
      <c r="N2890" t="s">
        <v>32</v>
      </c>
      <c r="O2890">
        <v>19</v>
      </c>
      <c r="R2890" s="11">
        <v>6.9444444444444444E-5</v>
      </c>
      <c r="S2890" t="s">
        <v>37</v>
      </c>
      <c r="T2890" t="str">
        <f>IF(Tabela1[[#This Row],[STATUS_NEGOCIO]]="Enviar E-mail",1,"")</f>
        <v/>
      </c>
      <c r="U2890" t="str">
        <f>TEXT(Tabela1[[#This Row],[DATA]],"dd/mm/aaaa")</f>
        <v>26/05/2026</v>
      </c>
    </row>
    <row r="2891" spans="1:21" x14ac:dyDescent="0.25">
      <c r="A2891" s="9">
        <v>46168.435046296298</v>
      </c>
      <c r="B2891" t="s">
        <v>19</v>
      </c>
      <c r="C2891" t="s">
        <v>27</v>
      </c>
      <c r="E2891"/>
      <c r="F2891">
        <v>2771813688</v>
      </c>
      <c r="G2891" s="10">
        <v>177980198815181</v>
      </c>
      <c r="H2891" t="s">
        <v>28</v>
      </c>
      <c r="I2891" t="s">
        <v>115</v>
      </c>
      <c r="J2891" t="s">
        <v>30</v>
      </c>
      <c r="K2891" t="s">
        <v>23</v>
      </c>
      <c r="L2891" t="s">
        <v>106</v>
      </c>
      <c r="N2891" t="s">
        <v>26</v>
      </c>
      <c r="O2891">
        <v>16</v>
      </c>
      <c r="R2891" s="11">
        <v>2.9861111111111113E-3</v>
      </c>
      <c r="S2891" s="11">
        <v>2.8240740740740739E-3</v>
      </c>
      <c r="T2891" t="str">
        <f>IF(Tabela1[[#This Row],[STATUS_NEGOCIO]]="Enviar E-mail",1,"")</f>
        <v/>
      </c>
      <c r="U2891" t="str">
        <f>TEXT(Tabela1[[#This Row],[DATA]],"dd/mm/aaaa")</f>
        <v>26/05/2026</v>
      </c>
    </row>
    <row r="2892" spans="1:21" x14ac:dyDescent="0.25">
      <c r="A2892" s="9">
        <v>46168.441365740742</v>
      </c>
      <c r="B2892" t="s">
        <v>19</v>
      </c>
      <c r="C2892" t="s">
        <v>27</v>
      </c>
      <c r="E2892"/>
      <c r="F2892">
        <v>2777792647</v>
      </c>
      <c r="G2892" s="10">
        <v>177980253415971</v>
      </c>
      <c r="H2892" t="s">
        <v>28</v>
      </c>
      <c r="I2892" t="s">
        <v>309</v>
      </c>
      <c r="J2892" t="s">
        <v>30</v>
      </c>
      <c r="K2892" t="s">
        <v>23</v>
      </c>
      <c r="L2892" t="s">
        <v>44</v>
      </c>
      <c r="N2892" t="s">
        <v>32</v>
      </c>
      <c r="O2892">
        <v>16</v>
      </c>
      <c r="R2892" s="11">
        <v>6.3657407407407413E-4</v>
      </c>
      <c r="S2892" s="11">
        <v>5.3240740740740744E-4</v>
      </c>
      <c r="T2892" t="str">
        <f>IF(Tabela1[[#This Row],[STATUS_NEGOCIO]]="Enviar E-mail",1,"")</f>
        <v/>
      </c>
      <c r="U2892" t="str">
        <f>TEXT(Tabela1[[#This Row],[DATA]],"dd/mm/aaaa")</f>
        <v>26/05/2026</v>
      </c>
    </row>
    <row r="2893" spans="1:21" x14ac:dyDescent="0.25">
      <c r="A2893" s="9">
        <v>46168.442187499997</v>
      </c>
      <c r="B2893" t="s">
        <v>19</v>
      </c>
      <c r="C2893" t="s">
        <v>27</v>
      </c>
      <c r="E2893"/>
      <c r="F2893">
        <v>2777792718</v>
      </c>
      <c r="G2893" s="10">
        <v>177980260516131</v>
      </c>
      <c r="H2893" t="s">
        <v>28</v>
      </c>
      <c r="I2893" t="s">
        <v>309</v>
      </c>
      <c r="J2893" t="s">
        <v>30</v>
      </c>
      <c r="K2893" t="s">
        <v>23</v>
      </c>
      <c r="L2893" t="s">
        <v>152</v>
      </c>
      <c r="N2893" t="s">
        <v>26</v>
      </c>
      <c r="O2893">
        <v>16</v>
      </c>
      <c r="R2893" s="11">
        <v>1.4467592592592592E-3</v>
      </c>
      <c r="S2893" s="11">
        <v>1.3888888888888889E-3</v>
      </c>
      <c r="T2893" t="str">
        <f>IF(Tabela1[[#This Row],[STATUS_NEGOCIO]]="Enviar E-mail",1,"")</f>
        <v/>
      </c>
      <c r="U2893" t="str">
        <f>TEXT(Tabela1[[#This Row],[DATA]],"dd/mm/aaaa")</f>
        <v>26/05/2026</v>
      </c>
    </row>
    <row r="2894" spans="1:21" x14ac:dyDescent="0.25">
      <c r="A2894" s="9">
        <v>46168.444131944445</v>
      </c>
      <c r="B2894" t="s">
        <v>19</v>
      </c>
      <c r="C2894" t="s">
        <v>27</v>
      </c>
      <c r="E2894"/>
      <c r="F2894">
        <v>2767195612</v>
      </c>
      <c r="G2894" s="10">
        <v>177980277316961</v>
      </c>
      <c r="H2894" t="s">
        <v>28</v>
      </c>
      <c r="I2894" t="s">
        <v>310</v>
      </c>
      <c r="J2894" t="s">
        <v>30</v>
      </c>
      <c r="K2894" t="s">
        <v>23</v>
      </c>
      <c r="L2894" t="s">
        <v>31</v>
      </c>
      <c r="N2894" t="s">
        <v>32</v>
      </c>
      <c r="O2894">
        <v>16</v>
      </c>
      <c r="R2894" s="11">
        <v>4.1666666666666669E-4</v>
      </c>
      <c r="S2894" s="11">
        <v>2.199074074074074E-4</v>
      </c>
      <c r="T2894" t="str">
        <f>IF(Tabela1[[#This Row],[STATUS_NEGOCIO]]="Enviar E-mail",1,"")</f>
        <v/>
      </c>
      <c r="U2894" t="str">
        <f>TEXT(Tabela1[[#This Row],[DATA]],"dd/mm/aaaa")</f>
        <v>26/05/2026</v>
      </c>
    </row>
    <row r="2895" spans="1:21" x14ac:dyDescent="0.25">
      <c r="A2895" s="9">
        <v>46168.445798611108</v>
      </c>
      <c r="B2895" t="s">
        <v>19</v>
      </c>
      <c r="C2895" t="s">
        <v>27</v>
      </c>
      <c r="E2895"/>
      <c r="F2895">
        <v>2747164051</v>
      </c>
      <c r="G2895" s="10">
        <v>177980291717381</v>
      </c>
      <c r="H2895" t="s">
        <v>28</v>
      </c>
      <c r="I2895" t="s">
        <v>311</v>
      </c>
      <c r="J2895" t="s">
        <v>30</v>
      </c>
      <c r="K2895" t="s">
        <v>23</v>
      </c>
      <c r="L2895" t="s">
        <v>31</v>
      </c>
      <c r="N2895" t="s">
        <v>32</v>
      </c>
      <c r="O2895">
        <v>16</v>
      </c>
      <c r="R2895" s="11">
        <v>1.0648148148148149E-3</v>
      </c>
      <c r="S2895" s="11">
        <v>8.6805555555555551E-4</v>
      </c>
      <c r="T2895" t="str">
        <f>IF(Tabela1[[#This Row],[STATUS_NEGOCIO]]="Enviar E-mail",1,"")</f>
        <v/>
      </c>
      <c r="U2895" t="str">
        <f>TEXT(Tabela1[[#This Row],[DATA]],"dd/mm/aaaa")</f>
        <v>26/05/2026</v>
      </c>
    </row>
    <row r="2896" spans="1:21" x14ac:dyDescent="0.25">
      <c r="A2896" s="9">
        <v>46168.445902777778</v>
      </c>
      <c r="B2896" t="s">
        <v>19</v>
      </c>
      <c r="C2896" t="s">
        <v>20</v>
      </c>
      <c r="E2896"/>
      <c r="F2896">
        <v>2748822980</v>
      </c>
      <c r="G2896" s="10">
        <v>177980292617471</v>
      </c>
      <c r="H2896" t="s">
        <v>28</v>
      </c>
      <c r="I2896" t="s">
        <v>563</v>
      </c>
      <c r="J2896" t="s">
        <v>30</v>
      </c>
      <c r="K2896" t="s">
        <v>36</v>
      </c>
      <c r="N2896" t="s">
        <v>32</v>
      </c>
      <c r="O2896">
        <v>19</v>
      </c>
      <c r="R2896" s="11">
        <v>1.6203703703703703E-4</v>
      </c>
      <c r="S2896" t="s">
        <v>37</v>
      </c>
      <c r="T2896" t="str">
        <f>IF(Tabela1[[#This Row],[STATUS_NEGOCIO]]="Enviar E-mail",1,"")</f>
        <v/>
      </c>
      <c r="U2896" t="str">
        <f>TEXT(Tabela1[[#This Row],[DATA]],"dd/mm/aaaa")</f>
        <v>26/05/2026</v>
      </c>
    </row>
    <row r="2897" spans="1:21" x14ac:dyDescent="0.25">
      <c r="A2897" s="9">
        <v>46168.446828703702</v>
      </c>
      <c r="B2897" t="s">
        <v>19</v>
      </c>
      <c r="C2897" t="s">
        <v>20</v>
      </c>
      <c r="E2897"/>
      <c r="F2897">
        <v>2763354867</v>
      </c>
      <c r="G2897" s="10">
        <v>177980300617581</v>
      </c>
      <c r="H2897" t="s">
        <v>28</v>
      </c>
      <c r="I2897" t="s">
        <v>162</v>
      </c>
      <c r="J2897" t="s">
        <v>30</v>
      </c>
      <c r="K2897" t="s">
        <v>23</v>
      </c>
      <c r="L2897" t="s">
        <v>40</v>
      </c>
      <c r="N2897" t="s">
        <v>26</v>
      </c>
      <c r="O2897">
        <v>16</v>
      </c>
      <c r="R2897" s="11">
        <v>3.4027777777777776E-3</v>
      </c>
      <c r="S2897" s="11">
        <v>3.3333333333333335E-3</v>
      </c>
      <c r="T2897">
        <f>IF(Tabela1[[#This Row],[STATUS_NEGOCIO]]="Enviar E-mail",1,"")</f>
        <v>1</v>
      </c>
      <c r="U2897" t="str">
        <f>TEXT(Tabela1[[#This Row],[DATA]],"dd/mm/aaaa")</f>
        <v>26/05/2026</v>
      </c>
    </row>
    <row r="2898" spans="1:21" x14ac:dyDescent="0.25">
      <c r="A2898" s="9">
        <v>46168.447164351855</v>
      </c>
      <c r="B2898" t="s">
        <v>19</v>
      </c>
      <c r="C2898" t="s">
        <v>27</v>
      </c>
      <c r="E2898"/>
      <c r="F2898">
        <v>2779168514</v>
      </c>
      <c r="G2898" s="10">
        <v>177980303517741</v>
      </c>
      <c r="H2898" t="s">
        <v>28</v>
      </c>
      <c r="I2898" t="s">
        <v>316</v>
      </c>
      <c r="J2898" t="s">
        <v>30</v>
      </c>
      <c r="K2898" t="s">
        <v>23</v>
      </c>
      <c r="L2898" t="s">
        <v>40</v>
      </c>
      <c r="N2898" t="s">
        <v>32</v>
      </c>
      <c r="O2898">
        <v>16</v>
      </c>
      <c r="R2898" s="11">
        <v>3.425925925925926E-3</v>
      </c>
      <c r="S2898" s="11">
        <v>3.3217592592592591E-3</v>
      </c>
      <c r="T2898">
        <f>IF(Tabela1[[#This Row],[STATUS_NEGOCIO]]="Enviar E-mail",1,"")</f>
        <v>1</v>
      </c>
      <c r="U2898" t="str">
        <f>TEXT(Tabela1[[#This Row],[DATA]],"dd/mm/aaaa")</f>
        <v>26/05/2026</v>
      </c>
    </row>
    <row r="2899" spans="1:21" x14ac:dyDescent="0.25">
      <c r="A2899" s="9">
        <v>46168.451493055552</v>
      </c>
      <c r="B2899" t="s">
        <v>19</v>
      </c>
      <c r="C2899" t="s">
        <v>20</v>
      </c>
      <c r="E2899"/>
      <c r="F2899">
        <v>2779420544</v>
      </c>
      <c r="G2899" s="10">
        <v>177980340918611</v>
      </c>
      <c r="H2899" t="s">
        <v>28</v>
      </c>
      <c r="I2899" t="s">
        <v>542</v>
      </c>
      <c r="J2899" t="s">
        <v>30</v>
      </c>
      <c r="K2899" t="s">
        <v>23</v>
      </c>
      <c r="L2899" t="s">
        <v>40</v>
      </c>
      <c r="N2899" t="s">
        <v>32</v>
      </c>
      <c r="O2899">
        <v>16</v>
      </c>
      <c r="R2899" s="11">
        <v>3.7152777777777778E-3</v>
      </c>
      <c r="S2899" s="11">
        <v>3.5995370370370369E-3</v>
      </c>
      <c r="T2899">
        <f>IF(Tabela1[[#This Row],[STATUS_NEGOCIO]]="Enviar E-mail",1,"")</f>
        <v>1</v>
      </c>
      <c r="U2899" t="str">
        <f>TEXT(Tabela1[[#This Row],[DATA]],"dd/mm/aaaa")</f>
        <v>26/05/2026</v>
      </c>
    </row>
    <row r="2900" spans="1:21" x14ac:dyDescent="0.25">
      <c r="A2900" s="9">
        <v>46168.45590277778</v>
      </c>
      <c r="B2900" t="s">
        <v>19</v>
      </c>
      <c r="C2900" t="s">
        <v>20</v>
      </c>
      <c r="E2900"/>
      <c r="F2900">
        <v>2753331629</v>
      </c>
      <c r="G2900" s="10">
        <v>177980379019551</v>
      </c>
      <c r="H2900" t="s">
        <v>28</v>
      </c>
      <c r="I2900" t="s">
        <v>220</v>
      </c>
      <c r="J2900" t="s">
        <v>30</v>
      </c>
      <c r="K2900" t="s">
        <v>23</v>
      </c>
      <c r="L2900" t="s">
        <v>31</v>
      </c>
      <c r="N2900" t="s">
        <v>32</v>
      </c>
      <c r="O2900">
        <v>16</v>
      </c>
      <c r="R2900" s="11">
        <v>3.7037037037037035E-4</v>
      </c>
      <c r="S2900" s="11">
        <v>2.3148148148148147E-5</v>
      </c>
      <c r="T2900" t="str">
        <f>IF(Tabela1[[#This Row],[STATUS_NEGOCIO]]="Enviar E-mail",1,"")</f>
        <v/>
      </c>
      <c r="U2900" t="str">
        <f>TEXT(Tabela1[[#This Row],[DATA]],"dd/mm/aaaa")</f>
        <v>26/05/2026</v>
      </c>
    </row>
    <row r="2901" spans="1:21" x14ac:dyDescent="0.25">
      <c r="A2901" s="9">
        <v>46168.457997685182</v>
      </c>
      <c r="B2901" t="s">
        <v>19</v>
      </c>
      <c r="C2901" t="s">
        <v>20</v>
      </c>
      <c r="E2901"/>
      <c r="F2901">
        <v>2778135815</v>
      </c>
      <c r="G2901" s="10">
        <v>177980397120031</v>
      </c>
      <c r="H2901" t="s">
        <v>28</v>
      </c>
      <c r="I2901" t="s">
        <v>534</v>
      </c>
      <c r="J2901" t="s">
        <v>30</v>
      </c>
      <c r="K2901" t="s">
        <v>23</v>
      </c>
      <c r="L2901" t="s">
        <v>31</v>
      </c>
      <c r="N2901" t="s">
        <v>32</v>
      </c>
      <c r="O2901">
        <v>16</v>
      </c>
      <c r="R2901" s="11">
        <v>1.1574074074074075E-4</v>
      </c>
      <c r="S2901" s="11">
        <v>1.1574074074074073E-5</v>
      </c>
      <c r="T2901" t="str">
        <f>IF(Tabela1[[#This Row],[STATUS_NEGOCIO]]="Enviar E-mail",1,"")</f>
        <v/>
      </c>
      <c r="U2901" t="str">
        <f>TEXT(Tabela1[[#This Row],[DATA]],"dd/mm/aaaa")</f>
        <v>26/05/2026</v>
      </c>
    </row>
    <row r="2902" spans="1:21" x14ac:dyDescent="0.25">
      <c r="A2902" s="9">
        <v>46168.458611111113</v>
      </c>
      <c r="B2902" t="s">
        <v>19</v>
      </c>
      <c r="C2902" t="s">
        <v>20</v>
      </c>
      <c r="E2902"/>
      <c r="F2902">
        <v>2744576842</v>
      </c>
      <c r="G2902" s="10">
        <v>177980402420121</v>
      </c>
      <c r="H2902" t="s">
        <v>28</v>
      </c>
      <c r="I2902" t="s">
        <v>244</v>
      </c>
      <c r="J2902" t="s">
        <v>30</v>
      </c>
      <c r="K2902" t="s">
        <v>23</v>
      </c>
      <c r="L2902" t="s">
        <v>31</v>
      </c>
      <c r="N2902" t="s">
        <v>32</v>
      </c>
      <c r="O2902">
        <v>16</v>
      </c>
      <c r="R2902" s="11">
        <v>3.1250000000000001E-4</v>
      </c>
      <c r="S2902" s="11">
        <v>1.1574074074074073E-5</v>
      </c>
      <c r="T2902" t="str">
        <f>IF(Tabela1[[#This Row],[STATUS_NEGOCIO]]="Enviar E-mail",1,"")</f>
        <v/>
      </c>
      <c r="U2902" t="str">
        <f>TEXT(Tabela1[[#This Row],[DATA]],"dd/mm/aaaa")</f>
        <v>26/05/2026</v>
      </c>
    </row>
    <row r="2903" spans="1:21" x14ac:dyDescent="0.25">
      <c r="A2903" s="9">
        <v>46168.459293981483</v>
      </c>
      <c r="B2903" t="s">
        <v>19</v>
      </c>
      <c r="C2903" t="s">
        <v>20</v>
      </c>
      <c r="E2903"/>
      <c r="F2903">
        <v>2778394185</v>
      </c>
      <c r="G2903" s="10">
        <v>177980408320231</v>
      </c>
      <c r="H2903" t="s">
        <v>28</v>
      </c>
      <c r="I2903" t="s">
        <v>118</v>
      </c>
      <c r="J2903" t="s">
        <v>30</v>
      </c>
      <c r="K2903" t="s">
        <v>23</v>
      </c>
      <c r="L2903" t="s">
        <v>31</v>
      </c>
      <c r="N2903" t="s">
        <v>32</v>
      </c>
      <c r="O2903">
        <v>16</v>
      </c>
      <c r="R2903" s="11">
        <v>1.3888888888888889E-4</v>
      </c>
      <c r="S2903" s="11">
        <v>2.3148148148148147E-5</v>
      </c>
      <c r="T2903" t="str">
        <f>IF(Tabela1[[#This Row],[STATUS_NEGOCIO]]="Enviar E-mail",1,"")</f>
        <v/>
      </c>
      <c r="U2903" t="str">
        <f>TEXT(Tabela1[[#This Row],[DATA]],"dd/mm/aaaa")</f>
        <v>26/05/2026</v>
      </c>
    </row>
    <row r="2904" spans="1:21" x14ac:dyDescent="0.25">
      <c r="A2904" s="9">
        <v>46168.459791666668</v>
      </c>
      <c r="B2904" t="s">
        <v>19</v>
      </c>
      <c r="C2904" t="s">
        <v>20</v>
      </c>
      <c r="E2904"/>
      <c r="F2904">
        <v>2779789122</v>
      </c>
      <c r="G2904" s="10">
        <v>177980412620281</v>
      </c>
      <c r="H2904" t="s">
        <v>28</v>
      </c>
      <c r="I2904" t="s">
        <v>90</v>
      </c>
      <c r="J2904" t="s">
        <v>30</v>
      </c>
      <c r="K2904" t="s">
        <v>36</v>
      </c>
      <c r="N2904" t="s">
        <v>32</v>
      </c>
      <c r="O2904">
        <v>19</v>
      </c>
      <c r="R2904" s="11">
        <v>8.1018518518518516E-5</v>
      </c>
      <c r="S2904" t="s">
        <v>37</v>
      </c>
      <c r="T2904" t="str">
        <f>IF(Tabela1[[#This Row],[STATUS_NEGOCIO]]="Enviar E-mail",1,"")</f>
        <v/>
      </c>
      <c r="U2904" t="str">
        <f>TEXT(Tabela1[[#This Row],[DATA]],"dd/mm/aaaa")</f>
        <v>26/05/2026</v>
      </c>
    </row>
    <row r="2905" spans="1:21" x14ac:dyDescent="0.25">
      <c r="A2905" s="9">
        <v>46168.459965277776</v>
      </c>
      <c r="B2905" t="s">
        <v>19</v>
      </c>
      <c r="C2905" t="s">
        <v>27</v>
      </c>
      <c r="E2905"/>
      <c r="F2905">
        <v>2761608988</v>
      </c>
      <c r="G2905" s="10">
        <v>177980409120251</v>
      </c>
      <c r="H2905" t="s">
        <v>28</v>
      </c>
      <c r="I2905" t="s">
        <v>213</v>
      </c>
      <c r="J2905" t="s">
        <v>30</v>
      </c>
      <c r="K2905" t="s">
        <v>62</v>
      </c>
      <c r="N2905" t="s">
        <v>26</v>
      </c>
      <c r="O2905">
        <v>19</v>
      </c>
      <c r="R2905" s="11">
        <v>1.1574074074074073E-5</v>
      </c>
      <c r="S2905" t="s">
        <v>37</v>
      </c>
      <c r="T2905" t="str">
        <f>IF(Tabela1[[#This Row],[STATUS_NEGOCIO]]="Enviar E-mail",1,"")</f>
        <v/>
      </c>
      <c r="U2905" t="str">
        <f>TEXT(Tabela1[[#This Row],[DATA]],"dd/mm/aaaa")</f>
        <v>26/05/2026</v>
      </c>
    </row>
    <row r="2906" spans="1:21" x14ac:dyDescent="0.25">
      <c r="A2906" s="9">
        <v>46168.460115740738</v>
      </c>
      <c r="B2906" t="s">
        <v>19</v>
      </c>
      <c r="C2906" t="s">
        <v>27</v>
      </c>
      <c r="E2906"/>
      <c r="F2906">
        <v>2761609051</v>
      </c>
      <c r="G2906" s="10">
        <v>177980415420331</v>
      </c>
      <c r="H2906" t="s">
        <v>28</v>
      </c>
      <c r="I2906" t="s">
        <v>213</v>
      </c>
      <c r="J2906" t="s">
        <v>30</v>
      </c>
      <c r="K2906" t="s">
        <v>23</v>
      </c>
      <c r="L2906" t="s">
        <v>31</v>
      </c>
      <c r="N2906" t="s">
        <v>26</v>
      </c>
      <c r="O2906">
        <v>16</v>
      </c>
      <c r="R2906" s="11">
        <v>5.2083333333333333E-4</v>
      </c>
      <c r="S2906" s="11">
        <v>3.1250000000000001E-4</v>
      </c>
      <c r="T2906" t="str">
        <f>IF(Tabela1[[#This Row],[STATUS_NEGOCIO]]="Enviar E-mail",1,"")</f>
        <v/>
      </c>
      <c r="U2906" t="str">
        <f>TEXT(Tabela1[[#This Row],[DATA]],"dd/mm/aaaa")</f>
        <v>26/05/2026</v>
      </c>
    </row>
    <row r="2907" spans="1:21" x14ac:dyDescent="0.25">
      <c r="A2907" s="9">
        <v>46168.46020833333</v>
      </c>
      <c r="B2907" t="s">
        <v>19</v>
      </c>
      <c r="C2907" t="s">
        <v>20</v>
      </c>
      <c r="E2907"/>
      <c r="F2907">
        <v>2750096167</v>
      </c>
      <c r="G2907" s="10">
        <v>177980416220351</v>
      </c>
      <c r="H2907" t="s">
        <v>28</v>
      </c>
      <c r="I2907" t="s">
        <v>224</v>
      </c>
      <c r="J2907" t="s">
        <v>30</v>
      </c>
      <c r="K2907" t="s">
        <v>23</v>
      </c>
      <c r="L2907" t="s">
        <v>31</v>
      </c>
      <c r="N2907" t="s">
        <v>32</v>
      </c>
      <c r="O2907">
        <v>16</v>
      </c>
      <c r="R2907" s="11">
        <v>4.5138888888888887E-4</v>
      </c>
      <c r="S2907" s="11">
        <v>1.1574074074074073E-5</v>
      </c>
      <c r="T2907" t="str">
        <f>IF(Tabela1[[#This Row],[STATUS_NEGOCIO]]="Enviar E-mail",1,"")</f>
        <v/>
      </c>
      <c r="U2907" t="str">
        <f>TEXT(Tabela1[[#This Row],[DATA]],"dd/mm/aaaa")</f>
        <v>26/05/2026</v>
      </c>
    </row>
    <row r="2908" spans="1:21" x14ac:dyDescent="0.25">
      <c r="A2908" s="9">
        <v>46168.461192129631</v>
      </c>
      <c r="B2908" t="s">
        <v>19</v>
      </c>
      <c r="C2908" t="s">
        <v>20</v>
      </c>
      <c r="E2908"/>
      <c r="F2908">
        <v>2747664550</v>
      </c>
      <c r="G2908" s="10">
        <v>177980424720591</v>
      </c>
      <c r="H2908" t="s">
        <v>28</v>
      </c>
      <c r="I2908" t="s">
        <v>510</v>
      </c>
      <c r="J2908" t="s">
        <v>30</v>
      </c>
      <c r="K2908" t="s">
        <v>23</v>
      </c>
      <c r="L2908" t="s">
        <v>44</v>
      </c>
      <c r="N2908" t="s">
        <v>26</v>
      </c>
      <c r="O2908">
        <v>16</v>
      </c>
      <c r="R2908" s="11">
        <v>3.8194444444444446E-4</v>
      </c>
      <c r="S2908" s="11">
        <v>2.4305555555555555E-4</v>
      </c>
      <c r="T2908" t="str">
        <f>IF(Tabela1[[#This Row],[STATUS_NEGOCIO]]="Enviar E-mail",1,"")</f>
        <v/>
      </c>
      <c r="U2908" t="str">
        <f>TEXT(Tabela1[[#This Row],[DATA]],"dd/mm/aaaa")</f>
        <v>26/05/2026</v>
      </c>
    </row>
    <row r="2909" spans="1:21" x14ac:dyDescent="0.25">
      <c r="A2909" s="9">
        <v>46168.461273148147</v>
      </c>
      <c r="B2909" t="s">
        <v>19</v>
      </c>
      <c r="C2909" t="s">
        <v>27</v>
      </c>
      <c r="E2909"/>
      <c r="F2909">
        <v>2772026147</v>
      </c>
      <c r="G2909" s="10">
        <v>177980425420611</v>
      </c>
      <c r="H2909" t="s">
        <v>28</v>
      </c>
      <c r="I2909" t="s">
        <v>113</v>
      </c>
      <c r="J2909" t="s">
        <v>30</v>
      </c>
      <c r="K2909" t="s">
        <v>23</v>
      </c>
      <c r="L2909" t="s">
        <v>40</v>
      </c>
      <c r="N2909" t="s">
        <v>26</v>
      </c>
      <c r="O2909">
        <v>16</v>
      </c>
      <c r="R2909" s="11">
        <v>1.9097222222222222E-3</v>
      </c>
      <c r="S2909" s="11">
        <v>1.8287037037037037E-3</v>
      </c>
      <c r="T2909">
        <f>IF(Tabela1[[#This Row],[STATUS_NEGOCIO]]="Enviar E-mail",1,"")</f>
        <v>1</v>
      </c>
      <c r="U2909" t="str">
        <f>TEXT(Tabela1[[#This Row],[DATA]],"dd/mm/aaaa")</f>
        <v>26/05/2026</v>
      </c>
    </row>
    <row r="2910" spans="1:21" x14ac:dyDescent="0.25">
      <c r="A2910" s="9">
        <v>46168.463217592594</v>
      </c>
      <c r="B2910" t="s">
        <v>19</v>
      </c>
      <c r="C2910" t="s">
        <v>20</v>
      </c>
      <c r="E2910"/>
      <c r="F2910">
        <v>2772682894</v>
      </c>
      <c r="G2910" s="10">
        <v>177980442220941</v>
      </c>
      <c r="H2910" t="s">
        <v>28</v>
      </c>
      <c r="I2910" t="s">
        <v>81</v>
      </c>
      <c r="J2910" t="s">
        <v>30</v>
      </c>
      <c r="K2910" t="s">
        <v>23</v>
      </c>
      <c r="L2910" t="s">
        <v>44</v>
      </c>
      <c r="N2910" t="s">
        <v>32</v>
      </c>
      <c r="O2910">
        <v>16</v>
      </c>
      <c r="R2910" s="11">
        <v>4.6296296296296298E-4</v>
      </c>
      <c r="S2910" s="11">
        <v>1.1574074074074073E-5</v>
      </c>
      <c r="T2910" t="str">
        <f>IF(Tabela1[[#This Row],[STATUS_NEGOCIO]]="Enviar E-mail",1,"")</f>
        <v/>
      </c>
      <c r="U2910" t="str">
        <f>TEXT(Tabela1[[#This Row],[DATA]],"dd/mm/aaaa")</f>
        <v>26/05/2026</v>
      </c>
    </row>
    <row r="2911" spans="1:21" x14ac:dyDescent="0.25">
      <c r="A2911" s="9">
        <v>46168.464236111111</v>
      </c>
      <c r="B2911" t="s">
        <v>19</v>
      </c>
      <c r="C2911" t="s">
        <v>20</v>
      </c>
      <c r="E2911"/>
      <c r="F2911">
        <v>2778138832</v>
      </c>
      <c r="G2911" s="10">
        <v>177980451021021</v>
      </c>
      <c r="H2911" t="s">
        <v>28</v>
      </c>
      <c r="I2911" t="s">
        <v>184</v>
      </c>
      <c r="J2911" t="s">
        <v>30</v>
      </c>
      <c r="K2911" t="s">
        <v>23</v>
      </c>
      <c r="L2911" t="s">
        <v>44</v>
      </c>
      <c r="N2911" t="s">
        <v>32</v>
      </c>
      <c r="O2911">
        <v>16</v>
      </c>
      <c r="R2911" s="11">
        <v>4.5138888888888887E-4</v>
      </c>
      <c r="S2911" s="11">
        <v>2.3148148148148147E-5</v>
      </c>
      <c r="T2911" t="str">
        <f>IF(Tabela1[[#This Row],[STATUS_NEGOCIO]]="Enviar E-mail",1,"")</f>
        <v/>
      </c>
      <c r="U2911" t="str">
        <f>TEXT(Tabela1[[#This Row],[DATA]],"dd/mm/aaaa")</f>
        <v>26/05/2026</v>
      </c>
    </row>
    <row r="2912" spans="1:21" x14ac:dyDescent="0.25">
      <c r="A2912" s="9">
        <v>46168.465069444443</v>
      </c>
      <c r="B2912" t="s">
        <v>19</v>
      </c>
      <c r="C2912" t="s">
        <v>20</v>
      </c>
      <c r="E2912"/>
      <c r="F2912">
        <v>2778688484</v>
      </c>
      <c r="G2912" s="10">
        <v>177980458221231</v>
      </c>
      <c r="H2912" t="s">
        <v>28</v>
      </c>
      <c r="I2912" t="s">
        <v>240</v>
      </c>
      <c r="J2912" t="s">
        <v>30</v>
      </c>
      <c r="K2912" t="s">
        <v>23</v>
      </c>
      <c r="L2912" t="s">
        <v>106</v>
      </c>
      <c r="N2912" t="s">
        <v>32</v>
      </c>
      <c r="O2912">
        <v>16</v>
      </c>
      <c r="R2912" s="11">
        <v>1.3657407407407407E-3</v>
      </c>
      <c r="S2912" s="11">
        <v>1.2847222222222223E-3</v>
      </c>
      <c r="T2912" t="str">
        <f>IF(Tabela1[[#This Row],[STATUS_NEGOCIO]]="Enviar E-mail",1,"")</f>
        <v/>
      </c>
      <c r="U2912" t="str">
        <f>TEXT(Tabela1[[#This Row],[DATA]],"dd/mm/aaaa")</f>
        <v>26/05/2026</v>
      </c>
    </row>
    <row r="2913" spans="1:21" x14ac:dyDescent="0.25">
      <c r="A2913" s="9">
        <v>46168.466134259259</v>
      </c>
      <c r="B2913" t="s">
        <v>19</v>
      </c>
      <c r="C2913" t="s">
        <v>27</v>
      </c>
      <c r="E2913"/>
      <c r="F2913">
        <v>2779336223</v>
      </c>
      <c r="G2913" s="10">
        <v>177980467421401</v>
      </c>
      <c r="H2913" t="s">
        <v>28</v>
      </c>
      <c r="I2913" t="s">
        <v>208</v>
      </c>
      <c r="J2913" t="s">
        <v>30</v>
      </c>
      <c r="K2913" t="s">
        <v>23</v>
      </c>
      <c r="L2913" t="s">
        <v>31</v>
      </c>
      <c r="N2913" t="s">
        <v>32</v>
      </c>
      <c r="O2913">
        <v>16</v>
      </c>
      <c r="R2913" s="11">
        <v>6.7129629629629625E-4</v>
      </c>
      <c r="S2913" s="11">
        <v>1.5046296296296297E-4</v>
      </c>
      <c r="T2913" t="str">
        <f>IF(Tabela1[[#This Row],[STATUS_NEGOCIO]]="Enviar E-mail",1,"")</f>
        <v/>
      </c>
      <c r="U2913" t="str">
        <f>TEXT(Tabela1[[#This Row],[DATA]],"dd/mm/aaaa")</f>
        <v>26/05/2026</v>
      </c>
    </row>
    <row r="2914" spans="1:21" x14ac:dyDescent="0.25">
      <c r="A2914" s="9">
        <v>46168.467476851853</v>
      </c>
      <c r="B2914" t="s">
        <v>19</v>
      </c>
      <c r="C2914" t="s">
        <v>27</v>
      </c>
      <c r="E2914"/>
      <c r="F2914">
        <v>2748187215</v>
      </c>
      <c r="G2914" s="10">
        <v>177980479021831</v>
      </c>
      <c r="H2914" t="s">
        <v>28</v>
      </c>
      <c r="I2914" t="s">
        <v>175</v>
      </c>
      <c r="J2914" t="s">
        <v>30</v>
      </c>
      <c r="K2914" t="s">
        <v>23</v>
      </c>
      <c r="L2914" t="s">
        <v>31</v>
      </c>
      <c r="N2914" t="s">
        <v>32</v>
      </c>
      <c r="O2914">
        <v>16</v>
      </c>
      <c r="R2914" s="11">
        <v>1.3194444444444445E-3</v>
      </c>
      <c r="S2914" s="11">
        <v>9.1435185185185185E-4</v>
      </c>
      <c r="T2914" t="str">
        <f>IF(Tabela1[[#This Row],[STATUS_NEGOCIO]]="Enviar E-mail",1,"")</f>
        <v/>
      </c>
      <c r="U2914" t="str">
        <f>TEXT(Tabela1[[#This Row],[DATA]],"dd/mm/aaaa")</f>
        <v>26/05/2026</v>
      </c>
    </row>
    <row r="2915" spans="1:21" x14ac:dyDescent="0.25">
      <c r="A2915" s="9">
        <v>46168.469710648147</v>
      </c>
      <c r="B2915" t="s">
        <v>19</v>
      </c>
      <c r="C2915" t="s">
        <v>27</v>
      </c>
      <c r="E2915"/>
      <c r="F2915">
        <v>2765385747</v>
      </c>
      <c r="G2915" s="10">
        <v>177980498321941</v>
      </c>
      <c r="H2915" t="s">
        <v>28</v>
      </c>
      <c r="I2915" t="s">
        <v>201</v>
      </c>
      <c r="J2915" t="s">
        <v>30</v>
      </c>
      <c r="K2915" t="s">
        <v>23</v>
      </c>
      <c r="L2915" t="s">
        <v>40</v>
      </c>
      <c r="N2915" t="s">
        <v>26</v>
      </c>
      <c r="O2915">
        <v>16</v>
      </c>
      <c r="R2915" s="11">
        <v>3.5763888888888889E-3</v>
      </c>
      <c r="S2915" s="11">
        <v>3.4375E-3</v>
      </c>
      <c r="T2915">
        <f>IF(Tabela1[[#This Row],[STATUS_NEGOCIO]]="Enviar E-mail",1,"")</f>
        <v>1</v>
      </c>
      <c r="U2915" t="str">
        <f>TEXT(Tabela1[[#This Row],[DATA]],"dd/mm/aaaa")</f>
        <v>26/05/2026</v>
      </c>
    </row>
    <row r="2916" spans="1:21" x14ac:dyDescent="0.25">
      <c r="A2916" s="9">
        <v>46168.471203703702</v>
      </c>
      <c r="B2916" t="s">
        <v>19</v>
      </c>
      <c r="C2916" t="s">
        <v>20</v>
      </c>
      <c r="E2916"/>
      <c r="F2916">
        <v>2778060360</v>
      </c>
      <c r="G2916" s="10">
        <v>177980511222711</v>
      </c>
      <c r="H2916" t="s">
        <v>28</v>
      </c>
      <c r="I2916" t="s">
        <v>148</v>
      </c>
      <c r="J2916" t="s">
        <v>30</v>
      </c>
      <c r="K2916" t="s">
        <v>23</v>
      </c>
      <c r="L2916" t="s">
        <v>40</v>
      </c>
      <c r="N2916" t="s">
        <v>26</v>
      </c>
      <c r="O2916">
        <v>16</v>
      </c>
      <c r="R2916" s="11">
        <v>2.3379629629629631E-3</v>
      </c>
      <c r="S2916" s="11">
        <v>2.2106481481481482E-3</v>
      </c>
      <c r="T2916">
        <f>IF(Tabela1[[#This Row],[STATUS_NEGOCIO]]="Enviar E-mail",1,"")</f>
        <v>1</v>
      </c>
      <c r="U2916" t="str">
        <f>TEXT(Tabela1[[#This Row],[DATA]],"dd/mm/aaaa")</f>
        <v>26/05/2026</v>
      </c>
    </row>
    <row r="2917" spans="1:21" x14ac:dyDescent="0.25">
      <c r="A2917" s="9">
        <v>46168.477210648147</v>
      </c>
      <c r="B2917" t="s">
        <v>19</v>
      </c>
      <c r="C2917" t="s">
        <v>27</v>
      </c>
      <c r="E2917"/>
      <c r="F2917">
        <v>2779522764</v>
      </c>
      <c r="G2917" s="10">
        <v>177980563123651</v>
      </c>
      <c r="H2917" t="s">
        <v>28</v>
      </c>
      <c r="I2917" t="s">
        <v>85</v>
      </c>
      <c r="J2917" t="s">
        <v>30</v>
      </c>
      <c r="K2917" t="s">
        <v>23</v>
      </c>
      <c r="L2917" t="s">
        <v>40</v>
      </c>
      <c r="N2917" t="s">
        <v>32</v>
      </c>
      <c r="O2917">
        <v>16</v>
      </c>
      <c r="R2917" s="11">
        <v>3.6226851851851854E-3</v>
      </c>
      <c r="S2917" s="11">
        <v>3.5416666666666665E-3</v>
      </c>
      <c r="T2917">
        <f>IF(Tabela1[[#This Row],[STATUS_NEGOCIO]]="Enviar E-mail",1,"")</f>
        <v>1</v>
      </c>
      <c r="U2917" t="str">
        <f>TEXT(Tabela1[[#This Row],[DATA]],"dd/mm/aaaa")</f>
        <v>26/05/2026</v>
      </c>
    </row>
    <row r="2918" spans="1:21" x14ac:dyDescent="0.25">
      <c r="A2918" s="9">
        <v>46168.479305555556</v>
      </c>
      <c r="B2918" t="s">
        <v>19</v>
      </c>
      <c r="C2918" t="s">
        <v>20</v>
      </c>
      <c r="E2918"/>
      <c r="F2918">
        <v>2768051853</v>
      </c>
      <c r="G2918" s="10">
        <v>177980581223731</v>
      </c>
      <c r="H2918" t="s">
        <v>28</v>
      </c>
      <c r="I2918" t="s">
        <v>39</v>
      </c>
      <c r="J2918" t="s">
        <v>30</v>
      </c>
      <c r="K2918" t="s">
        <v>36</v>
      </c>
      <c r="N2918" t="s">
        <v>32</v>
      </c>
      <c r="O2918">
        <v>19</v>
      </c>
      <c r="R2918" s="11">
        <v>1.273148148148148E-4</v>
      </c>
      <c r="S2918" t="s">
        <v>37</v>
      </c>
      <c r="T2918" t="str">
        <f>IF(Tabela1[[#This Row],[STATUS_NEGOCIO]]="Enviar E-mail",1,"")</f>
        <v/>
      </c>
      <c r="U2918" t="str">
        <f>TEXT(Tabela1[[#This Row],[DATA]],"dd/mm/aaaa")</f>
        <v>26/05/2026</v>
      </c>
    </row>
    <row r="2919" spans="1:21" x14ac:dyDescent="0.25">
      <c r="A2919" s="9">
        <v>46168.480115740742</v>
      </c>
      <c r="B2919" t="s">
        <v>19</v>
      </c>
      <c r="C2919" t="s">
        <v>20</v>
      </c>
      <c r="E2919"/>
      <c r="F2919">
        <v>2774933028</v>
      </c>
      <c r="G2919" s="10">
        <v>177980588223801</v>
      </c>
      <c r="H2919" t="s">
        <v>28</v>
      </c>
      <c r="I2919" t="s">
        <v>486</v>
      </c>
      <c r="J2919" t="s">
        <v>30</v>
      </c>
      <c r="K2919" t="s">
        <v>36</v>
      </c>
      <c r="N2919" t="s">
        <v>32</v>
      </c>
      <c r="O2919">
        <v>19</v>
      </c>
      <c r="R2919" s="11">
        <v>5.6712962962962967E-4</v>
      </c>
      <c r="S2919" t="s">
        <v>37</v>
      </c>
      <c r="T2919" t="str">
        <f>IF(Tabela1[[#This Row],[STATUS_NEGOCIO]]="Enviar E-mail",1,"")</f>
        <v/>
      </c>
      <c r="U2919" t="str">
        <f>TEXT(Tabela1[[#This Row],[DATA]],"dd/mm/aaaa")</f>
        <v>26/05/2026</v>
      </c>
    </row>
    <row r="2920" spans="1:21" x14ac:dyDescent="0.25">
      <c r="A2920" s="9">
        <v>46168.481168981481</v>
      </c>
      <c r="B2920" t="s">
        <v>19</v>
      </c>
      <c r="C2920" t="s">
        <v>20</v>
      </c>
      <c r="E2920"/>
      <c r="F2920">
        <v>2779048128</v>
      </c>
      <c r="G2920" s="10">
        <v>177980597323901</v>
      </c>
      <c r="H2920" t="s">
        <v>28</v>
      </c>
      <c r="I2920" t="s">
        <v>485</v>
      </c>
      <c r="J2920" t="s">
        <v>30</v>
      </c>
      <c r="K2920" t="s">
        <v>23</v>
      </c>
      <c r="L2920" t="s">
        <v>44</v>
      </c>
      <c r="N2920" t="s">
        <v>32</v>
      </c>
      <c r="O2920">
        <v>16</v>
      </c>
      <c r="R2920" s="11">
        <v>7.5231481481481482E-4</v>
      </c>
      <c r="S2920" s="11">
        <v>3.2407407407407406E-4</v>
      </c>
      <c r="T2920" t="str">
        <f>IF(Tabela1[[#This Row],[STATUS_NEGOCIO]]="Enviar E-mail",1,"")</f>
        <v/>
      </c>
      <c r="U2920" t="str">
        <f>TEXT(Tabela1[[#This Row],[DATA]],"dd/mm/aaaa")</f>
        <v>26/05/2026</v>
      </c>
    </row>
    <row r="2921" spans="1:21" x14ac:dyDescent="0.25">
      <c r="A2921" s="9">
        <v>46168.482638888891</v>
      </c>
      <c r="B2921" t="s">
        <v>19</v>
      </c>
      <c r="C2921" t="s">
        <v>20</v>
      </c>
      <c r="E2921"/>
      <c r="F2921">
        <v>2779356078</v>
      </c>
      <c r="G2921" s="10">
        <v>177980610024101</v>
      </c>
      <c r="H2921" t="s">
        <v>28</v>
      </c>
      <c r="I2921" t="s">
        <v>483</v>
      </c>
      <c r="J2921" t="s">
        <v>30</v>
      </c>
      <c r="K2921" t="s">
        <v>23</v>
      </c>
      <c r="L2921" t="s">
        <v>44</v>
      </c>
      <c r="N2921" t="s">
        <v>32</v>
      </c>
      <c r="O2921">
        <v>16</v>
      </c>
      <c r="R2921" s="11">
        <v>3.9351851851851852E-4</v>
      </c>
      <c r="S2921" t="s">
        <v>37</v>
      </c>
      <c r="T2921" t="str">
        <f>IF(Tabela1[[#This Row],[STATUS_NEGOCIO]]="Enviar E-mail",1,"")</f>
        <v/>
      </c>
      <c r="U2921" t="str">
        <f>TEXT(Tabela1[[#This Row],[DATA]],"dd/mm/aaaa")</f>
        <v>26/05/2026</v>
      </c>
    </row>
    <row r="2922" spans="1:21" x14ac:dyDescent="0.25">
      <c r="A2922" s="9">
        <v>46168.483495370368</v>
      </c>
      <c r="B2922" t="s">
        <v>19</v>
      </c>
      <c r="C2922" t="s">
        <v>20</v>
      </c>
      <c r="E2922"/>
      <c r="F2922">
        <v>2779795973</v>
      </c>
      <c r="G2922" s="10">
        <v>177980617424501</v>
      </c>
      <c r="H2922" t="s">
        <v>28</v>
      </c>
      <c r="I2922" t="s">
        <v>209</v>
      </c>
      <c r="J2922" t="s">
        <v>30</v>
      </c>
      <c r="K2922" t="s">
        <v>23</v>
      </c>
      <c r="L2922" t="s">
        <v>40</v>
      </c>
      <c r="N2922" t="s">
        <v>32</v>
      </c>
      <c r="O2922">
        <v>16</v>
      </c>
      <c r="R2922" s="11">
        <v>3.8078703703703703E-3</v>
      </c>
      <c r="S2922" s="11">
        <v>3.5648148148148149E-3</v>
      </c>
      <c r="T2922">
        <f>IF(Tabela1[[#This Row],[STATUS_NEGOCIO]]="Enviar E-mail",1,"")</f>
        <v>1</v>
      </c>
      <c r="U2922" t="str">
        <f>TEXT(Tabela1[[#This Row],[DATA]],"dd/mm/aaaa")</f>
        <v>26/05/2026</v>
      </c>
    </row>
    <row r="2923" spans="1:21" x14ac:dyDescent="0.25">
      <c r="A2923" s="9">
        <v>46168.489629629628</v>
      </c>
      <c r="B2923" t="s">
        <v>19</v>
      </c>
      <c r="C2923" t="s">
        <v>27</v>
      </c>
      <c r="E2923"/>
      <c r="F2923">
        <v>2744331432</v>
      </c>
      <c r="G2923" s="10">
        <v>177980670426721</v>
      </c>
      <c r="H2923" t="s">
        <v>28</v>
      </c>
      <c r="I2923" t="s">
        <v>336</v>
      </c>
      <c r="J2923" t="s">
        <v>30</v>
      </c>
      <c r="K2923" t="s">
        <v>23</v>
      </c>
      <c r="L2923" t="s">
        <v>31</v>
      </c>
      <c r="N2923" t="s">
        <v>32</v>
      </c>
      <c r="O2923">
        <v>16</v>
      </c>
      <c r="R2923" s="11">
        <v>5.6712962962962967E-4</v>
      </c>
      <c r="S2923" s="11">
        <v>2.8935185185185184E-4</v>
      </c>
      <c r="T2923" t="str">
        <f>IF(Tabela1[[#This Row],[STATUS_NEGOCIO]]="Enviar E-mail",1,"")</f>
        <v/>
      </c>
      <c r="U2923" t="str">
        <f>TEXT(Tabela1[[#This Row],[DATA]],"dd/mm/aaaa")</f>
        <v>26/05/2026</v>
      </c>
    </row>
    <row r="2924" spans="1:21" x14ac:dyDescent="0.25">
      <c r="A2924" s="9">
        <v>46168.490578703706</v>
      </c>
      <c r="B2924" t="s">
        <v>19</v>
      </c>
      <c r="C2924" t="s">
        <v>27</v>
      </c>
      <c r="E2924"/>
      <c r="F2924">
        <v>2761378969</v>
      </c>
      <c r="G2924" s="10">
        <v>177980678626751</v>
      </c>
      <c r="H2924" t="s">
        <v>28</v>
      </c>
      <c r="I2924" t="s">
        <v>202</v>
      </c>
      <c r="J2924" t="s">
        <v>30</v>
      </c>
      <c r="K2924" t="s">
        <v>23</v>
      </c>
      <c r="L2924" t="s">
        <v>31</v>
      </c>
      <c r="N2924" t="s">
        <v>32</v>
      </c>
      <c r="O2924">
        <v>16</v>
      </c>
      <c r="R2924" s="11">
        <v>3.5879629629629629E-4</v>
      </c>
      <c r="S2924" s="11">
        <v>2.3148148148148149E-4</v>
      </c>
      <c r="T2924" t="str">
        <f>IF(Tabela1[[#This Row],[STATUS_NEGOCIO]]="Enviar E-mail",1,"")</f>
        <v/>
      </c>
      <c r="U2924" t="str">
        <f>TEXT(Tabela1[[#This Row],[DATA]],"dd/mm/aaaa")</f>
        <v>26/05/2026</v>
      </c>
    </row>
    <row r="2925" spans="1:21" x14ac:dyDescent="0.25">
      <c r="A2925" s="9">
        <v>46168.491261574076</v>
      </c>
      <c r="B2925" t="s">
        <v>19</v>
      </c>
      <c r="C2925" t="s">
        <v>20</v>
      </c>
      <c r="E2925"/>
      <c r="F2925">
        <v>2779676248</v>
      </c>
      <c r="G2925" s="10">
        <v>177980684526781</v>
      </c>
      <c r="H2925" t="s">
        <v>28</v>
      </c>
      <c r="I2925" t="s">
        <v>482</v>
      </c>
      <c r="J2925" t="s">
        <v>30</v>
      </c>
      <c r="K2925" t="s">
        <v>23</v>
      </c>
      <c r="L2925" t="s">
        <v>40</v>
      </c>
      <c r="N2925" t="s">
        <v>32</v>
      </c>
      <c r="O2925">
        <v>16</v>
      </c>
      <c r="R2925" s="11">
        <v>4.0162037037037041E-3</v>
      </c>
      <c r="S2925" s="11">
        <v>3.9004629629629628E-3</v>
      </c>
      <c r="T2925">
        <f>IF(Tabela1[[#This Row],[STATUS_NEGOCIO]]="Enviar E-mail",1,"")</f>
        <v>1</v>
      </c>
      <c r="U2925" t="str">
        <f>TEXT(Tabela1[[#This Row],[DATA]],"dd/mm/aaaa")</f>
        <v>26/05/2026</v>
      </c>
    </row>
    <row r="2926" spans="1:21" x14ac:dyDescent="0.25">
      <c r="A2926" s="9">
        <v>46168.493368055555</v>
      </c>
      <c r="B2926" t="s">
        <v>19</v>
      </c>
      <c r="C2926" t="s">
        <v>27</v>
      </c>
      <c r="E2926"/>
      <c r="F2926">
        <v>1813071431</v>
      </c>
      <c r="G2926" s="10">
        <v>177980698126991</v>
      </c>
      <c r="H2926" t="s">
        <v>28</v>
      </c>
      <c r="I2926" t="s">
        <v>161</v>
      </c>
      <c r="J2926" t="s">
        <v>30</v>
      </c>
      <c r="K2926" t="s">
        <v>62</v>
      </c>
      <c r="N2926" t="s">
        <v>26</v>
      </c>
      <c r="O2926">
        <v>19</v>
      </c>
      <c r="R2926" s="11">
        <v>1.1574074074074073E-5</v>
      </c>
      <c r="S2926" t="s">
        <v>37</v>
      </c>
      <c r="T2926" t="str">
        <f>IF(Tabela1[[#This Row],[STATUS_NEGOCIO]]="Enviar E-mail",1,"")</f>
        <v/>
      </c>
      <c r="U2926" t="str">
        <f>TEXT(Tabela1[[#This Row],[DATA]],"dd/mm/aaaa")</f>
        <v>26/05/2026</v>
      </c>
    </row>
    <row r="2927" spans="1:21" x14ac:dyDescent="0.25">
      <c r="A2927" s="9">
        <v>46168.493634259263</v>
      </c>
      <c r="B2927" t="s">
        <v>19</v>
      </c>
      <c r="C2927" t="s">
        <v>27</v>
      </c>
      <c r="E2927"/>
      <c r="F2927">
        <v>1813071497</v>
      </c>
      <c r="G2927" s="10">
        <v>177980704727071</v>
      </c>
      <c r="H2927" t="s">
        <v>28</v>
      </c>
      <c r="I2927" t="s">
        <v>161</v>
      </c>
      <c r="J2927" t="s">
        <v>30</v>
      </c>
      <c r="K2927" t="s">
        <v>62</v>
      </c>
      <c r="N2927" t="s">
        <v>26</v>
      </c>
      <c r="O2927">
        <v>19</v>
      </c>
      <c r="R2927" s="11">
        <v>1.1574074074074073E-5</v>
      </c>
      <c r="S2927" t="s">
        <v>37</v>
      </c>
      <c r="T2927" t="str">
        <f>IF(Tabela1[[#This Row],[STATUS_NEGOCIO]]="Enviar E-mail",1,"")</f>
        <v/>
      </c>
      <c r="U2927" t="str">
        <f>TEXT(Tabela1[[#This Row],[DATA]],"dd/mm/aaaa")</f>
        <v>26/05/2026</v>
      </c>
    </row>
    <row r="2928" spans="1:21" x14ac:dyDescent="0.25">
      <c r="A2928" s="9">
        <v>46168.494849537034</v>
      </c>
      <c r="B2928" t="s">
        <v>19</v>
      </c>
      <c r="C2928" t="s">
        <v>27</v>
      </c>
      <c r="E2928"/>
      <c r="F2928">
        <v>1813071555</v>
      </c>
      <c r="G2928" s="10">
        <v>177980710527151</v>
      </c>
      <c r="H2928" t="s">
        <v>28</v>
      </c>
      <c r="I2928" t="s">
        <v>161</v>
      </c>
      <c r="J2928" t="s">
        <v>30</v>
      </c>
      <c r="K2928" t="s">
        <v>62</v>
      </c>
      <c r="N2928" t="s">
        <v>26</v>
      </c>
      <c r="O2928">
        <v>19</v>
      </c>
      <c r="R2928" s="11">
        <v>1.1574074074074073E-5</v>
      </c>
      <c r="S2928" t="s">
        <v>37</v>
      </c>
      <c r="T2928" t="str">
        <f>IF(Tabela1[[#This Row],[STATUS_NEGOCIO]]="Enviar E-mail",1,"")</f>
        <v/>
      </c>
      <c r="U2928" t="str">
        <f>TEXT(Tabela1[[#This Row],[DATA]],"dd/mm/aaaa")</f>
        <v>26/05/2026</v>
      </c>
    </row>
    <row r="2929" spans="1:21" x14ac:dyDescent="0.25">
      <c r="A2929" s="9">
        <v>46168.496018518519</v>
      </c>
      <c r="B2929" t="s">
        <v>19</v>
      </c>
      <c r="C2929" t="s">
        <v>27</v>
      </c>
      <c r="E2929"/>
      <c r="F2929">
        <v>2779048462</v>
      </c>
      <c r="G2929" s="10">
        <v>177980725627481</v>
      </c>
      <c r="H2929" t="s">
        <v>28</v>
      </c>
      <c r="I2929" t="s">
        <v>342</v>
      </c>
      <c r="J2929" t="s">
        <v>30</v>
      </c>
      <c r="K2929" t="s">
        <v>23</v>
      </c>
      <c r="L2929" t="s">
        <v>152</v>
      </c>
      <c r="N2929" t="s">
        <v>26</v>
      </c>
      <c r="O2929">
        <v>16</v>
      </c>
      <c r="R2929" s="11">
        <v>1.0648148148148149E-3</v>
      </c>
      <c r="S2929" s="11">
        <v>9.2592592592592596E-4</v>
      </c>
      <c r="T2929" t="str">
        <f>IF(Tabela1[[#This Row],[STATUS_NEGOCIO]]="Enviar E-mail",1,"")</f>
        <v/>
      </c>
      <c r="U2929" t="str">
        <f>TEXT(Tabela1[[#This Row],[DATA]],"dd/mm/aaaa")</f>
        <v>26/05/2026</v>
      </c>
    </row>
    <row r="2930" spans="1:21" x14ac:dyDescent="0.25">
      <c r="A2930" s="9">
        <v>46168.499560185184</v>
      </c>
      <c r="B2930" t="s">
        <v>19</v>
      </c>
      <c r="C2930" t="s">
        <v>27</v>
      </c>
      <c r="E2930"/>
      <c r="F2930">
        <v>2773646910</v>
      </c>
      <c r="G2930" s="10">
        <v>177980756228331</v>
      </c>
      <c r="H2930" t="s">
        <v>28</v>
      </c>
      <c r="I2930" t="s">
        <v>243</v>
      </c>
      <c r="J2930" t="s">
        <v>30</v>
      </c>
      <c r="K2930" t="s">
        <v>23</v>
      </c>
      <c r="L2930" t="s">
        <v>106</v>
      </c>
      <c r="N2930" t="s">
        <v>26</v>
      </c>
      <c r="O2930">
        <v>16</v>
      </c>
      <c r="R2930" s="11">
        <v>1.8402777777777777E-3</v>
      </c>
      <c r="S2930" s="11">
        <v>1.8171296296296297E-3</v>
      </c>
      <c r="T2930" t="str">
        <f>IF(Tabela1[[#This Row],[STATUS_NEGOCIO]]="Enviar E-mail",1,"")</f>
        <v/>
      </c>
      <c r="U2930" t="str">
        <f>TEXT(Tabela1[[#This Row],[DATA]],"dd/mm/aaaa")</f>
        <v>26/05/2026</v>
      </c>
    </row>
    <row r="2931" spans="1:21" x14ac:dyDescent="0.25">
      <c r="A2931" s="9">
        <v>46168.506168981483</v>
      </c>
      <c r="B2931" t="s">
        <v>19</v>
      </c>
      <c r="C2931" t="s">
        <v>20</v>
      </c>
      <c r="E2931"/>
      <c r="F2931">
        <v>2772686605</v>
      </c>
      <c r="G2931" s="10">
        <v>177980813329121</v>
      </c>
      <c r="H2931" t="s">
        <v>28</v>
      </c>
      <c r="I2931" t="s">
        <v>81</v>
      </c>
      <c r="J2931" t="s">
        <v>30</v>
      </c>
      <c r="K2931" t="s">
        <v>36</v>
      </c>
      <c r="N2931" t="s">
        <v>32</v>
      </c>
      <c r="O2931">
        <v>19</v>
      </c>
      <c r="R2931" s="11">
        <v>4.2824074074074075E-4</v>
      </c>
      <c r="S2931" t="s">
        <v>37</v>
      </c>
      <c r="T2931" t="str">
        <f>IF(Tabela1[[#This Row],[STATUS_NEGOCIO]]="Enviar E-mail",1,"")</f>
        <v/>
      </c>
      <c r="U2931" t="str">
        <f>TEXT(Tabela1[[#This Row],[DATA]],"dd/mm/aaaa")</f>
        <v>26/05/2026</v>
      </c>
    </row>
    <row r="2932" spans="1:21" x14ac:dyDescent="0.25">
      <c r="A2932" s="9">
        <v>46168.506238425929</v>
      </c>
      <c r="B2932" t="s">
        <v>19</v>
      </c>
      <c r="C2932" t="s">
        <v>27</v>
      </c>
      <c r="E2932"/>
      <c r="F2932">
        <v>2712676736</v>
      </c>
      <c r="G2932" s="10">
        <v>177980808929061</v>
      </c>
      <c r="H2932" t="s">
        <v>28</v>
      </c>
      <c r="I2932" t="s">
        <v>83</v>
      </c>
      <c r="J2932" t="s">
        <v>30</v>
      </c>
      <c r="K2932" t="s">
        <v>62</v>
      </c>
      <c r="N2932" t="s">
        <v>26</v>
      </c>
      <c r="O2932">
        <v>19</v>
      </c>
      <c r="R2932" s="11">
        <v>1.1574074074074073E-5</v>
      </c>
      <c r="S2932" t="s">
        <v>37</v>
      </c>
      <c r="T2932" t="str">
        <f>IF(Tabela1[[#This Row],[STATUS_NEGOCIO]]="Enviar E-mail",1,"")</f>
        <v/>
      </c>
      <c r="U2932" t="str">
        <f>TEXT(Tabela1[[#This Row],[DATA]],"dd/mm/aaaa")</f>
        <v>26/05/2026</v>
      </c>
    </row>
    <row r="2933" spans="1:21" x14ac:dyDescent="0.25">
      <c r="A2933" s="9">
        <v>46168.507349537038</v>
      </c>
      <c r="B2933" t="s">
        <v>19</v>
      </c>
      <c r="C2933" t="s">
        <v>27</v>
      </c>
      <c r="E2933"/>
      <c r="F2933">
        <v>2712676882</v>
      </c>
      <c r="G2933" s="10">
        <v>177980823529311</v>
      </c>
      <c r="H2933" t="s">
        <v>28</v>
      </c>
      <c r="I2933" t="s">
        <v>83</v>
      </c>
      <c r="J2933" t="s">
        <v>30</v>
      </c>
      <c r="K2933" t="s">
        <v>23</v>
      </c>
      <c r="L2933" t="s">
        <v>95</v>
      </c>
      <c r="N2933" t="s">
        <v>26</v>
      </c>
      <c r="O2933">
        <v>16</v>
      </c>
      <c r="R2933" s="11">
        <v>4.861111111111111E-4</v>
      </c>
      <c r="S2933" s="11">
        <v>2.7777777777777778E-4</v>
      </c>
      <c r="T2933" t="str">
        <f>IF(Tabela1[[#This Row],[STATUS_NEGOCIO]]="Enviar E-mail",1,"")</f>
        <v/>
      </c>
      <c r="U2933" t="str">
        <f>TEXT(Tabela1[[#This Row],[DATA]],"dd/mm/aaaa")</f>
        <v>26/05/2026</v>
      </c>
    </row>
    <row r="2934" spans="1:21" x14ac:dyDescent="0.25">
      <c r="A2934" s="9">
        <v>46168.507835648146</v>
      </c>
      <c r="B2934" t="s">
        <v>19</v>
      </c>
      <c r="C2934" t="s">
        <v>20</v>
      </c>
      <c r="E2934"/>
      <c r="F2934">
        <v>2779750614</v>
      </c>
      <c r="G2934" s="10">
        <v>177980827729381</v>
      </c>
      <c r="H2934" t="s">
        <v>28</v>
      </c>
      <c r="I2934" t="s">
        <v>480</v>
      </c>
      <c r="J2934" t="s">
        <v>30</v>
      </c>
      <c r="K2934" t="s">
        <v>23</v>
      </c>
      <c r="L2934" t="s">
        <v>40</v>
      </c>
      <c r="N2934" t="s">
        <v>32</v>
      </c>
      <c r="O2934">
        <v>16</v>
      </c>
      <c r="R2934" s="11">
        <v>3.6226851851851854E-3</v>
      </c>
      <c r="S2934" s="11">
        <v>3.5069444444444445E-3</v>
      </c>
      <c r="T2934">
        <f>IF(Tabela1[[#This Row],[STATUS_NEGOCIO]]="Enviar E-mail",1,"")</f>
        <v>1</v>
      </c>
      <c r="U2934" t="str">
        <f>TEXT(Tabela1[[#This Row],[DATA]],"dd/mm/aaaa")</f>
        <v>26/05/2026</v>
      </c>
    </row>
    <row r="2935" spans="1:21" x14ac:dyDescent="0.25">
      <c r="A2935" s="9">
        <v>46168.508217592593</v>
      </c>
      <c r="B2935" t="s">
        <v>19</v>
      </c>
      <c r="C2935" t="s">
        <v>27</v>
      </c>
      <c r="E2935"/>
      <c r="F2935">
        <v>2768091266</v>
      </c>
      <c r="G2935" s="10">
        <v>177980831029411</v>
      </c>
      <c r="H2935" t="s">
        <v>28</v>
      </c>
      <c r="I2935" t="s">
        <v>247</v>
      </c>
      <c r="J2935" t="s">
        <v>30</v>
      </c>
      <c r="K2935" t="s">
        <v>23</v>
      </c>
      <c r="L2935" t="s">
        <v>31</v>
      </c>
      <c r="N2935" t="s">
        <v>32</v>
      </c>
      <c r="O2935">
        <v>16</v>
      </c>
      <c r="R2935" s="11">
        <v>5.4398148148148144E-4</v>
      </c>
      <c r="S2935" s="11">
        <v>1.3888888888888889E-4</v>
      </c>
      <c r="T2935" t="str">
        <f>IF(Tabela1[[#This Row],[STATUS_NEGOCIO]]="Enviar E-mail",1,"")</f>
        <v/>
      </c>
      <c r="U2935" t="str">
        <f>TEXT(Tabela1[[#This Row],[DATA]],"dd/mm/aaaa")</f>
        <v>26/05/2026</v>
      </c>
    </row>
    <row r="2936" spans="1:21" x14ac:dyDescent="0.25">
      <c r="A2936" s="9">
        <v>46168.512546296297</v>
      </c>
      <c r="B2936" t="s">
        <v>19</v>
      </c>
      <c r="C2936" t="s">
        <v>27</v>
      </c>
      <c r="E2936"/>
      <c r="F2936">
        <v>2772464829</v>
      </c>
      <c r="G2936" s="10">
        <v>177980868429621</v>
      </c>
      <c r="H2936" t="s">
        <v>28</v>
      </c>
      <c r="I2936" t="s">
        <v>353</v>
      </c>
      <c r="J2936" t="s">
        <v>30</v>
      </c>
      <c r="K2936" t="s">
        <v>23</v>
      </c>
      <c r="L2936" t="s">
        <v>40</v>
      </c>
      <c r="N2936" t="s">
        <v>26</v>
      </c>
      <c r="O2936">
        <v>16</v>
      </c>
      <c r="R2936" s="11">
        <v>2.5000000000000001E-3</v>
      </c>
      <c r="S2936" s="11">
        <v>2.3495370370370371E-3</v>
      </c>
      <c r="T2936">
        <f>IF(Tabela1[[#This Row],[STATUS_NEGOCIO]]="Enviar E-mail",1,"")</f>
        <v>1</v>
      </c>
      <c r="U2936" t="str">
        <f>TEXT(Tabela1[[#This Row],[DATA]],"dd/mm/aaaa")</f>
        <v>26/05/2026</v>
      </c>
    </row>
    <row r="2937" spans="1:21" x14ac:dyDescent="0.25">
      <c r="A2937" s="9">
        <v>46168.514398148145</v>
      </c>
      <c r="B2937" t="s">
        <v>19</v>
      </c>
      <c r="C2937" t="s">
        <v>20</v>
      </c>
      <c r="E2937"/>
      <c r="F2937">
        <v>2761122199</v>
      </c>
      <c r="G2937" s="10">
        <v>177980884429681</v>
      </c>
      <c r="H2937" t="s">
        <v>28</v>
      </c>
      <c r="I2937" t="s">
        <v>465</v>
      </c>
      <c r="J2937" t="s">
        <v>30</v>
      </c>
      <c r="K2937" t="s">
        <v>23</v>
      </c>
      <c r="L2937" t="s">
        <v>40</v>
      </c>
      <c r="N2937" t="s">
        <v>32</v>
      </c>
      <c r="O2937">
        <v>16</v>
      </c>
      <c r="R2937" s="11">
        <v>3.1944444444444446E-3</v>
      </c>
      <c r="S2937" s="11">
        <v>2.9745370370370373E-3</v>
      </c>
      <c r="T2937">
        <f>IF(Tabela1[[#This Row],[STATUS_NEGOCIO]]="Enviar E-mail",1,"")</f>
        <v>1</v>
      </c>
      <c r="U2937" t="str">
        <f>TEXT(Tabela1[[#This Row],[DATA]],"dd/mm/aaaa")</f>
        <v>26/05/2026</v>
      </c>
    </row>
    <row r="2938" spans="1:21" x14ac:dyDescent="0.25">
      <c r="A2938" s="9">
        <v>46168.517511574071</v>
      </c>
      <c r="B2938" t="s">
        <v>19</v>
      </c>
      <c r="C2938" t="s">
        <v>27</v>
      </c>
      <c r="E2938"/>
      <c r="F2938">
        <v>2779370744</v>
      </c>
      <c r="G2938" s="10">
        <v>177980911329881</v>
      </c>
      <c r="H2938" t="s">
        <v>28</v>
      </c>
      <c r="I2938" t="s">
        <v>107</v>
      </c>
      <c r="J2938" t="s">
        <v>30</v>
      </c>
      <c r="K2938" t="s">
        <v>23</v>
      </c>
      <c r="L2938" t="s">
        <v>31</v>
      </c>
      <c r="N2938" t="s">
        <v>32</v>
      </c>
      <c r="O2938">
        <v>16</v>
      </c>
      <c r="R2938" s="11">
        <v>6.4814814814814813E-4</v>
      </c>
      <c r="S2938" s="11">
        <v>3.9351851851851852E-4</v>
      </c>
      <c r="T2938" t="str">
        <f>IF(Tabela1[[#This Row],[STATUS_NEGOCIO]]="Enviar E-mail",1,"")</f>
        <v/>
      </c>
      <c r="U2938" t="str">
        <f>TEXT(Tabela1[[#This Row],[DATA]],"dd/mm/aaaa")</f>
        <v>26/05/2026</v>
      </c>
    </row>
    <row r="2939" spans="1:21" x14ac:dyDescent="0.25">
      <c r="A2939" s="9">
        <v>46168.521458333336</v>
      </c>
      <c r="B2939" t="s">
        <v>19</v>
      </c>
      <c r="C2939" t="s">
        <v>20</v>
      </c>
      <c r="E2939"/>
      <c r="F2939">
        <v>1868385371</v>
      </c>
      <c r="G2939" s="10">
        <v>177980945430241</v>
      </c>
      <c r="H2939" t="s">
        <v>28</v>
      </c>
      <c r="I2939" t="s">
        <v>203</v>
      </c>
      <c r="J2939" t="s">
        <v>30</v>
      </c>
      <c r="K2939" t="s">
        <v>36</v>
      </c>
      <c r="N2939" t="s">
        <v>32</v>
      </c>
      <c r="O2939">
        <v>19</v>
      </c>
      <c r="R2939" s="11">
        <v>2.3148148148148147E-5</v>
      </c>
      <c r="S2939" t="s">
        <v>37</v>
      </c>
      <c r="T2939" t="str">
        <f>IF(Tabela1[[#This Row],[STATUS_NEGOCIO]]="Enviar E-mail",1,"")</f>
        <v/>
      </c>
      <c r="U2939" t="str">
        <f>TEXT(Tabela1[[#This Row],[DATA]],"dd/mm/aaaa")</f>
        <v>26/05/2026</v>
      </c>
    </row>
    <row r="2940" spans="1:21" x14ac:dyDescent="0.25">
      <c r="A2940" s="9">
        <v>46168.521550925929</v>
      </c>
      <c r="B2940" t="s">
        <v>19</v>
      </c>
      <c r="C2940" t="s">
        <v>20</v>
      </c>
      <c r="E2940"/>
      <c r="F2940">
        <v>2768385381</v>
      </c>
      <c r="G2940" s="10">
        <v>177980946230271</v>
      </c>
      <c r="H2940" t="s">
        <v>28</v>
      </c>
      <c r="I2940" t="s">
        <v>203</v>
      </c>
      <c r="J2940" t="s">
        <v>30</v>
      </c>
      <c r="K2940" t="s">
        <v>23</v>
      </c>
      <c r="L2940" t="s">
        <v>95</v>
      </c>
      <c r="N2940" t="s">
        <v>32</v>
      </c>
      <c r="O2940">
        <v>16</v>
      </c>
      <c r="R2940" s="11">
        <v>6.9444444444444447E-4</v>
      </c>
      <c r="S2940" s="11">
        <v>4.7453703703703704E-4</v>
      </c>
      <c r="T2940" t="str">
        <f>IF(Tabela1[[#This Row],[STATUS_NEGOCIO]]="Enviar E-mail",1,"")</f>
        <v/>
      </c>
      <c r="U2940" t="str">
        <f>TEXT(Tabela1[[#This Row],[DATA]],"dd/mm/aaaa")</f>
        <v>26/05/2026</v>
      </c>
    </row>
    <row r="2941" spans="1:21" x14ac:dyDescent="0.25">
      <c r="A2941" s="9">
        <v>46168.523078703707</v>
      </c>
      <c r="B2941" t="s">
        <v>19</v>
      </c>
      <c r="C2941" t="s">
        <v>20</v>
      </c>
      <c r="E2941"/>
      <c r="F2941">
        <v>2771387479</v>
      </c>
      <c r="G2941" s="10">
        <v>177980959430501</v>
      </c>
      <c r="H2941" t="s">
        <v>28</v>
      </c>
      <c r="I2941" t="s">
        <v>234</v>
      </c>
      <c r="J2941" t="s">
        <v>30</v>
      </c>
      <c r="K2941" t="s">
        <v>23</v>
      </c>
      <c r="L2941" t="s">
        <v>44</v>
      </c>
      <c r="N2941" t="s">
        <v>32</v>
      </c>
      <c r="O2941">
        <v>16</v>
      </c>
      <c r="R2941" s="11">
        <v>4.9768518518518521E-4</v>
      </c>
      <c r="S2941" s="11">
        <v>1.1574074074074073E-5</v>
      </c>
      <c r="T2941" t="str">
        <f>IF(Tabela1[[#This Row],[STATUS_NEGOCIO]]="Enviar E-mail",1,"")</f>
        <v/>
      </c>
      <c r="U2941" t="str">
        <f>TEXT(Tabela1[[#This Row],[DATA]],"dd/mm/aaaa")</f>
        <v>26/05/2026</v>
      </c>
    </row>
    <row r="2942" spans="1:21" x14ac:dyDescent="0.25">
      <c r="A2942" s="9">
        <v>46168.525081018517</v>
      </c>
      <c r="B2942" t="s">
        <v>19</v>
      </c>
      <c r="C2942" t="s">
        <v>27</v>
      </c>
      <c r="E2942"/>
      <c r="F2942">
        <v>2761543188</v>
      </c>
      <c r="G2942" s="10">
        <v>177980976730781</v>
      </c>
      <c r="H2942" t="s">
        <v>28</v>
      </c>
      <c r="I2942" t="s">
        <v>42</v>
      </c>
      <c r="J2942" t="s">
        <v>30</v>
      </c>
      <c r="K2942" t="s">
        <v>23</v>
      </c>
      <c r="L2942" t="s">
        <v>40</v>
      </c>
      <c r="N2942" t="s">
        <v>26</v>
      </c>
      <c r="O2942">
        <v>16</v>
      </c>
      <c r="R2942" s="11">
        <v>1.8518518518518519E-3</v>
      </c>
      <c r="S2942" s="11">
        <v>1.7592592592592592E-3</v>
      </c>
      <c r="T2942">
        <f>IF(Tabela1[[#This Row],[STATUS_NEGOCIO]]="Enviar E-mail",1,"")</f>
        <v>1</v>
      </c>
      <c r="U2942" t="str">
        <f>TEXT(Tabela1[[#This Row],[DATA]],"dd/mm/aaaa")</f>
        <v>26/05/2026</v>
      </c>
    </row>
    <row r="2943" spans="1:21" x14ac:dyDescent="0.25">
      <c r="A2943" s="9">
        <v>46168.528414351851</v>
      </c>
      <c r="B2943" t="s">
        <v>19</v>
      </c>
      <c r="C2943" t="s">
        <v>20</v>
      </c>
      <c r="E2943"/>
      <c r="F2943">
        <v>2761243070</v>
      </c>
      <c r="G2943" s="10">
        <v>177981000331611</v>
      </c>
      <c r="H2943" t="s">
        <v>28</v>
      </c>
      <c r="I2943" t="s">
        <v>61</v>
      </c>
      <c r="J2943" t="s">
        <v>30</v>
      </c>
      <c r="K2943" t="s">
        <v>62</v>
      </c>
      <c r="N2943" t="s">
        <v>26</v>
      </c>
      <c r="O2943">
        <v>19</v>
      </c>
      <c r="R2943" s="11">
        <v>1.1574074074074073E-5</v>
      </c>
      <c r="S2943" t="s">
        <v>37</v>
      </c>
      <c r="T2943" t="str">
        <f>IF(Tabela1[[#This Row],[STATUS_NEGOCIO]]="Enviar E-mail",1,"")</f>
        <v/>
      </c>
      <c r="U2943" t="str">
        <f>TEXT(Tabela1[[#This Row],[DATA]],"dd/mm/aaaa")</f>
        <v>26/05/2026</v>
      </c>
    </row>
    <row r="2944" spans="1:21" x14ac:dyDescent="0.25">
      <c r="A2944" s="9">
        <v>46168.52988425926</v>
      </c>
      <c r="B2944" t="s">
        <v>19</v>
      </c>
      <c r="C2944" t="s">
        <v>20</v>
      </c>
      <c r="E2944"/>
      <c r="F2944">
        <v>2760940940</v>
      </c>
      <c r="G2944" s="10">
        <v>177981018232181</v>
      </c>
      <c r="H2944" t="s">
        <v>28</v>
      </c>
      <c r="I2944" t="s">
        <v>236</v>
      </c>
      <c r="J2944" t="s">
        <v>30</v>
      </c>
      <c r="K2944" t="s">
        <v>23</v>
      </c>
      <c r="L2944" t="s">
        <v>100</v>
      </c>
      <c r="N2944" t="s">
        <v>26</v>
      </c>
      <c r="O2944">
        <v>16</v>
      </c>
      <c r="R2944" s="11">
        <v>1.3194444444444445E-3</v>
      </c>
      <c r="S2944" s="11">
        <v>1.1921296296296296E-3</v>
      </c>
      <c r="T2944" t="str">
        <f>IF(Tabela1[[#This Row],[STATUS_NEGOCIO]]="Enviar E-mail",1,"")</f>
        <v/>
      </c>
      <c r="U2944" t="str">
        <f>TEXT(Tabela1[[#This Row],[DATA]],"dd/mm/aaaa")</f>
        <v>26/05/2026</v>
      </c>
    </row>
    <row r="2945" spans="1:21" x14ac:dyDescent="0.25">
      <c r="A2945" s="9">
        <v>46168.531956018516</v>
      </c>
      <c r="B2945" t="s">
        <v>19</v>
      </c>
      <c r="C2945" t="s">
        <v>20</v>
      </c>
      <c r="E2945"/>
      <c r="F2945">
        <v>2756537284</v>
      </c>
      <c r="G2945" s="10">
        <v>177981036132521</v>
      </c>
      <c r="H2945" t="s">
        <v>28</v>
      </c>
      <c r="I2945" t="s">
        <v>361</v>
      </c>
      <c r="J2945" t="s">
        <v>30</v>
      </c>
      <c r="K2945" t="s">
        <v>23</v>
      </c>
      <c r="L2945" t="s">
        <v>44</v>
      </c>
      <c r="N2945" t="s">
        <v>32</v>
      </c>
      <c r="O2945">
        <v>16</v>
      </c>
      <c r="R2945" s="11">
        <v>5.9027777777777778E-4</v>
      </c>
      <c r="S2945" s="11">
        <v>1.8518518518518518E-4</v>
      </c>
      <c r="T2945" t="str">
        <f>IF(Tabela1[[#This Row],[STATUS_NEGOCIO]]="Enviar E-mail",1,"")</f>
        <v/>
      </c>
      <c r="U2945" t="str">
        <f>TEXT(Tabela1[[#This Row],[DATA]],"dd/mm/aaaa")</f>
        <v>26/05/2026</v>
      </c>
    </row>
    <row r="2946" spans="1:21" x14ac:dyDescent="0.25">
      <c r="A2946" s="9">
        <v>46168.53297453704</v>
      </c>
      <c r="B2946" t="s">
        <v>19</v>
      </c>
      <c r="C2946" t="s">
        <v>20</v>
      </c>
      <c r="E2946"/>
      <c r="F2946">
        <v>1806416267</v>
      </c>
      <c r="G2946" s="10">
        <v>177981044932721</v>
      </c>
      <c r="H2946" t="s">
        <v>28</v>
      </c>
      <c r="I2946" t="s">
        <v>435</v>
      </c>
      <c r="J2946" t="s">
        <v>30</v>
      </c>
      <c r="K2946" t="s">
        <v>23</v>
      </c>
      <c r="L2946" t="s">
        <v>44</v>
      </c>
      <c r="N2946" t="s">
        <v>26</v>
      </c>
      <c r="O2946">
        <v>16</v>
      </c>
      <c r="R2946" s="11">
        <v>4.0509259259259258E-4</v>
      </c>
      <c r="S2946" s="11">
        <v>1.1574074074074075E-4</v>
      </c>
      <c r="T2946" t="str">
        <f>IF(Tabela1[[#This Row],[STATUS_NEGOCIO]]="Enviar E-mail",1,"")</f>
        <v/>
      </c>
      <c r="U2946" t="str">
        <f>TEXT(Tabela1[[#This Row],[DATA]],"dd/mm/aaaa")</f>
        <v>26/05/2026</v>
      </c>
    </row>
    <row r="2947" spans="1:21" x14ac:dyDescent="0.25">
      <c r="A2947" s="9">
        <v>46168.533738425926</v>
      </c>
      <c r="B2947" t="s">
        <v>19</v>
      </c>
      <c r="C2947" t="s">
        <v>20</v>
      </c>
      <c r="E2947"/>
      <c r="F2947">
        <v>2764329588</v>
      </c>
      <c r="G2947" s="10">
        <v>177981051533101</v>
      </c>
      <c r="H2947" t="s">
        <v>28</v>
      </c>
      <c r="I2947" t="s">
        <v>431</v>
      </c>
      <c r="J2947" t="s">
        <v>30</v>
      </c>
      <c r="K2947" t="s">
        <v>23</v>
      </c>
      <c r="L2947" t="s">
        <v>106</v>
      </c>
      <c r="N2947" t="s">
        <v>32</v>
      </c>
      <c r="O2947">
        <v>16</v>
      </c>
      <c r="R2947" s="11">
        <v>1.3078703703703703E-3</v>
      </c>
      <c r="S2947" s="11">
        <v>1.1805555555555556E-3</v>
      </c>
      <c r="T2947" t="str">
        <f>IF(Tabela1[[#This Row],[STATUS_NEGOCIO]]="Enviar E-mail",1,"")</f>
        <v/>
      </c>
      <c r="U2947" t="str">
        <f>TEXT(Tabela1[[#This Row],[DATA]],"dd/mm/aaaa")</f>
        <v>26/05/2026</v>
      </c>
    </row>
    <row r="2948" spans="1:21" x14ac:dyDescent="0.25">
      <c r="A2948" s="9">
        <v>46168.537986111114</v>
      </c>
      <c r="B2948" t="s">
        <v>19</v>
      </c>
      <c r="C2948" t="s">
        <v>20</v>
      </c>
      <c r="E2948"/>
      <c r="F2948">
        <v>2778113789</v>
      </c>
      <c r="G2948" s="10">
        <v>177981088233961</v>
      </c>
      <c r="H2948" t="s">
        <v>28</v>
      </c>
      <c r="I2948" t="s">
        <v>143</v>
      </c>
      <c r="J2948" t="s">
        <v>30</v>
      </c>
      <c r="K2948" t="s">
        <v>36</v>
      </c>
      <c r="N2948" t="s">
        <v>32</v>
      </c>
      <c r="O2948">
        <v>19</v>
      </c>
      <c r="R2948" s="11">
        <v>4.1666666666666669E-4</v>
      </c>
      <c r="S2948" t="s">
        <v>37</v>
      </c>
      <c r="T2948" t="str">
        <f>IF(Tabela1[[#This Row],[STATUS_NEGOCIO]]="Enviar E-mail",1,"")</f>
        <v/>
      </c>
      <c r="U2948" t="str">
        <f>TEXT(Tabela1[[#This Row],[DATA]],"dd/mm/aaaa")</f>
        <v>26/05/2026</v>
      </c>
    </row>
    <row r="2949" spans="1:21" x14ac:dyDescent="0.25">
      <c r="A2949" s="9">
        <v>46168.538368055553</v>
      </c>
      <c r="B2949" t="s">
        <v>19</v>
      </c>
      <c r="C2949" t="s">
        <v>27</v>
      </c>
      <c r="E2949"/>
      <c r="F2949">
        <v>2756537838</v>
      </c>
      <c r="G2949" s="10">
        <v>177981091534031</v>
      </c>
      <c r="H2949" t="s">
        <v>28</v>
      </c>
      <c r="I2949" t="s">
        <v>361</v>
      </c>
      <c r="J2949" t="s">
        <v>30</v>
      </c>
      <c r="K2949" t="s">
        <v>23</v>
      </c>
      <c r="L2949" t="s">
        <v>106</v>
      </c>
      <c r="N2949" t="s">
        <v>26</v>
      </c>
      <c r="O2949">
        <v>16</v>
      </c>
      <c r="R2949" s="11">
        <v>1.8518518518518519E-3</v>
      </c>
      <c r="S2949" s="11">
        <v>1.8287037037037037E-3</v>
      </c>
      <c r="T2949" t="str">
        <f>IF(Tabela1[[#This Row],[STATUS_NEGOCIO]]="Enviar E-mail",1,"")</f>
        <v/>
      </c>
      <c r="U2949" t="str">
        <f>TEXT(Tabela1[[#This Row],[DATA]],"dd/mm/aaaa")</f>
        <v>26/05/2026</v>
      </c>
    </row>
    <row r="2950" spans="1:21" x14ac:dyDescent="0.25">
      <c r="A2950" s="9">
        <v>46168.539780092593</v>
      </c>
      <c r="B2950" t="s">
        <v>19</v>
      </c>
      <c r="C2950" t="s">
        <v>20</v>
      </c>
      <c r="E2950"/>
      <c r="F2950">
        <v>2771241066</v>
      </c>
      <c r="G2950" s="10">
        <v>177981103734191</v>
      </c>
      <c r="H2950" t="s">
        <v>28</v>
      </c>
      <c r="I2950" t="s">
        <v>428</v>
      </c>
      <c r="J2950" t="s">
        <v>30</v>
      </c>
      <c r="K2950" t="s">
        <v>36</v>
      </c>
      <c r="N2950" t="s">
        <v>32</v>
      </c>
      <c r="O2950">
        <v>19</v>
      </c>
      <c r="R2950" s="11">
        <v>6.9444444444444444E-5</v>
      </c>
      <c r="S2950" t="s">
        <v>37</v>
      </c>
      <c r="T2950" t="str">
        <f>IF(Tabela1[[#This Row],[STATUS_NEGOCIO]]="Enviar E-mail",1,"")</f>
        <v/>
      </c>
      <c r="U2950" t="str">
        <f>TEXT(Tabela1[[#This Row],[DATA]],"dd/mm/aaaa")</f>
        <v>26/05/2026</v>
      </c>
    </row>
    <row r="2951" spans="1:21" x14ac:dyDescent="0.25">
      <c r="A2951" s="9">
        <v>46168.58730324074</v>
      </c>
      <c r="B2951" t="s">
        <v>19</v>
      </c>
      <c r="C2951" t="s">
        <v>20</v>
      </c>
      <c r="E2951"/>
      <c r="F2951">
        <v>2778544447</v>
      </c>
      <c r="G2951" s="10">
        <v>177981514339611</v>
      </c>
      <c r="H2951" t="s">
        <v>28</v>
      </c>
      <c r="I2951" t="s">
        <v>121</v>
      </c>
      <c r="J2951" t="s">
        <v>30</v>
      </c>
      <c r="K2951" t="s">
        <v>23</v>
      </c>
      <c r="L2951" t="s">
        <v>44</v>
      </c>
      <c r="N2951" t="s">
        <v>26</v>
      </c>
      <c r="O2951">
        <v>16</v>
      </c>
      <c r="R2951" s="11">
        <v>1.9675925925925926E-4</v>
      </c>
      <c r="S2951" s="11">
        <v>9.2592592592592588E-5</v>
      </c>
      <c r="T2951" t="str">
        <f>IF(Tabela1[[#This Row],[STATUS_NEGOCIO]]="Enviar E-mail",1,"")</f>
        <v/>
      </c>
      <c r="U2951" t="str">
        <f>TEXT(Tabela1[[#This Row],[DATA]],"dd/mm/aaaa")</f>
        <v>26/05/2026</v>
      </c>
    </row>
    <row r="2952" spans="1:21" x14ac:dyDescent="0.25">
      <c r="A2952" s="9">
        <v>46168.588113425925</v>
      </c>
      <c r="B2952" t="s">
        <v>19</v>
      </c>
      <c r="C2952" t="s">
        <v>20</v>
      </c>
      <c r="E2952"/>
      <c r="F2952">
        <v>2779219353</v>
      </c>
      <c r="G2952" s="10">
        <v>177981521339711</v>
      </c>
      <c r="H2952" t="s">
        <v>28</v>
      </c>
      <c r="I2952" t="s">
        <v>43</v>
      </c>
      <c r="J2952" t="s">
        <v>30</v>
      </c>
      <c r="K2952" t="s">
        <v>23</v>
      </c>
      <c r="L2952" t="s">
        <v>106</v>
      </c>
      <c r="N2952" t="s">
        <v>32</v>
      </c>
      <c r="O2952">
        <v>16</v>
      </c>
      <c r="R2952" s="11">
        <v>1.9907407407407408E-3</v>
      </c>
      <c r="S2952" s="11">
        <v>1.5740740740740741E-3</v>
      </c>
      <c r="T2952" t="str">
        <f>IF(Tabela1[[#This Row],[STATUS_NEGOCIO]]="Enviar E-mail",1,"")</f>
        <v/>
      </c>
      <c r="U2952" t="str">
        <f>TEXT(Tabela1[[#This Row],[DATA]],"dd/mm/aaaa")</f>
        <v>26/05/2026</v>
      </c>
    </row>
    <row r="2953" spans="1:21" x14ac:dyDescent="0.25">
      <c r="A2953" s="9">
        <v>46168.591203703705</v>
      </c>
      <c r="B2953" t="s">
        <v>19</v>
      </c>
      <c r="C2953" t="s">
        <v>27</v>
      </c>
      <c r="E2953"/>
      <c r="F2953">
        <v>2751950610</v>
      </c>
      <c r="G2953" s="10">
        <v>177981548040111</v>
      </c>
      <c r="H2953" t="s">
        <v>28</v>
      </c>
      <c r="I2953" t="s">
        <v>363</v>
      </c>
      <c r="J2953" t="s">
        <v>30</v>
      </c>
      <c r="K2953" t="s">
        <v>23</v>
      </c>
      <c r="L2953" t="s">
        <v>95</v>
      </c>
      <c r="N2953" t="s">
        <v>26</v>
      </c>
      <c r="O2953">
        <v>16</v>
      </c>
      <c r="R2953" s="11">
        <v>6.9444444444444447E-4</v>
      </c>
      <c r="S2953" s="11">
        <v>6.7129629629629625E-4</v>
      </c>
      <c r="T2953" t="str">
        <f>IF(Tabela1[[#This Row],[STATUS_NEGOCIO]]="Enviar E-mail",1,"")</f>
        <v/>
      </c>
      <c r="U2953" t="str">
        <f>TEXT(Tabela1[[#This Row],[DATA]],"dd/mm/aaaa")</f>
        <v>26/05/2026</v>
      </c>
    </row>
    <row r="2954" spans="1:21" x14ac:dyDescent="0.25">
      <c r="A2954" s="9">
        <v>46168.592731481483</v>
      </c>
      <c r="B2954" t="s">
        <v>19</v>
      </c>
      <c r="C2954" t="s">
        <v>27</v>
      </c>
      <c r="E2954"/>
      <c r="F2954">
        <v>2712684210</v>
      </c>
      <c r="G2954" s="10">
        <v>177981556340241</v>
      </c>
      <c r="H2954" t="s">
        <v>28</v>
      </c>
      <c r="I2954" t="s">
        <v>83</v>
      </c>
      <c r="J2954" t="s">
        <v>30</v>
      </c>
      <c r="K2954" t="s">
        <v>62</v>
      </c>
      <c r="N2954" t="s">
        <v>26</v>
      </c>
      <c r="O2954">
        <v>19</v>
      </c>
      <c r="R2954" s="11">
        <v>1.1574074074074073E-5</v>
      </c>
      <c r="S2954" t="s">
        <v>37</v>
      </c>
      <c r="T2954" t="str">
        <f>IF(Tabela1[[#This Row],[STATUS_NEGOCIO]]="Enviar E-mail",1,"")</f>
        <v/>
      </c>
      <c r="U2954" t="str">
        <f>TEXT(Tabela1[[#This Row],[DATA]],"dd/mm/aaaa")</f>
        <v>26/05/2026</v>
      </c>
    </row>
    <row r="2955" spans="1:21" x14ac:dyDescent="0.25">
      <c r="A2955" s="9">
        <v>46168.593692129631</v>
      </c>
      <c r="B2955" t="s">
        <v>19</v>
      </c>
      <c r="C2955" t="s">
        <v>20</v>
      </c>
      <c r="E2955"/>
      <c r="F2955">
        <v>2761273604</v>
      </c>
      <c r="G2955" s="10">
        <v>177981569540471</v>
      </c>
      <c r="H2955" t="s">
        <v>28</v>
      </c>
      <c r="I2955" t="s">
        <v>172</v>
      </c>
      <c r="J2955" t="s">
        <v>30</v>
      </c>
      <c r="K2955" t="s">
        <v>36</v>
      </c>
      <c r="N2955" t="s">
        <v>32</v>
      </c>
      <c r="O2955">
        <v>19</v>
      </c>
      <c r="R2955" s="11">
        <v>2.0833333333333335E-4</v>
      </c>
      <c r="S2955" t="s">
        <v>37</v>
      </c>
      <c r="T2955" t="str">
        <f>IF(Tabela1[[#This Row],[STATUS_NEGOCIO]]="Enviar E-mail",1,"")</f>
        <v/>
      </c>
      <c r="U2955" t="str">
        <f>TEXT(Tabela1[[#This Row],[DATA]],"dd/mm/aaaa")</f>
        <v>26/05/2026</v>
      </c>
    </row>
    <row r="2956" spans="1:21" x14ac:dyDescent="0.25">
      <c r="A2956" s="9">
        <v>46168.594317129631</v>
      </c>
      <c r="B2956" t="s">
        <v>19</v>
      </c>
      <c r="C2956" t="s">
        <v>20</v>
      </c>
      <c r="E2956"/>
      <c r="F2956">
        <v>2761686386</v>
      </c>
      <c r="G2956" s="10">
        <v>177981574440701</v>
      </c>
      <c r="H2956" t="s">
        <v>28</v>
      </c>
      <c r="I2956" t="s">
        <v>420</v>
      </c>
      <c r="J2956" t="s">
        <v>30</v>
      </c>
      <c r="K2956" t="s">
        <v>62</v>
      </c>
      <c r="N2956" t="s">
        <v>26</v>
      </c>
      <c r="O2956">
        <v>21</v>
      </c>
      <c r="R2956" s="11">
        <v>1.1574074074074073E-5</v>
      </c>
      <c r="S2956" t="s">
        <v>37</v>
      </c>
      <c r="T2956" t="str">
        <f>IF(Tabela1[[#This Row],[STATUS_NEGOCIO]]="Enviar E-mail",1,"")</f>
        <v/>
      </c>
      <c r="U2956" t="str">
        <f>TEXT(Tabela1[[#This Row],[DATA]],"dd/mm/aaaa")</f>
        <v>26/05/2026</v>
      </c>
    </row>
    <row r="2957" spans="1:21" x14ac:dyDescent="0.25">
      <c r="A2957" s="9">
        <v>46168.594456018516</v>
      </c>
      <c r="B2957" t="s">
        <v>19</v>
      </c>
      <c r="C2957" t="s">
        <v>20</v>
      </c>
      <c r="E2957"/>
      <c r="F2957">
        <v>2761686399</v>
      </c>
      <c r="G2957" s="10">
        <v>177981575640821</v>
      </c>
      <c r="H2957" t="s">
        <v>28</v>
      </c>
      <c r="I2957" t="s">
        <v>420</v>
      </c>
      <c r="J2957" t="s">
        <v>30</v>
      </c>
      <c r="K2957" t="s">
        <v>62</v>
      </c>
      <c r="N2957" t="s">
        <v>26</v>
      </c>
      <c r="O2957">
        <v>21</v>
      </c>
      <c r="R2957" s="11">
        <v>1.1574074074074073E-5</v>
      </c>
      <c r="S2957" t="s">
        <v>37</v>
      </c>
      <c r="T2957" t="str">
        <f>IF(Tabela1[[#This Row],[STATUS_NEGOCIO]]="Enviar E-mail",1,"")</f>
        <v/>
      </c>
      <c r="U2957" t="str">
        <f>TEXT(Tabela1[[#This Row],[DATA]],"dd/mm/aaaa")</f>
        <v>26/05/2026</v>
      </c>
    </row>
    <row r="2958" spans="1:21" x14ac:dyDescent="0.25">
      <c r="A2958" s="9">
        <v>46168.595185185186</v>
      </c>
      <c r="B2958" t="s">
        <v>19</v>
      </c>
      <c r="C2958" t="s">
        <v>20</v>
      </c>
      <c r="E2958"/>
      <c r="F2958">
        <v>2771928775</v>
      </c>
      <c r="G2958" s="10">
        <v>177981582440961</v>
      </c>
      <c r="H2958" t="s">
        <v>28</v>
      </c>
      <c r="I2958" t="s">
        <v>117</v>
      </c>
      <c r="J2958" t="s">
        <v>30</v>
      </c>
      <c r="K2958" t="s">
        <v>23</v>
      </c>
      <c r="L2958" t="s">
        <v>152</v>
      </c>
      <c r="N2958" t="s">
        <v>26</v>
      </c>
      <c r="O2958">
        <v>16</v>
      </c>
      <c r="R2958" s="11">
        <v>1.0416666666666667E-3</v>
      </c>
      <c r="S2958" s="11">
        <v>8.9120370370370373E-4</v>
      </c>
      <c r="T2958" t="str">
        <f>IF(Tabela1[[#This Row],[STATUS_NEGOCIO]]="Enviar E-mail",1,"")</f>
        <v/>
      </c>
      <c r="U2958" t="str">
        <f>TEXT(Tabela1[[#This Row],[DATA]],"dd/mm/aaaa")</f>
        <v>26/05/2026</v>
      </c>
    </row>
    <row r="2959" spans="1:21" x14ac:dyDescent="0.25">
      <c r="A2959" s="9">
        <v>46168.595451388886</v>
      </c>
      <c r="B2959" t="s">
        <v>19</v>
      </c>
      <c r="C2959" t="s">
        <v>27</v>
      </c>
      <c r="E2959"/>
      <c r="F2959">
        <v>2712684445</v>
      </c>
      <c r="G2959" s="10">
        <v>177981579840901</v>
      </c>
      <c r="H2959" t="s">
        <v>28</v>
      </c>
      <c r="I2959" t="s">
        <v>83</v>
      </c>
      <c r="J2959" t="s">
        <v>30</v>
      </c>
      <c r="K2959" t="s">
        <v>62</v>
      </c>
      <c r="N2959" t="s">
        <v>26</v>
      </c>
      <c r="O2959">
        <v>19</v>
      </c>
      <c r="R2959" s="11">
        <v>1.1574074074074073E-5</v>
      </c>
      <c r="S2959" t="s">
        <v>37</v>
      </c>
      <c r="T2959" t="str">
        <f>IF(Tabela1[[#This Row],[STATUS_NEGOCIO]]="Enviar E-mail",1,"")</f>
        <v/>
      </c>
      <c r="U2959" t="str">
        <f>TEXT(Tabela1[[#This Row],[DATA]],"dd/mm/aaaa")</f>
        <v>26/05/2026</v>
      </c>
    </row>
    <row r="2960" spans="1:21" x14ac:dyDescent="0.25">
      <c r="A2960" s="9">
        <v>46168.596562500003</v>
      </c>
      <c r="B2960" t="s">
        <v>19</v>
      </c>
      <c r="C2960" t="s">
        <v>27</v>
      </c>
      <c r="E2960"/>
      <c r="F2960">
        <v>2712684542</v>
      </c>
      <c r="G2960" s="10">
        <v>177981589441221</v>
      </c>
      <c r="H2960" t="s">
        <v>28</v>
      </c>
      <c r="I2960" t="s">
        <v>83</v>
      </c>
      <c r="J2960" t="s">
        <v>30</v>
      </c>
      <c r="K2960" t="s">
        <v>62</v>
      </c>
      <c r="N2960" t="s">
        <v>26</v>
      </c>
      <c r="O2960">
        <v>19</v>
      </c>
      <c r="R2960" s="11">
        <v>1.1574074074074073E-5</v>
      </c>
      <c r="S2960" t="s">
        <v>37</v>
      </c>
      <c r="T2960" t="str">
        <f>IF(Tabela1[[#This Row],[STATUS_NEGOCIO]]="Enviar E-mail",1,"")</f>
        <v/>
      </c>
      <c r="U2960" t="str">
        <f>TEXT(Tabela1[[#This Row],[DATA]],"dd/mm/aaaa")</f>
        <v>26/05/2026</v>
      </c>
    </row>
    <row r="2961" spans="1:21" x14ac:dyDescent="0.25">
      <c r="A2961" s="9">
        <v>46168.59920138889</v>
      </c>
      <c r="B2961" t="s">
        <v>19</v>
      </c>
      <c r="C2961" t="s">
        <v>27</v>
      </c>
      <c r="E2961"/>
      <c r="F2961">
        <v>2763884335</v>
      </c>
      <c r="G2961" s="10">
        <v>177981617141481</v>
      </c>
      <c r="H2961" t="s">
        <v>28</v>
      </c>
      <c r="I2961" t="s">
        <v>366</v>
      </c>
      <c r="J2961" t="s">
        <v>30</v>
      </c>
      <c r="K2961" t="s">
        <v>23</v>
      </c>
      <c r="L2961" t="s">
        <v>31</v>
      </c>
      <c r="N2961" t="s">
        <v>32</v>
      </c>
      <c r="O2961">
        <v>16</v>
      </c>
      <c r="R2961" s="11">
        <v>3.4722222222222224E-4</v>
      </c>
      <c r="S2961" s="11">
        <v>4.6296296296296294E-5</v>
      </c>
      <c r="T2961" t="str">
        <f>IF(Tabela1[[#This Row],[STATUS_NEGOCIO]]="Enviar E-mail",1,"")</f>
        <v/>
      </c>
      <c r="U2961" t="str">
        <f>TEXT(Tabela1[[#This Row],[DATA]],"dd/mm/aaaa")</f>
        <v>26/05/2026</v>
      </c>
    </row>
    <row r="2962" spans="1:21" x14ac:dyDescent="0.25">
      <c r="A2962" s="9">
        <v>46168.599942129629</v>
      </c>
      <c r="B2962" t="s">
        <v>19</v>
      </c>
      <c r="C2962" t="s">
        <v>27</v>
      </c>
      <c r="E2962"/>
      <c r="F2962">
        <v>2771899162</v>
      </c>
      <c r="G2962" s="10">
        <v>177981623541671</v>
      </c>
      <c r="H2962" t="s">
        <v>28</v>
      </c>
      <c r="I2962" t="s">
        <v>123</v>
      </c>
      <c r="J2962" t="s">
        <v>30</v>
      </c>
      <c r="K2962" t="s">
        <v>23</v>
      </c>
      <c r="L2962" t="s">
        <v>31</v>
      </c>
      <c r="N2962" t="s">
        <v>26</v>
      </c>
      <c r="O2962">
        <v>16</v>
      </c>
      <c r="R2962" s="11">
        <v>5.5555555555555556E-4</v>
      </c>
      <c r="S2962" s="11">
        <v>2.3148148148148149E-4</v>
      </c>
      <c r="T2962" t="str">
        <f>IF(Tabela1[[#This Row],[STATUS_NEGOCIO]]="Enviar E-mail",1,"")</f>
        <v/>
      </c>
      <c r="U2962" t="str">
        <f>TEXT(Tabela1[[#This Row],[DATA]],"dd/mm/aaaa")</f>
        <v>26/05/2026</v>
      </c>
    </row>
    <row r="2963" spans="1:21" x14ac:dyDescent="0.25">
      <c r="A2963" s="9">
        <v>46168.600497685184</v>
      </c>
      <c r="B2963" t="s">
        <v>19</v>
      </c>
      <c r="C2963" t="s">
        <v>20</v>
      </c>
      <c r="E2963"/>
      <c r="F2963">
        <v>2773713381</v>
      </c>
      <c r="G2963" s="10">
        <v>177981628341881</v>
      </c>
      <c r="H2963" t="s">
        <v>28</v>
      </c>
      <c r="I2963" t="s">
        <v>111</v>
      </c>
      <c r="J2963" t="s">
        <v>30</v>
      </c>
      <c r="K2963" t="s">
        <v>23</v>
      </c>
      <c r="L2963" t="s">
        <v>40</v>
      </c>
      <c r="N2963" t="s">
        <v>26</v>
      </c>
      <c r="O2963">
        <v>16</v>
      </c>
      <c r="R2963" s="11">
        <v>4.340277777777778E-3</v>
      </c>
      <c r="S2963" s="11">
        <v>4.2708333333333331E-3</v>
      </c>
      <c r="T2963">
        <f>IF(Tabela1[[#This Row],[STATUS_NEGOCIO]]="Enviar E-mail",1,"")</f>
        <v>1</v>
      </c>
      <c r="U2963" t="str">
        <f>TEXT(Tabela1[[#This Row],[DATA]],"dd/mm/aaaa")</f>
        <v>26/05/2026</v>
      </c>
    </row>
    <row r="2964" spans="1:21" x14ac:dyDescent="0.25">
      <c r="A2964" s="9">
        <v>46168.605393518519</v>
      </c>
      <c r="B2964" t="s">
        <v>19</v>
      </c>
      <c r="C2964" t="s">
        <v>27</v>
      </c>
      <c r="E2964"/>
      <c r="F2964">
        <v>2779593825</v>
      </c>
      <c r="G2964" s="10">
        <v>177981670642571</v>
      </c>
      <c r="H2964" t="s">
        <v>28</v>
      </c>
      <c r="I2964" t="s">
        <v>130</v>
      </c>
      <c r="J2964" t="s">
        <v>30</v>
      </c>
      <c r="K2964" t="s">
        <v>23</v>
      </c>
      <c r="L2964" t="s">
        <v>95</v>
      </c>
      <c r="N2964" t="s">
        <v>26</v>
      </c>
      <c r="O2964">
        <v>16</v>
      </c>
      <c r="R2964" s="11">
        <v>1.3773148148148147E-3</v>
      </c>
      <c r="S2964" s="11">
        <v>1.2962962962962963E-3</v>
      </c>
      <c r="T2964" t="str">
        <f>IF(Tabela1[[#This Row],[STATUS_NEGOCIO]]="Enviar E-mail",1,"")</f>
        <v/>
      </c>
      <c r="U2964" t="str">
        <f>TEXT(Tabela1[[#This Row],[DATA]],"dd/mm/aaaa")</f>
        <v>26/05/2026</v>
      </c>
    </row>
    <row r="2965" spans="1:21" x14ac:dyDescent="0.25">
      <c r="A2965" s="9">
        <v>46168.607708333337</v>
      </c>
      <c r="B2965" t="s">
        <v>19</v>
      </c>
      <c r="C2965" t="s">
        <v>27</v>
      </c>
      <c r="E2965"/>
      <c r="F2965">
        <v>2778911788</v>
      </c>
      <c r="G2965" s="10">
        <v>177981690642811</v>
      </c>
      <c r="H2965" t="s">
        <v>28</v>
      </c>
      <c r="I2965" t="s">
        <v>381</v>
      </c>
      <c r="J2965" t="s">
        <v>30</v>
      </c>
      <c r="K2965" t="s">
        <v>23</v>
      </c>
      <c r="L2965" t="s">
        <v>31</v>
      </c>
      <c r="N2965" t="s">
        <v>32</v>
      </c>
      <c r="O2965">
        <v>16</v>
      </c>
      <c r="R2965" s="11">
        <v>5.0925925925925921E-4</v>
      </c>
      <c r="S2965" s="11">
        <v>3.5879629629629629E-4</v>
      </c>
      <c r="T2965" t="str">
        <f>IF(Tabela1[[#This Row],[STATUS_NEGOCIO]]="Enviar E-mail",1,"")</f>
        <v/>
      </c>
      <c r="U2965" t="str">
        <f>TEXT(Tabela1[[#This Row],[DATA]],"dd/mm/aaaa")</f>
        <v>26/05/2026</v>
      </c>
    </row>
    <row r="2966" spans="1:21" x14ac:dyDescent="0.25">
      <c r="A2966" s="9">
        <v>46168.6096875</v>
      </c>
      <c r="B2966" t="s">
        <v>19</v>
      </c>
      <c r="C2966" t="s">
        <v>27</v>
      </c>
      <c r="E2966"/>
      <c r="F2966">
        <v>2779235094</v>
      </c>
      <c r="G2966" s="10">
        <v>177981707742901</v>
      </c>
      <c r="H2966" t="s">
        <v>28</v>
      </c>
      <c r="I2966" t="s">
        <v>387</v>
      </c>
      <c r="J2966" t="s">
        <v>30</v>
      </c>
      <c r="K2966" t="s">
        <v>23</v>
      </c>
      <c r="L2966" t="s">
        <v>31</v>
      </c>
      <c r="N2966" t="s">
        <v>32</v>
      </c>
      <c r="O2966">
        <v>16</v>
      </c>
      <c r="R2966" s="11">
        <v>6.5972222222222224E-4</v>
      </c>
      <c r="S2966" s="11">
        <v>2.3148148148148149E-4</v>
      </c>
      <c r="T2966" t="str">
        <f>IF(Tabela1[[#This Row],[STATUS_NEGOCIO]]="Enviar E-mail",1,"")</f>
        <v/>
      </c>
      <c r="U2966" t="str">
        <f>TEXT(Tabela1[[#This Row],[DATA]],"dd/mm/aaaa")</f>
        <v>26/05/2026</v>
      </c>
    </row>
    <row r="2967" spans="1:21" x14ac:dyDescent="0.25">
      <c r="A2967" s="9">
        <v>46168.611932870372</v>
      </c>
      <c r="B2967" t="s">
        <v>19</v>
      </c>
      <c r="C2967" t="s">
        <v>27</v>
      </c>
      <c r="E2967"/>
      <c r="F2967">
        <v>2744357933</v>
      </c>
      <c r="G2967" s="10">
        <v>177981727143231</v>
      </c>
      <c r="H2967" t="s">
        <v>28</v>
      </c>
      <c r="I2967" t="s">
        <v>59</v>
      </c>
      <c r="J2967" t="s">
        <v>30</v>
      </c>
      <c r="K2967" t="s">
        <v>23</v>
      </c>
      <c r="L2967" t="s">
        <v>106</v>
      </c>
      <c r="N2967" t="s">
        <v>26</v>
      </c>
      <c r="O2967">
        <v>16</v>
      </c>
      <c r="R2967" s="11">
        <v>2.3263888888888887E-3</v>
      </c>
      <c r="S2967" s="11">
        <v>2.2685185185185187E-3</v>
      </c>
      <c r="T2967" t="str">
        <f>IF(Tabela1[[#This Row],[STATUS_NEGOCIO]]="Enviar E-mail",1,"")</f>
        <v/>
      </c>
      <c r="U2967" t="str">
        <f>TEXT(Tabela1[[#This Row],[DATA]],"dd/mm/aaaa")</f>
        <v>26/05/2026</v>
      </c>
    </row>
    <row r="2968" spans="1:21" x14ac:dyDescent="0.25">
      <c r="A2968" s="9">
        <v>46168.613379629627</v>
      </c>
      <c r="B2968" t="s">
        <v>19</v>
      </c>
      <c r="C2968" t="s">
        <v>20</v>
      </c>
      <c r="E2968"/>
      <c r="F2968">
        <v>2768028593</v>
      </c>
      <c r="G2968" s="10">
        <v>177981739643561</v>
      </c>
      <c r="H2968" t="s">
        <v>28</v>
      </c>
      <c r="I2968" t="s">
        <v>407</v>
      </c>
      <c r="J2968" t="s">
        <v>30</v>
      </c>
      <c r="K2968" t="s">
        <v>36</v>
      </c>
      <c r="N2968" t="s">
        <v>32</v>
      </c>
      <c r="O2968">
        <v>19</v>
      </c>
      <c r="R2968" s="11">
        <v>2.6620370370370372E-4</v>
      </c>
      <c r="S2968" t="s">
        <v>37</v>
      </c>
      <c r="T2968" t="str">
        <f>IF(Tabela1[[#This Row],[STATUS_NEGOCIO]]="Enviar E-mail",1,"")</f>
        <v/>
      </c>
      <c r="U2968" t="str">
        <f>TEXT(Tabela1[[#This Row],[DATA]],"dd/mm/aaaa")</f>
        <v>26/05/2026</v>
      </c>
    </row>
    <row r="2969" spans="1:21" x14ac:dyDescent="0.25">
      <c r="A2969" s="9">
        <v>46168.614131944443</v>
      </c>
      <c r="B2969" t="s">
        <v>19</v>
      </c>
      <c r="C2969" t="s">
        <v>20</v>
      </c>
      <c r="E2969"/>
      <c r="F2969">
        <v>2772736737</v>
      </c>
      <c r="G2969" s="10">
        <v>177981746143791</v>
      </c>
      <c r="H2969" t="s">
        <v>28</v>
      </c>
      <c r="I2969" t="s">
        <v>46</v>
      </c>
      <c r="J2969" t="s">
        <v>30</v>
      </c>
      <c r="K2969" t="s">
        <v>23</v>
      </c>
      <c r="L2969" t="s">
        <v>40</v>
      </c>
      <c r="N2969" t="s">
        <v>32</v>
      </c>
      <c r="O2969">
        <v>16</v>
      </c>
      <c r="R2969" s="11">
        <v>4.3287037037037035E-3</v>
      </c>
      <c r="S2969" s="11">
        <v>3.9930555555555552E-3</v>
      </c>
      <c r="T2969">
        <f>IF(Tabela1[[#This Row],[STATUS_NEGOCIO]]="Enviar E-mail",1,"")</f>
        <v>1</v>
      </c>
      <c r="U2969" t="str">
        <f>TEXT(Tabela1[[#This Row],[DATA]],"dd/mm/aaaa")</f>
        <v>26/05/2026</v>
      </c>
    </row>
    <row r="2970" spans="1:21" x14ac:dyDescent="0.25">
      <c r="A2970" s="9">
        <v>46168.615416666667</v>
      </c>
      <c r="B2970" t="s">
        <v>19</v>
      </c>
      <c r="C2970" t="s">
        <v>27</v>
      </c>
      <c r="E2970"/>
      <c r="F2970">
        <v>2778275337</v>
      </c>
      <c r="G2970" s="10">
        <v>177981757243961</v>
      </c>
      <c r="H2970" t="s">
        <v>28</v>
      </c>
      <c r="I2970" t="s">
        <v>78</v>
      </c>
      <c r="J2970" t="s">
        <v>30</v>
      </c>
      <c r="K2970" t="s">
        <v>23</v>
      </c>
      <c r="L2970" t="s">
        <v>31</v>
      </c>
      <c r="N2970" t="s">
        <v>32</v>
      </c>
      <c r="O2970">
        <v>16</v>
      </c>
      <c r="R2970" s="11">
        <v>3.0092592592592595E-4</v>
      </c>
      <c r="S2970" s="11">
        <v>1.3888888888888889E-4</v>
      </c>
      <c r="T2970" t="str">
        <f>IF(Tabela1[[#This Row],[STATUS_NEGOCIO]]="Enviar E-mail",1,"")</f>
        <v/>
      </c>
      <c r="U2970" t="str">
        <f>TEXT(Tabela1[[#This Row],[DATA]],"dd/mm/aaaa")</f>
        <v>26/05/2026</v>
      </c>
    </row>
    <row r="2971" spans="1:21" x14ac:dyDescent="0.25">
      <c r="A2971" s="9">
        <v>46168.615960648145</v>
      </c>
      <c r="B2971" t="s">
        <v>19</v>
      </c>
      <c r="C2971" t="s">
        <v>27</v>
      </c>
      <c r="E2971"/>
      <c r="F2971">
        <v>2778174876</v>
      </c>
      <c r="G2971" s="10">
        <v>177981761944091</v>
      </c>
      <c r="H2971" t="s">
        <v>28</v>
      </c>
      <c r="I2971" t="s">
        <v>395</v>
      </c>
      <c r="J2971" t="s">
        <v>30</v>
      </c>
      <c r="K2971" t="s">
        <v>23</v>
      </c>
      <c r="L2971" t="s">
        <v>31</v>
      </c>
      <c r="N2971" t="s">
        <v>32</v>
      </c>
      <c r="O2971">
        <v>16</v>
      </c>
      <c r="R2971" s="11">
        <v>2.5462962962962961E-4</v>
      </c>
      <c r="S2971" s="11">
        <v>1.6203703703703703E-4</v>
      </c>
      <c r="T2971" t="str">
        <f>IF(Tabela1[[#This Row],[STATUS_NEGOCIO]]="Enviar E-mail",1,"")</f>
        <v/>
      </c>
      <c r="U2971" t="str">
        <f>TEXT(Tabela1[[#This Row],[DATA]],"dd/mm/aaaa")</f>
        <v>26/05/2026</v>
      </c>
    </row>
    <row r="2972" spans="1:21" x14ac:dyDescent="0.25">
      <c r="A2972" s="9">
        <v>46168.616354166668</v>
      </c>
      <c r="B2972" t="s">
        <v>19</v>
      </c>
      <c r="C2972" t="s">
        <v>27</v>
      </c>
      <c r="E2972"/>
      <c r="F2972">
        <v>2771927046</v>
      </c>
      <c r="G2972" s="10">
        <v>177981765344121</v>
      </c>
      <c r="H2972" t="s">
        <v>28</v>
      </c>
      <c r="I2972" t="s">
        <v>398</v>
      </c>
      <c r="J2972" t="s">
        <v>30</v>
      </c>
      <c r="K2972" t="s">
        <v>23</v>
      </c>
      <c r="L2972" t="s">
        <v>40</v>
      </c>
      <c r="N2972" t="s">
        <v>26</v>
      </c>
      <c r="O2972">
        <v>16</v>
      </c>
      <c r="R2972" s="11">
        <v>2.1064814814814813E-3</v>
      </c>
      <c r="S2972" s="11">
        <v>1.9328703703703704E-3</v>
      </c>
      <c r="T2972">
        <f>IF(Tabela1[[#This Row],[STATUS_NEGOCIO]]="Enviar E-mail",1,"")</f>
        <v>1</v>
      </c>
      <c r="U2972" t="str">
        <f>TEXT(Tabela1[[#This Row],[DATA]],"dd/mm/aaaa")</f>
        <v>26/05/2026</v>
      </c>
    </row>
    <row r="2973" spans="1:21" x14ac:dyDescent="0.25">
      <c r="A2973" s="9">
        <v>46168.619780092595</v>
      </c>
      <c r="B2973" t="s">
        <v>19</v>
      </c>
      <c r="C2973" t="s">
        <v>20</v>
      </c>
      <c r="E2973"/>
      <c r="F2973">
        <v>2772250744</v>
      </c>
      <c r="G2973" s="10">
        <v>177981794944651</v>
      </c>
      <c r="H2973" t="s">
        <v>28</v>
      </c>
      <c r="I2973" t="s">
        <v>400</v>
      </c>
      <c r="J2973" t="s">
        <v>30</v>
      </c>
      <c r="K2973" t="s">
        <v>23</v>
      </c>
      <c r="L2973" t="s">
        <v>24</v>
      </c>
      <c r="N2973" t="s">
        <v>26</v>
      </c>
      <c r="O2973">
        <v>16</v>
      </c>
      <c r="R2973" s="11">
        <v>4.861111111111111E-4</v>
      </c>
      <c r="S2973" s="11">
        <v>3.7037037037037035E-4</v>
      </c>
      <c r="T2973" t="str">
        <f>IF(Tabela1[[#This Row],[STATUS_NEGOCIO]]="Enviar E-mail",1,"")</f>
        <v/>
      </c>
      <c r="U2973" t="str">
        <f>TEXT(Tabela1[[#This Row],[DATA]],"dd/mm/aaaa")</f>
        <v>26/05/2026</v>
      </c>
    </row>
    <row r="2974" spans="1:21" x14ac:dyDescent="0.25">
      <c r="A2974" s="9">
        <v>46168.620671296296</v>
      </c>
      <c r="B2974" t="s">
        <v>19</v>
      </c>
      <c r="C2974" t="s">
        <v>20</v>
      </c>
      <c r="E2974"/>
      <c r="F2974">
        <v>2772250821</v>
      </c>
      <c r="G2974" s="10">
        <v>177981802644851</v>
      </c>
      <c r="H2974" t="s">
        <v>28</v>
      </c>
      <c r="I2974" t="s">
        <v>400</v>
      </c>
      <c r="J2974" t="s">
        <v>30</v>
      </c>
      <c r="K2974" t="s">
        <v>23</v>
      </c>
      <c r="L2974" t="s">
        <v>95</v>
      </c>
      <c r="N2974" t="s">
        <v>26</v>
      </c>
      <c r="O2974">
        <v>16</v>
      </c>
      <c r="R2974" s="11">
        <v>6.9444444444444447E-4</v>
      </c>
      <c r="S2974" s="11">
        <v>5.7870370370370367E-4</v>
      </c>
      <c r="T2974" t="str">
        <f>IF(Tabela1[[#This Row],[STATUS_NEGOCIO]]="Enviar E-mail",1,"")</f>
        <v/>
      </c>
      <c r="U2974" t="str">
        <f>TEXT(Tabela1[[#This Row],[DATA]],"dd/mm/aaaa")</f>
        <v>26/05/2026</v>
      </c>
    </row>
    <row r="2975" spans="1:21" x14ac:dyDescent="0.25">
      <c r="A2975" s="9">
        <v>46168.621087962965</v>
      </c>
      <c r="B2975" t="s">
        <v>19</v>
      </c>
      <c r="C2975" t="s">
        <v>27</v>
      </c>
      <c r="E2975"/>
      <c r="F2975">
        <v>2761638880</v>
      </c>
      <c r="G2975" s="10">
        <v>177981806244911</v>
      </c>
      <c r="H2975" t="s">
        <v>28</v>
      </c>
      <c r="I2975" t="s">
        <v>154</v>
      </c>
      <c r="J2975" t="s">
        <v>30</v>
      </c>
      <c r="K2975" t="s">
        <v>23</v>
      </c>
      <c r="L2975" t="s">
        <v>31</v>
      </c>
      <c r="N2975" t="s">
        <v>32</v>
      </c>
      <c r="O2975">
        <v>16</v>
      </c>
      <c r="R2975" s="11">
        <v>1.4236111111111112E-3</v>
      </c>
      <c r="S2975" s="11">
        <v>1.1574074074074073E-3</v>
      </c>
      <c r="T2975" t="str">
        <f>IF(Tabela1[[#This Row],[STATUS_NEGOCIO]]="Enviar E-mail",1,"")</f>
        <v/>
      </c>
      <c r="U2975" t="str">
        <f>TEXT(Tabela1[[#This Row],[DATA]],"dd/mm/aaaa")</f>
        <v>26/05/2026</v>
      </c>
    </row>
    <row r="2976" spans="1:21" x14ac:dyDescent="0.25">
      <c r="A2976" s="9">
        <v>46168.622418981482</v>
      </c>
      <c r="B2976" t="s">
        <v>19</v>
      </c>
      <c r="C2976" t="s">
        <v>20</v>
      </c>
      <c r="E2976"/>
      <c r="F2976">
        <v>2761638995</v>
      </c>
      <c r="G2976" s="10">
        <v>177981817744941</v>
      </c>
      <c r="H2976" t="s">
        <v>28</v>
      </c>
      <c r="I2976" t="s">
        <v>154</v>
      </c>
      <c r="J2976" t="s">
        <v>30</v>
      </c>
      <c r="K2976" t="s">
        <v>36</v>
      </c>
      <c r="N2976" t="s">
        <v>32</v>
      </c>
      <c r="O2976">
        <v>19</v>
      </c>
      <c r="R2976" s="11">
        <v>4.6296296296296294E-5</v>
      </c>
      <c r="S2976" t="s">
        <v>37</v>
      </c>
      <c r="T2976" t="str">
        <f>IF(Tabela1[[#This Row],[STATUS_NEGOCIO]]="Enviar E-mail",1,"")</f>
        <v/>
      </c>
      <c r="U2976" t="str">
        <f>TEXT(Tabela1[[#This Row],[DATA]],"dd/mm/aaaa")</f>
        <v>26/05/2026</v>
      </c>
    </row>
    <row r="2977" spans="1:21" x14ac:dyDescent="0.25">
      <c r="A2977" s="9">
        <v>46168.623414351852</v>
      </c>
      <c r="B2977" t="s">
        <v>19</v>
      </c>
      <c r="C2977" t="s">
        <v>27</v>
      </c>
      <c r="E2977"/>
      <c r="F2977">
        <v>2744696368</v>
      </c>
      <c r="G2977" s="10">
        <v>177981826345081</v>
      </c>
      <c r="H2977" t="s">
        <v>28</v>
      </c>
      <c r="I2977" t="s">
        <v>259</v>
      </c>
      <c r="J2977" t="s">
        <v>30</v>
      </c>
      <c r="K2977" t="s">
        <v>23</v>
      </c>
      <c r="L2977" t="s">
        <v>106</v>
      </c>
      <c r="N2977" t="s">
        <v>26</v>
      </c>
      <c r="O2977">
        <v>16</v>
      </c>
      <c r="R2977" s="11">
        <v>1.8287037037037037E-3</v>
      </c>
      <c r="S2977" s="11">
        <v>1.6087962962962963E-3</v>
      </c>
      <c r="T2977" t="str">
        <f>IF(Tabela1[[#This Row],[STATUS_NEGOCIO]]="Enviar E-mail",1,"")</f>
        <v/>
      </c>
      <c r="U2977" t="str">
        <f>TEXT(Tabela1[[#This Row],[DATA]],"dd/mm/aaaa")</f>
        <v>26/05/2026</v>
      </c>
    </row>
    <row r="2978" spans="1:21" x14ac:dyDescent="0.25">
      <c r="A2978" s="9">
        <v>46168.625347222223</v>
      </c>
      <c r="B2978" t="s">
        <v>19</v>
      </c>
      <c r="C2978" t="s">
        <v>20</v>
      </c>
      <c r="E2978"/>
      <c r="F2978">
        <v>2764787305</v>
      </c>
      <c r="G2978" s="10">
        <v>177981843045171</v>
      </c>
      <c r="H2978" t="s">
        <v>28</v>
      </c>
      <c r="I2978" t="s">
        <v>99</v>
      </c>
      <c r="J2978" t="s">
        <v>30</v>
      </c>
      <c r="K2978" t="s">
        <v>23</v>
      </c>
      <c r="L2978" t="s">
        <v>40</v>
      </c>
      <c r="N2978" t="s">
        <v>32</v>
      </c>
      <c r="O2978">
        <v>16</v>
      </c>
      <c r="R2978" s="11">
        <v>3.5532407407407409E-3</v>
      </c>
      <c r="S2978" s="11">
        <v>3.3912037037037036E-3</v>
      </c>
      <c r="T2978">
        <f>IF(Tabela1[[#This Row],[STATUS_NEGOCIO]]="Enviar E-mail",1,"")</f>
        <v>1</v>
      </c>
      <c r="U2978" t="str">
        <f>TEXT(Tabela1[[#This Row],[DATA]],"dd/mm/aaaa")</f>
        <v>26/05/2026</v>
      </c>
    </row>
    <row r="2979" spans="1:21" x14ac:dyDescent="0.25">
      <c r="A2979" s="9">
        <v>46168.626446759263</v>
      </c>
      <c r="B2979" t="s">
        <v>19</v>
      </c>
      <c r="C2979" t="s">
        <v>27</v>
      </c>
      <c r="E2979"/>
      <c r="F2979">
        <v>2779785314</v>
      </c>
      <c r="G2979" s="10">
        <v>177981852545361</v>
      </c>
      <c r="H2979" t="s">
        <v>28</v>
      </c>
      <c r="I2979" t="s">
        <v>212</v>
      </c>
      <c r="J2979" t="s">
        <v>30</v>
      </c>
      <c r="K2979" t="s">
        <v>36</v>
      </c>
      <c r="N2979" t="s">
        <v>32</v>
      </c>
      <c r="O2979">
        <v>19</v>
      </c>
      <c r="R2979" s="11">
        <v>5.3240740740740744E-4</v>
      </c>
      <c r="S2979" t="s">
        <v>37</v>
      </c>
      <c r="T2979" t="str">
        <f>IF(Tabela1[[#This Row],[STATUS_NEGOCIO]]="Enviar E-mail",1,"")</f>
        <v/>
      </c>
      <c r="U2979" t="str">
        <f>TEXT(Tabela1[[#This Row],[DATA]],"dd/mm/aaaa")</f>
        <v>26/05/2026</v>
      </c>
    </row>
    <row r="2980" spans="1:21" x14ac:dyDescent="0.25">
      <c r="A2980" s="9">
        <v>46168.62709490741</v>
      </c>
      <c r="B2980" t="s">
        <v>19</v>
      </c>
      <c r="C2980" t="s">
        <v>27</v>
      </c>
      <c r="E2980"/>
      <c r="F2980">
        <v>2779785370</v>
      </c>
      <c r="G2980" s="10">
        <v>177981858145391</v>
      </c>
      <c r="H2980" t="s">
        <v>28</v>
      </c>
      <c r="I2980" t="s">
        <v>212</v>
      </c>
      <c r="J2980" t="s">
        <v>30</v>
      </c>
      <c r="K2980" t="s">
        <v>23</v>
      </c>
      <c r="L2980" t="s">
        <v>31</v>
      </c>
      <c r="N2980" t="s">
        <v>32</v>
      </c>
      <c r="O2980">
        <v>16</v>
      </c>
      <c r="R2980" s="11">
        <v>5.7870370370370367E-4</v>
      </c>
      <c r="S2980" s="11">
        <v>2.8935185185185184E-4</v>
      </c>
      <c r="T2980" t="str">
        <f>IF(Tabela1[[#This Row],[STATUS_NEGOCIO]]="Enviar E-mail",1,"")</f>
        <v/>
      </c>
      <c r="U2980" t="str">
        <f>TEXT(Tabela1[[#This Row],[DATA]],"dd/mm/aaaa")</f>
        <v>26/05/2026</v>
      </c>
    </row>
    <row r="2981" spans="1:21" x14ac:dyDescent="0.25">
      <c r="A2981" s="9">
        <v>46168.630648148152</v>
      </c>
      <c r="B2981" t="s">
        <v>19</v>
      </c>
      <c r="C2981" t="s">
        <v>27</v>
      </c>
      <c r="E2981"/>
      <c r="F2981">
        <v>2773770891</v>
      </c>
      <c r="G2981" s="10">
        <v>177981888845671</v>
      </c>
      <c r="H2981" t="s">
        <v>28</v>
      </c>
      <c r="I2981" t="s">
        <v>150</v>
      </c>
      <c r="J2981" t="s">
        <v>30</v>
      </c>
      <c r="K2981" t="s">
        <v>23</v>
      </c>
      <c r="L2981" t="s">
        <v>106</v>
      </c>
      <c r="N2981" t="s">
        <v>26</v>
      </c>
      <c r="O2981">
        <v>16</v>
      </c>
      <c r="R2981" s="11">
        <v>1.3541666666666667E-3</v>
      </c>
      <c r="S2981" s="11">
        <v>1.1342592592592593E-3</v>
      </c>
      <c r="T2981" t="str">
        <f>IF(Tabela1[[#This Row],[STATUS_NEGOCIO]]="Enviar E-mail",1,"")</f>
        <v/>
      </c>
      <c r="U2981" t="str">
        <f>TEXT(Tabela1[[#This Row],[DATA]],"dd/mm/aaaa")</f>
        <v>26/05/2026</v>
      </c>
    </row>
    <row r="2982" spans="1:21" x14ac:dyDescent="0.25">
      <c r="A2982" s="9">
        <v>46168.634305555555</v>
      </c>
      <c r="B2982" t="s">
        <v>19</v>
      </c>
      <c r="C2982" t="s">
        <v>27</v>
      </c>
      <c r="E2982"/>
      <c r="F2982">
        <v>2779243176</v>
      </c>
      <c r="G2982" s="10">
        <v>177981920446251</v>
      </c>
      <c r="H2982" t="s">
        <v>28</v>
      </c>
      <c r="I2982" t="s">
        <v>289</v>
      </c>
      <c r="J2982" t="s">
        <v>30</v>
      </c>
      <c r="K2982" t="s">
        <v>23</v>
      </c>
      <c r="L2982" t="s">
        <v>40</v>
      </c>
      <c r="N2982" t="s">
        <v>26</v>
      </c>
      <c r="O2982">
        <v>16</v>
      </c>
      <c r="R2982" s="11">
        <v>1.7939814814814815E-3</v>
      </c>
      <c r="S2982" s="11">
        <v>1.6435185185185185E-3</v>
      </c>
      <c r="T2982">
        <f>IF(Tabela1[[#This Row],[STATUS_NEGOCIO]]="Enviar E-mail",1,"")</f>
        <v>1</v>
      </c>
      <c r="U2982" t="str">
        <f>TEXT(Tabela1[[#This Row],[DATA]],"dd/mm/aaaa")</f>
        <v>26/05/2026</v>
      </c>
    </row>
    <row r="2983" spans="1:21" x14ac:dyDescent="0.25">
      <c r="A2983" s="9">
        <v>46168.639641203707</v>
      </c>
      <c r="B2983" t="s">
        <v>19</v>
      </c>
      <c r="C2983" t="s">
        <v>20</v>
      </c>
      <c r="E2983"/>
      <c r="F2983">
        <v>2712688312</v>
      </c>
      <c r="G2983" s="10">
        <v>177981966546721</v>
      </c>
      <c r="H2983" t="s">
        <v>28</v>
      </c>
      <c r="I2983" t="s">
        <v>83</v>
      </c>
      <c r="J2983" t="s">
        <v>30</v>
      </c>
      <c r="K2983" t="s">
        <v>23</v>
      </c>
      <c r="L2983" t="s">
        <v>40</v>
      </c>
      <c r="N2983" t="s">
        <v>26</v>
      </c>
      <c r="O2983">
        <v>16</v>
      </c>
      <c r="R2983" s="11">
        <v>3.5763888888888889E-3</v>
      </c>
      <c r="S2983" s="11">
        <v>3.2291666666666666E-3</v>
      </c>
      <c r="T2983">
        <f>IF(Tabela1[[#This Row],[STATUS_NEGOCIO]]="Enviar E-mail",1,"")</f>
        <v>1</v>
      </c>
      <c r="U2983" t="str">
        <f>TEXT(Tabela1[[#This Row],[DATA]],"dd/mm/aaaa")</f>
        <v>26/05/2026</v>
      </c>
    </row>
    <row r="2984" spans="1:21" x14ac:dyDescent="0.25">
      <c r="A2984" s="9">
        <v>46168.641377314816</v>
      </c>
      <c r="B2984" t="s">
        <v>19</v>
      </c>
      <c r="C2984" t="s">
        <v>27</v>
      </c>
      <c r="E2984"/>
      <c r="F2984">
        <v>2761175190</v>
      </c>
      <c r="G2984" s="10">
        <v>177981981546901</v>
      </c>
      <c r="H2984" t="s">
        <v>28</v>
      </c>
      <c r="I2984" t="s">
        <v>290</v>
      </c>
      <c r="J2984" t="s">
        <v>30</v>
      </c>
      <c r="K2984" t="s">
        <v>36</v>
      </c>
      <c r="N2984" t="s">
        <v>32</v>
      </c>
      <c r="O2984">
        <v>19</v>
      </c>
      <c r="R2984" s="11">
        <v>3.4722222222222224E-4</v>
      </c>
      <c r="S2984" t="s">
        <v>37</v>
      </c>
      <c r="T2984" t="str">
        <f>IF(Tabela1[[#This Row],[STATUS_NEGOCIO]]="Enviar E-mail",1,"")</f>
        <v/>
      </c>
      <c r="U2984" t="str">
        <f>TEXT(Tabela1[[#This Row],[DATA]],"dd/mm/aaaa")</f>
        <v>26/05/2026</v>
      </c>
    </row>
    <row r="2985" spans="1:21" x14ac:dyDescent="0.25">
      <c r="A2985" s="9">
        <v>46168.642442129632</v>
      </c>
      <c r="B2985" t="s">
        <v>19</v>
      </c>
      <c r="C2985" t="s">
        <v>27</v>
      </c>
      <c r="E2985"/>
      <c r="F2985">
        <v>2761175227</v>
      </c>
      <c r="G2985" s="10">
        <v>177981985246931</v>
      </c>
      <c r="H2985" t="s">
        <v>28</v>
      </c>
      <c r="I2985" t="s">
        <v>290</v>
      </c>
      <c r="J2985" t="s">
        <v>30</v>
      </c>
      <c r="K2985" t="s">
        <v>62</v>
      </c>
      <c r="N2985" t="s">
        <v>26</v>
      </c>
      <c r="O2985">
        <v>19</v>
      </c>
      <c r="R2985" s="11">
        <v>1.1574074074074073E-5</v>
      </c>
      <c r="S2985" t="s">
        <v>37</v>
      </c>
      <c r="T2985" t="str">
        <f>IF(Tabela1[[#This Row],[STATUS_NEGOCIO]]="Enviar E-mail",1,"")</f>
        <v/>
      </c>
      <c r="U2985" t="str">
        <f>TEXT(Tabela1[[#This Row],[DATA]],"dd/mm/aaaa")</f>
        <v>26/05/2026</v>
      </c>
    </row>
    <row r="2986" spans="1:21" x14ac:dyDescent="0.25">
      <c r="A2986" s="9">
        <v>46168.644675925927</v>
      </c>
      <c r="B2986" t="s">
        <v>19</v>
      </c>
      <c r="C2986" t="s">
        <v>27</v>
      </c>
      <c r="E2986"/>
      <c r="F2986">
        <v>2761175451</v>
      </c>
      <c r="G2986" s="10">
        <v>177982007647431</v>
      </c>
      <c r="H2986" t="s">
        <v>28</v>
      </c>
      <c r="I2986" t="s">
        <v>290</v>
      </c>
      <c r="J2986" t="s">
        <v>30</v>
      </c>
      <c r="K2986" t="s">
        <v>134</v>
      </c>
      <c r="N2986" t="s">
        <v>26</v>
      </c>
      <c r="O2986">
        <v>34</v>
      </c>
      <c r="R2986" s="11">
        <v>1.1574074074074073E-5</v>
      </c>
      <c r="S2986" t="s">
        <v>37</v>
      </c>
      <c r="T2986" t="str">
        <f>IF(Tabela1[[#This Row],[STATUS_NEGOCIO]]="Enviar E-mail",1,"")</f>
        <v/>
      </c>
      <c r="U2986" t="str">
        <f>TEXT(Tabela1[[#This Row],[DATA]],"dd/mm/aaaa")</f>
        <v>26/05/2026</v>
      </c>
    </row>
    <row r="2987" spans="1:21" x14ac:dyDescent="0.25">
      <c r="A2987" s="9">
        <v>46168.645381944443</v>
      </c>
      <c r="B2987" t="s">
        <v>19</v>
      </c>
      <c r="C2987" t="s">
        <v>20</v>
      </c>
      <c r="E2987"/>
      <c r="F2987">
        <v>2777482382</v>
      </c>
      <c r="G2987" s="10">
        <v>177982016147541</v>
      </c>
      <c r="H2987" t="s">
        <v>28</v>
      </c>
      <c r="I2987" t="s">
        <v>205</v>
      </c>
      <c r="J2987" t="s">
        <v>30</v>
      </c>
      <c r="K2987" t="s">
        <v>23</v>
      </c>
      <c r="L2987" t="s">
        <v>106</v>
      </c>
      <c r="N2987" t="s">
        <v>26</v>
      </c>
      <c r="O2987">
        <v>16</v>
      </c>
      <c r="R2987" s="11">
        <v>1.4814814814814814E-3</v>
      </c>
      <c r="S2987" s="11">
        <v>1.3425925925925925E-3</v>
      </c>
      <c r="T2987" t="str">
        <f>IF(Tabela1[[#This Row],[STATUS_NEGOCIO]]="Enviar E-mail",1,"")</f>
        <v/>
      </c>
      <c r="U2987" t="str">
        <f>TEXT(Tabela1[[#This Row],[DATA]],"dd/mm/aaaa")</f>
        <v>26/05/2026</v>
      </c>
    </row>
    <row r="2988" spans="1:21" x14ac:dyDescent="0.25">
      <c r="A2988" s="9">
        <v>46168.645451388889</v>
      </c>
      <c r="B2988" t="s">
        <v>19</v>
      </c>
      <c r="C2988" t="s">
        <v>27</v>
      </c>
      <c r="E2988"/>
      <c r="F2988">
        <v>2779719295</v>
      </c>
      <c r="G2988" s="10">
        <v>177982016747561</v>
      </c>
      <c r="H2988" t="s">
        <v>28</v>
      </c>
      <c r="I2988" t="s">
        <v>298</v>
      </c>
      <c r="J2988" t="s">
        <v>30</v>
      </c>
      <c r="K2988" t="s">
        <v>23</v>
      </c>
      <c r="L2988" t="s">
        <v>40</v>
      </c>
      <c r="N2988" t="s">
        <v>26</v>
      </c>
      <c r="O2988">
        <v>16</v>
      </c>
      <c r="R2988" s="11">
        <v>1.2037037037037038E-3</v>
      </c>
      <c r="S2988" s="11">
        <v>1.1342592592592593E-3</v>
      </c>
      <c r="T2988">
        <f>IF(Tabela1[[#This Row],[STATUS_NEGOCIO]]="Enviar E-mail",1,"")</f>
        <v>1</v>
      </c>
      <c r="U2988" t="str">
        <f>TEXT(Tabela1[[#This Row],[DATA]],"dd/mm/aaaa")</f>
        <v>26/05/2026</v>
      </c>
    </row>
    <row r="2989" spans="1:21" x14ac:dyDescent="0.25">
      <c r="A2989" s="9">
        <v>46168.650104166663</v>
      </c>
      <c r="B2989" t="s">
        <v>19</v>
      </c>
      <c r="C2989" t="s">
        <v>20</v>
      </c>
      <c r="E2989"/>
      <c r="F2989">
        <v>2761419376</v>
      </c>
      <c r="G2989" s="10">
        <v>177982056947821</v>
      </c>
      <c r="H2989" t="s">
        <v>28</v>
      </c>
      <c r="I2989" t="s">
        <v>609</v>
      </c>
      <c r="J2989" t="s">
        <v>30</v>
      </c>
      <c r="K2989" t="s">
        <v>36</v>
      </c>
      <c r="N2989" t="s">
        <v>32</v>
      </c>
      <c r="O2989">
        <v>19</v>
      </c>
      <c r="R2989" s="11">
        <v>4.1666666666666669E-4</v>
      </c>
      <c r="S2989" t="s">
        <v>37</v>
      </c>
      <c r="T2989" t="str">
        <f>IF(Tabela1[[#This Row],[STATUS_NEGOCIO]]="Enviar E-mail",1,"")</f>
        <v/>
      </c>
      <c r="U2989" t="str">
        <f>TEXT(Tabela1[[#This Row],[DATA]],"dd/mm/aaaa")</f>
        <v>26/05/2026</v>
      </c>
    </row>
    <row r="2990" spans="1:21" x14ac:dyDescent="0.25">
      <c r="A2990" s="9">
        <v>46168.651284722226</v>
      </c>
      <c r="B2990" t="s">
        <v>19</v>
      </c>
      <c r="C2990" t="s">
        <v>20</v>
      </c>
      <c r="E2990"/>
      <c r="F2990">
        <v>2778980790</v>
      </c>
      <c r="G2990" s="10">
        <v>177982067147931</v>
      </c>
      <c r="H2990" t="s">
        <v>28</v>
      </c>
      <c r="I2990" t="s">
        <v>248</v>
      </c>
      <c r="J2990" t="s">
        <v>30</v>
      </c>
      <c r="K2990" t="s">
        <v>23</v>
      </c>
      <c r="L2990" t="s">
        <v>44</v>
      </c>
      <c r="N2990" t="s">
        <v>32</v>
      </c>
      <c r="O2990">
        <v>16</v>
      </c>
      <c r="R2990" s="11">
        <v>4.6296296296296298E-4</v>
      </c>
      <c r="S2990" s="11">
        <v>4.6296296296296294E-5</v>
      </c>
      <c r="T2990" t="str">
        <f>IF(Tabela1[[#This Row],[STATUS_NEGOCIO]]="Enviar E-mail",1,"")</f>
        <v/>
      </c>
      <c r="U2990" t="str">
        <f>TEXT(Tabela1[[#This Row],[DATA]],"dd/mm/aaaa")</f>
        <v>26/05/2026</v>
      </c>
    </row>
    <row r="2991" spans="1:21" x14ac:dyDescent="0.25">
      <c r="A2991" s="9">
        <v>46168.652326388888</v>
      </c>
      <c r="B2991" t="s">
        <v>19</v>
      </c>
      <c r="C2991" t="s">
        <v>20</v>
      </c>
      <c r="E2991"/>
      <c r="F2991">
        <v>2761275226</v>
      </c>
      <c r="G2991" s="10">
        <v>177982076148001</v>
      </c>
      <c r="H2991" t="s">
        <v>28</v>
      </c>
      <c r="I2991" t="s">
        <v>255</v>
      </c>
      <c r="J2991" t="s">
        <v>30</v>
      </c>
      <c r="K2991" t="s">
        <v>23</v>
      </c>
      <c r="L2991" t="s">
        <v>31</v>
      </c>
      <c r="N2991" t="s">
        <v>32</v>
      </c>
      <c r="O2991">
        <v>16</v>
      </c>
      <c r="R2991" s="11">
        <v>1.273148148148148E-4</v>
      </c>
      <c r="S2991" s="11">
        <v>2.3148148148148147E-5</v>
      </c>
      <c r="T2991" t="str">
        <f>IF(Tabela1[[#This Row],[STATUS_NEGOCIO]]="Enviar E-mail",1,"")</f>
        <v/>
      </c>
      <c r="U2991" t="str">
        <f>TEXT(Tabela1[[#This Row],[DATA]],"dd/mm/aaaa")</f>
        <v>26/05/2026</v>
      </c>
    </row>
    <row r="2992" spans="1:21" x14ac:dyDescent="0.25">
      <c r="A2992" s="9">
        <v>46168.652986111112</v>
      </c>
      <c r="B2992" t="s">
        <v>19</v>
      </c>
      <c r="C2992" t="s">
        <v>20</v>
      </c>
      <c r="E2992"/>
      <c r="F2992">
        <v>2767226594</v>
      </c>
      <c r="G2992" s="10">
        <v>177982081848091</v>
      </c>
      <c r="H2992" t="s">
        <v>28</v>
      </c>
      <c r="I2992" t="s">
        <v>82</v>
      </c>
      <c r="J2992" t="s">
        <v>30</v>
      </c>
      <c r="K2992" t="s">
        <v>23</v>
      </c>
      <c r="L2992" t="s">
        <v>40</v>
      </c>
      <c r="N2992" t="s">
        <v>32</v>
      </c>
      <c r="O2992">
        <v>16</v>
      </c>
      <c r="R2992" s="11">
        <v>3.7037037037037038E-3</v>
      </c>
      <c r="S2992" s="11">
        <v>3.6226851851851854E-3</v>
      </c>
      <c r="T2992">
        <f>IF(Tabela1[[#This Row],[STATUS_NEGOCIO]]="Enviar E-mail",1,"")</f>
        <v>1</v>
      </c>
      <c r="U2992" t="str">
        <f>TEXT(Tabela1[[#This Row],[DATA]],"dd/mm/aaaa")</f>
        <v>26/05/2026</v>
      </c>
    </row>
    <row r="2993" spans="1:21" x14ac:dyDescent="0.25">
      <c r="A2993" s="9">
        <v>46168.657743055555</v>
      </c>
      <c r="B2993" t="s">
        <v>19</v>
      </c>
      <c r="C2993" t="s">
        <v>27</v>
      </c>
      <c r="E2993"/>
      <c r="F2993">
        <v>2761194416</v>
      </c>
      <c r="G2993" s="10">
        <v>177982122048641</v>
      </c>
      <c r="H2993" t="s">
        <v>28</v>
      </c>
      <c r="I2993" t="s">
        <v>67</v>
      </c>
      <c r="J2993" t="s">
        <v>30</v>
      </c>
      <c r="K2993" t="s">
        <v>62</v>
      </c>
      <c r="N2993" t="s">
        <v>26</v>
      </c>
      <c r="O2993">
        <v>17</v>
      </c>
      <c r="R2993" s="11">
        <v>1.1574074074074073E-5</v>
      </c>
      <c r="S2993" t="s">
        <v>37</v>
      </c>
      <c r="T2993" t="str">
        <f>IF(Tabela1[[#This Row],[STATUS_NEGOCIO]]="Enviar E-mail",1,"")</f>
        <v/>
      </c>
      <c r="U2993" t="str">
        <f>TEXT(Tabela1[[#This Row],[DATA]],"dd/mm/aaaa")</f>
        <v>26/05/2026</v>
      </c>
    </row>
    <row r="2994" spans="1:21" x14ac:dyDescent="0.25">
      <c r="A2994" s="9">
        <v>46168.658171296294</v>
      </c>
      <c r="B2994" t="s">
        <v>19</v>
      </c>
      <c r="C2994" t="s">
        <v>27</v>
      </c>
      <c r="E2994"/>
      <c r="F2994">
        <v>2761194453</v>
      </c>
      <c r="G2994" s="10">
        <v>177982125748751</v>
      </c>
      <c r="H2994" t="s">
        <v>28</v>
      </c>
      <c r="I2994" t="s">
        <v>67</v>
      </c>
      <c r="J2994" t="s">
        <v>30</v>
      </c>
      <c r="K2994" t="s">
        <v>62</v>
      </c>
      <c r="N2994" t="s">
        <v>26</v>
      </c>
      <c r="O2994">
        <v>17</v>
      </c>
      <c r="R2994" s="11">
        <v>1.1574074074074073E-5</v>
      </c>
      <c r="S2994" t="s">
        <v>37</v>
      </c>
      <c r="T2994" t="str">
        <f>IF(Tabela1[[#This Row],[STATUS_NEGOCIO]]="Enviar E-mail",1,"")</f>
        <v/>
      </c>
      <c r="U2994" t="str">
        <f>TEXT(Tabela1[[#This Row],[DATA]],"dd/mm/aaaa")</f>
        <v>26/05/2026</v>
      </c>
    </row>
    <row r="2995" spans="1:21" x14ac:dyDescent="0.25">
      <c r="A2995" s="9">
        <v>46168.658842592595</v>
      </c>
      <c r="B2995" t="s">
        <v>19</v>
      </c>
      <c r="C2995" t="s">
        <v>27</v>
      </c>
      <c r="E2995"/>
      <c r="F2995">
        <v>2761194509</v>
      </c>
      <c r="G2995" s="10">
        <v>177982131348871</v>
      </c>
      <c r="H2995" t="s">
        <v>28</v>
      </c>
      <c r="I2995" t="s">
        <v>67</v>
      </c>
      <c r="J2995" t="s">
        <v>30</v>
      </c>
      <c r="K2995" t="s">
        <v>62</v>
      </c>
      <c r="N2995" t="s">
        <v>26</v>
      </c>
      <c r="O2995">
        <v>17</v>
      </c>
      <c r="R2995" s="11">
        <v>1.1574074074074073E-5</v>
      </c>
      <c r="S2995" t="s">
        <v>37</v>
      </c>
      <c r="T2995" t="str">
        <f>IF(Tabela1[[#This Row],[STATUS_NEGOCIO]]="Enviar E-mail",1,"")</f>
        <v/>
      </c>
      <c r="U2995" t="str">
        <f>TEXT(Tabela1[[#This Row],[DATA]],"dd/mm/aaaa")</f>
        <v>26/05/2026</v>
      </c>
    </row>
    <row r="2996" spans="1:21" x14ac:dyDescent="0.25">
      <c r="A2996" s="9">
        <v>46168.659247685187</v>
      </c>
      <c r="B2996" t="s">
        <v>19</v>
      </c>
      <c r="C2996" t="s">
        <v>27</v>
      </c>
      <c r="E2996"/>
      <c r="F2996">
        <v>2767214198</v>
      </c>
      <c r="G2996" s="10">
        <v>177982135948911</v>
      </c>
      <c r="H2996" t="s">
        <v>28</v>
      </c>
      <c r="I2996" t="s">
        <v>310</v>
      </c>
      <c r="J2996" t="s">
        <v>30</v>
      </c>
      <c r="K2996" t="s">
        <v>23</v>
      </c>
      <c r="L2996" t="s">
        <v>31</v>
      </c>
      <c r="N2996" t="s">
        <v>26</v>
      </c>
      <c r="O2996">
        <v>16</v>
      </c>
      <c r="R2996" s="11">
        <v>2.476851851851852E-3</v>
      </c>
      <c r="S2996" s="11">
        <v>2.1759259259259258E-3</v>
      </c>
      <c r="T2996" t="str">
        <f>IF(Tabela1[[#This Row],[STATUS_NEGOCIO]]="Enviar E-mail",1,"")</f>
        <v/>
      </c>
      <c r="U2996" t="str">
        <f>TEXT(Tabela1[[#This Row],[DATA]],"dd/mm/aaaa")</f>
        <v>26/05/2026</v>
      </c>
    </row>
    <row r="2997" spans="1:21" x14ac:dyDescent="0.25">
      <c r="A2997" s="9">
        <v>46168.65960648148</v>
      </c>
      <c r="B2997" t="s">
        <v>19</v>
      </c>
      <c r="C2997" t="s">
        <v>20</v>
      </c>
      <c r="E2997"/>
      <c r="F2997">
        <v>2771867211</v>
      </c>
      <c r="G2997" s="10">
        <v>177982139048971</v>
      </c>
      <c r="H2997" t="s">
        <v>28</v>
      </c>
      <c r="I2997" t="s">
        <v>73</v>
      </c>
      <c r="J2997" t="s">
        <v>30</v>
      </c>
      <c r="K2997" t="s">
        <v>23</v>
      </c>
      <c r="L2997" t="s">
        <v>219</v>
      </c>
      <c r="N2997" t="s">
        <v>26</v>
      </c>
      <c r="O2997">
        <v>16</v>
      </c>
      <c r="R2997" s="11">
        <v>1.273148148148148E-4</v>
      </c>
      <c r="S2997" s="11">
        <v>2.3148148148148147E-5</v>
      </c>
      <c r="T2997" t="str">
        <f>IF(Tabela1[[#This Row],[STATUS_NEGOCIO]]="Enviar E-mail",1,"")</f>
        <v/>
      </c>
      <c r="U2997" t="str">
        <f>TEXT(Tabela1[[#This Row],[DATA]],"dd/mm/aaaa")</f>
        <v>26/05/2026</v>
      </c>
    </row>
    <row r="2998" spans="1:21" x14ac:dyDescent="0.25">
      <c r="A2998" s="9">
        <v>46168.660960648151</v>
      </c>
      <c r="B2998" t="s">
        <v>19</v>
      </c>
      <c r="C2998" t="s">
        <v>20</v>
      </c>
      <c r="E2998"/>
      <c r="F2998">
        <v>2779254349</v>
      </c>
      <c r="G2998" s="10">
        <v>177982150749001</v>
      </c>
      <c r="H2998" t="s">
        <v>28</v>
      </c>
      <c r="I2998" t="s">
        <v>114</v>
      </c>
      <c r="J2998" t="s">
        <v>30</v>
      </c>
      <c r="K2998" t="s">
        <v>36</v>
      </c>
      <c r="N2998" t="s">
        <v>32</v>
      </c>
      <c r="O2998">
        <v>19</v>
      </c>
      <c r="R2998" s="11">
        <v>1.273148148148148E-4</v>
      </c>
      <c r="S2998" t="s">
        <v>37</v>
      </c>
      <c r="T2998" t="str">
        <f>IF(Tabela1[[#This Row],[STATUS_NEGOCIO]]="Enviar E-mail",1,"")</f>
        <v/>
      </c>
      <c r="U2998" t="str">
        <f>TEXT(Tabela1[[#This Row],[DATA]],"dd/mm/aaaa")</f>
        <v>26/05/2026</v>
      </c>
    </row>
    <row r="2999" spans="1:21" x14ac:dyDescent="0.25">
      <c r="A2999" s="9">
        <v>46168.661863425928</v>
      </c>
      <c r="B2999" t="s">
        <v>19</v>
      </c>
      <c r="C2999" t="s">
        <v>20</v>
      </c>
      <c r="E2999"/>
      <c r="F2999">
        <v>2763978452</v>
      </c>
      <c r="G2999" s="10">
        <v>177982158549111</v>
      </c>
      <c r="H2999" t="s">
        <v>28</v>
      </c>
      <c r="I2999" t="s">
        <v>214</v>
      </c>
      <c r="J2999" t="s">
        <v>30</v>
      </c>
      <c r="K2999" t="s">
        <v>36</v>
      </c>
      <c r="N2999" t="s">
        <v>32</v>
      </c>
      <c r="O2999">
        <v>19</v>
      </c>
      <c r="R2999" s="11">
        <v>1.7361111111111112E-4</v>
      </c>
      <c r="S2999" t="s">
        <v>37</v>
      </c>
      <c r="T2999" t="str">
        <f>IF(Tabela1[[#This Row],[STATUS_NEGOCIO]]="Enviar E-mail",1,"")</f>
        <v/>
      </c>
      <c r="U2999" t="str">
        <f>TEXT(Tabela1[[#This Row],[DATA]],"dd/mm/aaaa")</f>
        <v>26/05/2026</v>
      </c>
    </row>
    <row r="3000" spans="1:21" x14ac:dyDescent="0.25">
      <c r="A3000" s="9">
        <v>46168.663576388892</v>
      </c>
      <c r="B3000" t="s">
        <v>19</v>
      </c>
      <c r="C3000" t="s">
        <v>27</v>
      </c>
      <c r="E3000"/>
      <c r="F3000">
        <v>2747182867</v>
      </c>
      <c r="G3000" s="10">
        <v>177982173349341</v>
      </c>
      <c r="H3000" t="s">
        <v>28</v>
      </c>
      <c r="I3000" t="s">
        <v>311</v>
      </c>
      <c r="J3000" t="s">
        <v>30</v>
      </c>
      <c r="K3000" t="s">
        <v>23</v>
      </c>
      <c r="L3000" t="s">
        <v>219</v>
      </c>
      <c r="N3000" t="s">
        <v>26</v>
      </c>
      <c r="O3000">
        <v>16</v>
      </c>
      <c r="R3000" s="11">
        <v>3.2407407407407406E-4</v>
      </c>
      <c r="S3000" s="11">
        <v>2.8935185185185184E-4</v>
      </c>
      <c r="T3000" t="str">
        <f>IF(Tabela1[[#This Row],[STATUS_NEGOCIO]]="Enviar E-mail",1,"")</f>
        <v/>
      </c>
      <c r="U3000" t="str">
        <f>TEXT(Tabela1[[#This Row],[DATA]],"dd/mm/aaaa")</f>
        <v>26/05/2026</v>
      </c>
    </row>
    <row r="3001" spans="1:21" x14ac:dyDescent="0.25">
      <c r="A3001" s="9">
        <v>46168.664224537039</v>
      </c>
      <c r="B3001" t="s">
        <v>19</v>
      </c>
      <c r="C3001" t="s">
        <v>20</v>
      </c>
      <c r="E3001"/>
      <c r="F3001">
        <v>2748841843</v>
      </c>
      <c r="G3001" s="10">
        <v>177982178949481</v>
      </c>
      <c r="H3001" t="s">
        <v>28</v>
      </c>
      <c r="I3001" t="s">
        <v>563</v>
      </c>
      <c r="J3001" t="s">
        <v>30</v>
      </c>
      <c r="K3001" t="s">
        <v>23</v>
      </c>
      <c r="L3001" t="s">
        <v>106</v>
      </c>
      <c r="N3001" t="s">
        <v>26</v>
      </c>
      <c r="O3001">
        <v>16</v>
      </c>
      <c r="R3001" s="11">
        <v>1.9791666666666668E-3</v>
      </c>
      <c r="S3001" s="11">
        <v>1.8171296296296297E-3</v>
      </c>
      <c r="T3001" t="str">
        <f>IF(Tabela1[[#This Row],[STATUS_NEGOCIO]]="Enviar E-mail",1,"")</f>
        <v/>
      </c>
      <c r="U3001" t="str">
        <f>TEXT(Tabela1[[#This Row],[DATA]],"dd/mm/aaaa")</f>
        <v>26/05/2026</v>
      </c>
    </row>
    <row r="3002" spans="1:21" x14ac:dyDescent="0.25">
      <c r="A3002" s="9">
        <v>46168.664421296293</v>
      </c>
      <c r="B3002" t="s">
        <v>19</v>
      </c>
      <c r="C3002" t="s">
        <v>27</v>
      </c>
      <c r="E3002"/>
      <c r="F3002">
        <v>2761626703</v>
      </c>
      <c r="G3002" s="10">
        <v>177982180649501</v>
      </c>
      <c r="H3002" t="s">
        <v>28</v>
      </c>
      <c r="I3002" t="s">
        <v>213</v>
      </c>
      <c r="J3002" t="s">
        <v>30</v>
      </c>
      <c r="K3002" t="s">
        <v>23</v>
      </c>
      <c r="L3002" t="s">
        <v>44</v>
      </c>
      <c r="N3002" t="s">
        <v>26</v>
      </c>
      <c r="O3002">
        <v>16</v>
      </c>
      <c r="R3002" s="11">
        <v>6.5972222222222224E-4</v>
      </c>
      <c r="S3002" s="11">
        <v>1.9675925925925926E-4</v>
      </c>
      <c r="T3002" t="str">
        <f>IF(Tabela1[[#This Row],[STATUS_NEGOCIO]]="Enviar E-mail",1,"")</f>
        <v/>
      </c>
      <c r="U3002" t="str">
        <f>TEXT(Tabela1[[#This Row],[DATA]],"dd/mm/aaaa")</f>
        <v>26/05/2026</v>
      </c>
    </row>
    <row r="3003" spans="1:21" x14ac:dyDescent="0.25">
      <c r="A3003" s="9">
        <v>46168.665729166663</v>
      </c>
      <c r="B3003" t="s">
        <v>19</v>
      </c>
      <c r="C3003" t="s">
        <v>27</v>
      </c>
      <c r="E3003"/>
      <c r="F3003">
        <v>2779353468</v>
      </c>
      <c r="G3003" s="10">
        <v>177982191949531</v>
      </c>
      <c r="H3003" t="s">
        <v>28</v>
      </c>
      <c r="I3003" t="s">
        <v>208</v>
      </c>
      <c r="J3003" t="s">
        <v>30</v>
      </c>
      <c r="K3003" t="s">
        <v>23</v>
      </c>
      <c r="L3003" t="s">
        <v>31</v>
      </c>
      <c r="N3003" t="s">
        <v>32</v>
      </c>
      <c r="O3003">
        <v>16</v>
      </c>
      <c r="R3003" s="11">
        <v>5.0925925925925921E-4</v>
      </c>
      <c r="S3003" s="11">
        <v>3.4722222222222222E-5</v>
      </c>
      <c r="T3003" t="str">
        <f>IF(Tabela1[[#This Row],[STATUS_NEGOCIO]]="Enviar E-mail",1,"")</f>
        <v/>
      </c>
      <c r="U3003" t="str">
        <f>TEXT(Tabela1[[#This Row],[DATA]],"dd/mm/aaaa")</f>
        <v>26/05/2026</v>
      </c>
    </row>
    <row r="3004" spans="1:21" x14ac:dyDescent="0.25">
      <c r="A3004" s="9">
        <v>46168.666689814818</v>
      </c>
      <c r="B3004" t="s">
        <v>19</v>
      </c>
      <c r="C3004" t="s">
        <v>27</v>
      </c>
      <c r="E3004"/>
      <c r="F3004">
        <v>2748204427</v>
      </c>
      <c r="G3004" s="10">
        <v>177982200249641</v>
      </c>
      <c r="H3004" t="s">
        <v>28</v>
      </c>
      <c r="I3004" t="s">
        <v>175</v>
      </c>
      <c r="J3004" t="s">
        <v>30</v>
      </c>
      <c r="K3004" t="s">
        <v>23</v>
      </c>
      <c r="L3004" t="s">
        <v>40</v>
      </c>
      <c r="N3004" t="s">
        <v>26</v>
      </c>
      <c r="O3004">
        <v>16</v>
      </c>
      <c r="R3004" s="11">
        <v>1.9097222222222222E-3</v>
      </c>
      <c r="S3004" s="11">
        <v>1.8055555555555555E-3</v>
      </c>
      <c r="T3004">
        <f>IF(Tabela1[[#This Row],[STATUS_NEGOCIO]]="Enviar E-mail",1,"")</f>
        <v>1</v>
      </c>
      <c r="U3004" t="str">
        <f>TEXT(Tabela1[[#This Row],[DATA]],"dd/mm/aaaa")</f>
        <v>26/05/2026</v>
      </c>
    </row>
    <row r="3005" spans="1:21" x14ac:dyDescent="0.25">
      <c r="A3005" s="9">
        <v>46168.672361111108</v>
      </c>
      <c r="B3005" t="s">
        <v>19</v>
      </c>
      <c r="C3005" t="s">
        <v>27</v>
      </c>
      <c r="E3005"/>
      <c r="F3005">
        <v>2744347220</v>
      </c>
      <c r="G3005" s="10">
        <v>177982249250131</v>
      </c>
      <c r="H3005" t="s">
        <v>28</v>
      </c>
      <c r="I3005" t="s">
        <v>336</v>
      </c>
      <c r="J3005" t="s">
        <v>30</v>
      </c>
      <c r="K3005" t="s">
        <v>23</v>
      </c>
      <c r="L3005" t="s">
        <v>31</v>
      </c>
      <c r="N3005" t="s">
        <v>26</v>
      </c>
      <c r="O3005">
        <v>16</v>
      </c>
      <c r="R3005" s="11">
        <v>7.7546296296296293E-4</v>
      </c>
      <c r="S3005" s="11">
        <v>6.9444444444444447E-4</v>
      </c>
      <c r="T3005" t="str">
        <f>IF(Tabela1[[#This Row],[STATUS_NEGOCIO]]="Enviar E-mail",1,"")</f>
        <v/>
      </c>
      <c r="U3005" t="str">
        <f>TEXT(Tabela1[[#This Row],[DATA]],"dd/mm/aaaa")</f>
        <v>26/05/2026</v>
      </c>
    </row>
    <row r="3006" spans="1:21" x14ac:dyDescent="0.25">
      <c r="A3006" s="9">
        <v>46168.674155092594</v>
      </c>
      <c r="B3006" t="s">
        <v>19</v>
      </c>
      <c r="C3006" t="s">
        <v>27</v>
      </c>
      <c r="E3006"/>
      <c r="F3006">
        <v>2744347375</v>
      </c>
      <c r="G3006" s="10">
        <v>177982264750301</v>
      </c>
      <c r="H3006" t="s">
        <v>28</v>
      </c>
      <c r="I3006" t="s">
        <v>336</v>
      </c>
      <c r="J3006" t="s">
        <v>30</v>
      </c>
      <c r="K3006" t="s">
        <v>23</v>
      </c>
      <c r="L3006" t="s">
        <v>31</v>
      </c>
      <c r="N3006" t="s">
        <v>26</v>
      </c>
      <c r="O3006">
        <v>16</v>
      </c>
      <c r="R3006" s="11">
        <v>1.7361111111111112E-4</v>
      </c>
      <c r="S3006" s="11">
        <v>9.2592592592592588E-5</v>
      </c>
      <c r="T3006" t="str">
        <f>IF(Tabela1[[#This Row],[STATUS_NEGOCIO]]="Enviar E-mail",1,"")</f>
        <v/>
      </c>
      <c r="U3006" t="str">
        <f>TEXT(Tabela1[[#This Row],[DATA]],"dd/mm/aaaa")</f>
        <v>26/05/2026</v>
      </c>
    </row>
    <row r="3007" spans="1:21" x14ac:dyDescent="0.25">
      <c r="A3007" s="9">
        <v>46168.675428240742</v>
      </c>
      <c r="B3007" t="s">
        <v>19</v>
      </c>
      <c r="C3007" t="s">
        <v>20</v>
      </c>
      <c r="E3007"/>
      <c r="F3007">
        <v>2753350596</v>
      </c>
      <c r="G3007" s="10">
        <v>177982275750531</v>
      </c>
      <c r="H3007" t="s">
        <v>28</v>
      </c>
      <c r="I3007" t="s">
        <v>220</v>
      </c>
      <c r="J3007" t="s">
        <v>30</v>
      </c>
      <c r="K3007" t="s">
        <v>23</v>
      </c>
      <c r="L3007" t="s">
        <v>31</v>
      </c>
      <c r="N3007" t="s">
        <v>32</v>
      </c>
      <c r="O3007">
        <v>16</v>
      </c>
      <c r="R3007" s="11">
        <v>3.2407407407407406E-4</v>
      </c>
      <c r="S3007" s="11">
        <v>2.3148148148148147E-5</v>
      </c>
      <c r="T3007" t="str">
        <f>IF(Tabela1[[#This Row],[STATUS_NEGOCIO]]="Enviar E-mail",1,"")</f>
        <v/>
      </c>
      <c r="U3007" t="str">
        <f>TEXT(Tabela1[[#This Row],[DATA]],"dd/mm/aaaa")</f>
        <v>26/05/2026</v>
      </c>
    </row>
    <row r="3008" spans="1:21" x14ac:dyDescent="0.25">
      <c r="A3008" s="9">
        <v>46168.676087962966</v>
      </c>
      <c r="B3008" t="s">
        <v>19</v>
      </c>
      <c r="C3008" t="s">
        <v>20</v>
      </c>
      <c r="E3008"/>
      <c r="F3008">
        <v>2778154658</v>
      </c>
      <c r="G3008" s="10">
        <v>177982281450651</v>
      </c>
      <c r="H3008" t="s">
        <v>28</v>
      </c>
      <c r="I3008" t="s">
        <v>534</v>
      </c>
      <c r="J3008" t="s">
        <v>30</v>
      </c>
      <c r="K3008" t="s">
        <v>23</v>
      </c>
      <c r="L3008" t="s">
        <v>44</v>
      </c>
      <c r="N3008" t="s">
        <v>32</v>
      </c>
      <c r="O3008">
        <v>16</v>
      </c>
      <c r="R3008" s="11">
        <v>4.6296296296296298E-4</v>
      </c>
      <c r="S3008" s="11">
        <v>1.1574074074074073E-5</v>
      </c>
      <c r="T3008" t="str">
        <f>IF(Tabela1[[#This Row],[STATUS_NEGOCIO]]="Enviar E-mail",1,"")</f>
        <v/>
      </c>
      <c r="U3008" t="str">
        <f>TEXT(Tabela1[[#This Row],[DATA]],"dd/mm/aaaa")</f>
        <v>26/05/2026</v>
      </c>
    </row>
    <row r="3009" spans="1:21" x14ac:dyDescent="0.25">
      <c r="A3009" s="9">
        <v>46168.676342592589</v>
      </c>
      <c r="B3009" t="s">
        <v>19</v>
      </c>
      <c r="C3009" t="s">
        <v>27</v>
      </c>
      <c r="E3009"/>
      <c r="F3009">
        <v>2761395019</v>
      </c>
      <c r="G3009" s="10">
        <v>177982283650671</v>
      </c>
      <c r="H3009" t="s">
        <v>28</v>
      </c>
      <c r="I3009" t="s">
        <v>202</v>
      </c>
      <c r="J3009" t="s">
        <v>30</v>
      </c>
      <c r="K3009" t="s">
        <v>23</v>
      </c>
      <c r="L3009" t="s">
        <v>31</v>
      </c>
      <c r="N3009" t="s">
        <v>26</v>
      </c>
      <c r="O3009">
        <v>16</v>
      </c>
      <c r="R3009" s="11">
        <v>4.9768518518518521E-4</v>
      </c>
      <c r="S3009" s="11">
        <v>2.3148148148148149E-4</v>
      </c>
      <c r="T3009" t="str">
        <f>IF(Tabela1[[#This Row],[STATUS_NEGOCIO]]="Enviar E-mail",1,"")</f>
        <v/>
      </c>
      <c r="U3009" t="str">
        <f>TEXT(Tabela1[[#This Row],[DATA]],"dd/mm/aaaa")</f>
        <v>26/05/2026</v>
      </c>
    </row>
    <row r="3010" spans="1:21" x14ac:dyDescent="0.25">
      <c r="A3010" s="9">
        <v>46168.677731481483</v>
      </c>
      <c r="B3010" t="s">
        <v>19</v>
      </c>
      <c r="C3010" t="s">
        <v>20</v>
      </c>
      <c r="E3010"/>
      <c r="F3010">
        <v>2744595774</v>
      </c>
      <c r="G3010" s="10">
        <v>177982295650721</v>
      </c>
      <c r="H3010" t="s">
        <v>28</v>
      </c>
      <c r="I3010" t="s">
        <v>244</v>
      </c>
      <c r="J3010" t="s">
        <v>30</v>
      </c>
      <c r="K3010" t="s">
        <v>36</v>
      </c>
      <c r="N3010" t="s">
        <v>32</v>
      </c>
      <c r="O3010">
        <v>19</v>
      </c>
      <c r="R3010" s="11">
        <v>3.0092592592592595E-4</v>
      </c>
      <c r="S3010" t="s">
        <v>37</v>
      </c>
      <c r="T3010" t="str">
        <f>IF(Tabela1[[#This Row],[STATUS_NEGOCIO]]="Enviar E-mail",1,"")</f>
        <v/>
      </c>
      <c r="U3010" t="str">
        <f>TEXT(Tabela1[[#This Row],[DATA]],"dd/mm/aaaa")</f>
        <v>26/05/2026</v>
      </c>
    </row>
    <row r="3011" spans="1:21" x14ac:dyDescent="0.25">
      <c r="A3011" s="9">
        <v>46168.677800925929</v>
      </c>
      <c r="B3011" t="s">
        <v>19</v>
      </c>
      <c r="C3011" t="s">
        <v>27</v>
      </c>
      <c r="E3011"/>
      <c r="F3011">
        <v>1813087412</v>
      </c>
      <c r="G3011" s="10">
        <v>177982296250741</v>
      </c>
      <c r="H3011" t="s">
        <v>28</v>
      </c>
      <c r="I3011" t="s">
        <v>161</v>
      </c>
      <c r="J3011" t="s">
        <v>30</v>
      </c>
      <c r="K3011" t="s">
        <v>23</v>
      </c>
      <c r="L3011" t="s">
        <v>40</v>
      </c>
      <c r="N3011" t="s">
        <v>32</v>
      </c>
      <c r="O3011">
        <v>16</v>
      </c>
      <c r="R3011" s="11">
        <v>4.3287037037037035E-3</v>
      </c>
      <c r="S3011" s="11">
        <v>4.1319444444444442E-3</v>
      </c>
      <c r="T3011">
        <f>IF(Tabela1[[#This Row],[STATUS_NEGOCIO]]="Enviar E-mail",1,"")</f>
        <v>1</v>
      </c>
      <c r="U3011" t="str">
        <f>TEXT(Tabela1[[#This Row],[DATA]],"dd/mm/aaaa")</f>
        <v>26/05/2026</v>
      </c>
    </row>
    <row r="3012" spans="1:21" x14ac:dyDescent="0.25">
      <c r="A3012" s="9">
        <v>46168.67827546296</v>
      </c>
      <c r="B3012" t="s">
        <v>19</v>
      </c>
      <c r="C3012" t="s">
        <v>20</v>
      </c>
      <c r="E3012"/>
      <c r="F3012">
        <v>2778413105</v>
      </c>
      <c r="G3012" s="10">
        <v>177982300350771</v>
      </c>
      <c r="H3012" t="s">
        <v>28</v>
      </c>
      <c r="I3012" t="s">
        <v>118</v>
      </c>
      <c r="J3012" t="s">
        <v>30</v>
      </c>
      <c r="K3012" t="s">
        <v>36</v>
      </c>
      <c r="N3012" t="s">
        <v>32</v>
      </c>
      <c r="O3012">
        <v>19</v>
      </c>
      <c r="R3012" s="11">
        <v>8.1018518518518516E-5</v>
      </c>
      <c r="S3012" t="s">
        <v>37</v>
      </c>
      <c r="T3012" t="str">
        <f>IF(Tabela1[[#This Row],[STATUS_NEGOCIO]]="Enviar E-mail",1,"")</f>
        <v/>
      </c>
      <c r="U3012" t="str">
        <f>TEXT(Tabela1[[#This Row],[DATA]],"dd/mm/aaaa")</f>
        <v>26/05/2026</v>
      </c>
    </row>
    <row r="3013" spans="1:21" x14ac:dyDescent="0.25">
      <c r="A3013" s="9">
        <v>46168.678703703707</v>
      </c>
      <c r="B3013" t="s">
        <v>19</v>
      </c>
      <c r="C3013" t="s">
        <v>20</v>
      </c>
      <c r="E3013"/>
      <c r="F3013">
        <v>2779808036</v>
      </c>
      <c r="G3013" s="10">
        <v>177982304050801</v>
      </c>
      <c r="H3013" t="s">
        <v>28</v>
      </c>
      <c r="I3013" t="s">
        <v>90</v>
      </c>
      <c r="J3013" t="s">
        <v>30</v>
      </c>
      <c r="K3013" t="s">
        <v>36</v>
      </c>
      <c r="N3013" t="s">
        <v>32</v>
      </c>
      <c r="O3013">
        <v>19</v>
      </c>
      <c r="R3013" s="11">
        <v>1.0416666666666667E-4</v>
      </c>
      <c r="S3013" t="s">
        <v>37</v>
      </c>
      <c r="T3013" t="str">
        <f>IF(Tabela1[[#This Row],[STATUS_NEGOCIO]]="Enviar E-mail",1,"")</f>
        <v/>
      </c>
      <c r="U3013" t="str">
        <f>TEXT(Tabela1[[#This Row],[DATA]],"dd/mm/aaaa")</f>
        <v>26/05/2026</v>
      </c>
    </row>
    <row r="3014" spans="1:21" x14ac:dyDescent="0.25">
      <c r="A3014" s="9">
        <v>46168.679201388892</v>
      </c>
      <c r="B3014" t="s">
        <v>19</v>
      </c>
      <c r="C3014" t="s">
        <v>20</v>
      </c>
      <c r="E3014"/>
      <c r="F3014">
        <v>2750115088</v>
      </c>
      <c r="G3014" s="10">
        <v>177982308350891</v>
      </c>
      <c r="H3014" t="s">
        <v>28</v>
      </c>
      <c r="I3014" t="s">
        <v>224</v>
      </c>
      <c r="J3014" t="s">
        <v>30</v>
      </c>
      <c r="K3014" t="s">
        <v>23</v>
      </c>
      <c r="L3014" t="s">
        <v>152</v>
      </c>
      <c r="N3014" t="s">
        <v>26</v>
      </c>
      <c r="O3014">
        <v>16</v>
      </c>
      <c r="R3014" s="11">
        <v>1.0532407407407407E-3</v>
      </c>
      <c r="S3014" s="11">
        <v>8.564814814814815E-4</v>
      </c>
      <c r="T3014" t="str">
        <f>IF(Tabela1[[#This Row],[STATUS_NEGOCIO]]="Enviar E-mail",1,"")</f>
        <v/>
      </c>
      <c r="U3014" t="str">
        <f>TEXT(Tabela1[[#This Row],[DATA]],"dd/mm/aaaa")</f>
        <v>26/05/2026</v>
      </c>
    </row>
    <row r="3015" spans="1:21" x14ac:dyDescent="0.25">
      <c r="A3015" s="9">
        <v>46168.683136574073</v>
      </c>
      <c r="B3015" t="s">
        <v>19</v>
      </c>
      <c r="C3015" t="s">
        <v>27</v>
      </c>
      <c r="E3015"/>
      <c r="F3015">
        <v>2712692070</v>
      </c>
      <c r="G3015" s="10">
        <v>177982342351491</v>
      </c>
      <c r="H3015" t="s">
        <v>28</v>
      </c>
      <c r="I3015" t="s">
        <v>83</v>
      </c>
      <c r="J3015" t="s">
        <v>30</v>
      </c>
      <c r="K3015" t="s">
        <v>23</v>
      </c>
      <c r="L3015" t="s">
        <v>44</v>
      </c>
      <c r="N3015" t="s">
        <v>26</v>
      </c>
      <c r="O3015">
        <v>16</v>
      </c>
      <c r="R3015" s="11">
        <v>9.7222222222222219E-4</v>
      </c>
      <c r="S3015" s="11">
        <v>4.861111111111111E-4</v>
      </c>
      <c r="T3015" t="str">
        <f>IF(Tabela1[[#This Row],[STATUS_NEGOCIO]]="Enviar E-mail",1,"")</f>
        <v/>
      </c>
      <c r="U3015" t="str">
        <f>TEXT(Tabela1[[#This Row],[DATA]],"dd/mm/aaaa")</f>
        <v>26/05/2026</v>
      </c>
    </row>
    <row r="3016" spans="1:21" x14ac:dyDescent="0.25">
      <c r="A3016" s="9">
        <v>46168.684363425928</v>
      </c>
      <c r="B3016" t="s">
        <v>19</v>
      </c>
      <c r="C3016" t="s">
        <v>20</v>
      </c>
      <c r="E3016"/>
      <c r="F3016">
        <v>2768399448</v>
      </c>
      <c r="G3016" s="10">
        <v>177982352951701</v>
      </c>
      <c r="H3016" t="s">
        <v>28</v>
      </c>
      <c r="I3016" t="s">
        <v>203</v>
      </c>
      <c r="J3016" t="s">
        <v>30</v>
      </c>
      <c r="K3016" t="s">
        <v>23</v>
      </c>
      <c r="L3016" t="s">
        <v>40</v>
      </c>
      <c r="N3016" t="s">
        <v>26</v>
      </c>
      <c r="O3016">
        <v>16</v>
      </c>
      <c r="R3016" s="11">
        <v>2.2569444444444442E-3</v>
      </c>
      <c r="S3016" s="11">
        <v>2.1180555555555558E-3</v>
      </c>
      <c r="T3016">
        <f>IF(Tabela1[[#This Row],[STATUS_NEGOCIO]]="Enviar E-mail",1,"")</f>
        <v>1</v>
      </c>
      <c r="U3016" t="str">
        <f>TEXT(Tabela1[[#This Row],[DATA]],"dd/mm/aaaa")</f>
        <v>26/05/2026</v>
      </c>
    </row>
    <row r="3017" spans="1:21" x14ac:dyDescent="0.25">
      <c r="A3017" s="9">
        <v>46168.688564814816</v>
      </c>
      <c r="B3017" t="s">
        <v>19</v>
      </c>
      <c r="C3017" t="s">
        <v>27</v>
      </c>
      <c r="E3017"/>
      <c r="F3017">
        <v>2768106848</v>
      </c>
      <c r="G3017" s="10">
        <v>177982389252041</v>
      </c>
      <c r="H3017" t="s">
        <v>28</v>
      </c>
      <c r="I3017" t="s">
        <v>247</v>
      </c>
      <c r="J3017" t="s">
        <v>30</v>
      </c>
      <c r="K3017" t="s">
        <v>23</v>
      </c>
      <c r="L3017" t="s">
        <v>44</v>
      </c>
      <c r="N3017" t="s">
        <v>26</v>
      </c>
      <c r="O3017">
        <v>16</v>
      </c>
      <c r="R3017" s="11">
        <v>6.3657407407407413E-4</v>
      </c>
      <c r="S3017" s="11">
        <v>1.6203703703703703E-4</v>
      </c>
      <c r="T3017" t="str">
        <f>IF(Tabela1[[#This Row],[STATUS_NEGOCIO]]="Enviar E-mail",1,"")</f>
        <v/>
      </c>
      <c r="U3017" t="str">
        <f>TEXT(Tabela1[[#This Row],[DATA]],"dd/mm/aaaa")</f>
        <v>26/05/2026</v>
      </c>
    </row>
    <row r="3018" spans="1:21" x14ac:dyDescent="0.25">
      <c r="A3018" s="9">
        <v>46168.689872685187</v>
      </c>
      <c r="B3018" t="s">
        <v>19</v>
      </c>
      <c r="C3018" t="s">
        <v>27</v>
      </c>
      <c r="E3018"/>
      <c r="F3018">
        <v>2779385636</v>
      </c>
      <c r="G3018" s="10">
        <v>177982400552071</v>
      </c>
      <c r="H3018" t="s">
        <v>28</v>
      </c>
      <c r="I3018" t="s">
        <v>107</v>
      </c>
      <c r="J3018" t="s">
        <v>30</v>
      </c>
      <c r="K3018" t="s">
        <v>23</v>
      </c>
      <c r="L3018" t="s">
        <v>31</v>
      </c>
      <c r="N3018" t="s">
        <v>32</v>
      </c>
      <c r="O3018">
        <v>16</v>
      </c>
      <c r="R3018" s="11">
        <v>4.861111111111111E-4</v>
      </c>
      <c r="S3018" s="11">
        <v>2.3148148148148149E-4</v>
      </c>
      <c r="T3018" t="str">
        <f>IF(Tabela1[[#This Row],[STATUS_NEGOCIO]]="Enviar E-mail",1,"")</f>
        <v/>
      </c>
      <c r="U3018" t="str">
        <f>TEXT(Tabela1[[#This Row],[DATA]],"dd/mm/aaaa")</f>
        <v>26/05/2026</v>
      </c>
    </row>
    <row r="3019" spans="1:21" x14ac:dyDescent="0.25">
      <c r="A3019" s="9">
        <v>46168.693078703705</v>
      </c>
      <c r="B3019" t="s">
        <v>19</v>
      </c>
      <c r="C3019" t="s">
        <v>27</v>
      </c>
      <c r="E3019"/>
      <c r="F3019">
        <v>2779385913</v>
      </c>
      <c r="G3019" s="10">
        <v>177982428252301</v>
      </c>
      <c r="H3019" t="s">
        <v>28</v>
      </c>
      <c r="I3019" t="s">
        <v>107</v>
      </c>
      <c r="J3019" t="s">
        <v>30</v>
      </c>
      <c r="K3019" t="s">
        <v>23</v>
      </c>
      <c r="L3019" t="s">
        <v>31</v>
      </c>
      <c r="N3019" t="s">
        <v>32</v>
      </c>
      <c r="O3019">
        <v>16</v>
      </c>
      <c r="R3019" s="11">
        <v>7.291666666666667E-4</v>
      </c>
      <c r="S3019" s="11">
        <v>4.5138888888888887E-4</v>
      </c>
      <c r="T3019" t="str">
        <f>IF(Tabela1[[#This Row],[STATUS_NEGOCIO]]="Enviar E-mail",1,"")</f>
        <v/>
      </c>
      <c r="U3019" t="str">
        <f>TEXT(Tabela1[[#This Row],[DATA]],"dd/mm/aaaa")</f>
        <v>26/05/2026</v>
      </c>
    </row>
    <row r="3020" spans="1:21" x14ac:dyDescent="0.25">
      <c r="A3020" s="9">
        <v>46168.693784722222</v>
      </c>
      <c r="B3020" t="s">
        <v>19</v>
      </c>
      <c r="C3020" t="s">
        <v>20</v>
      </c>
      <c r="E3020"/>
      <c r="F3020">
        <v>2771402228</v>
      </c>
      <c r="G3020" s="10">
        <v>177982434352321</v>
      </c>
      <c r="H3020" t="s">
        <v>28</v>
      </c>
      <c r="I3020" t="s">
        <v>234</v>
      </c>
      <c r="J3020" t="s">
        <v>30</v>
      </c>
      <c r="K3020" t="s">
        <v>23</v>
      </c>
      <c r="L3020" t="s">
        <v>40</v>
      </c>
      <c r="N3020" t="s">
        <v>26</v>
      </c>
      <c r="O3020">
        <v>16</v>
      </c>
      <c r="R3020" s="11">
        <v>1.712962962962963E-3</v>
      </c>
      <c r="S3020" s="11">
        <v>1.4930555555555556E-3</v>
      </c>
      <c r="T3020">
        <f>IF(Tabela1[[#This Row],[STATUS_NEGOCIO]]="Enviar E-mail",1,"")</f>
        <v>1</v>
      </c>
      <c r="U3020" t="str">
        <f>TEXT(Tabela1[[#This Row],[DATA]],"dd/mm/aaaa")</f>
        <v>26/05/2026</v>
      </c>
    </row>
    <row r="3021" spans="1:21" x14ac:dyDescent="0.25">
      <c r="A3021" s="9">
        <v>46168.700682870367</v>
      </c>
      <c r="B3021" t="s">
        <v>19</v>
      </c>
      <c r="C3021" t="s">
        <v>27</v>
      </c>
      <c r="E3021"/>
      <c r="F3021">
        <v>2751960069</v>
      </c>
      <c r="G3021" s="10">
        <v>177982493953061</v>
      </c>
      <c r="H3021" t="s">
        <v>28</v>
      </c>
      <c r="I3021" t="s">
        <v>363</v>
      </c>
      <c r="J3021" t="s">
        <v>30</v>
      </c>
      <c r="K3021" t="s">
        <v>23</v>
      </c>
      <c r="L3021" t="s">
        <v>31</v>
      </c>
      <c r="N3021" t="s">
        <v>26</v>
      </c>
      <c r="O3021">
        <v>16</v>
      </c>
      <c r="R3021" s="11">
        <v>1.4351851851851852E-3</v>
      </c>
      <c r="S3021" s="11">
        <v>1.4120370370370369E-3</v>
      </c>
      <c r="T3021" t="str">
        <f>IF(Tabela1[[#This Row],[STATUS_NEGOCIO]]="Enviar E-mail",1,"")</f>
        <v/>
      </c>
      <c r="U3021" t="str">
        <f>TEXT(Tabela1[[#This Row],[DATA]],"dd/mm/aaaa")</f>
        <v>26/05/2026</v>
      </c>
    </row>
    <row r="3022" spans="1:21" x14ac:dyDescent="0.25">
      <c r="A3022" s="9">
        <v>46168.701562499999</v>
      </c>
      <c r="B3022" t="s">
        <v>19</v>
      </c>
      <c r="C3022" t="s">
        <v>20</v>
      </c>
      <c r="E3022"/>
      <c r="F3022">
        <v>2761258082</v>
      </c>
      <c r="G3022" s="10">
        <v>177982501553221</v>
      </c>
      <c r="H3022" t="s">
        <v>28</v>
      </c>
      <c r="I3022" t="s">
        <v>61</v>
      </c>
      <c r="J3022" t="s">
        <v>30</v>
      </c>
      <c r="K3022" t="s">
        <v>36</v>
      </c>
      <c r="N3022" t="s">
        <v>32</v>
      </c>
      <c r="O3022">
        <v>19</v>
      </c>
      <c r="R3022" s="11">
        <v>5.3240740740740744E-4</v>
      </c>
      <c r="S3022" t="s">
        <v>37</v>
      </c>
      <c r="T3022" t="str">
        <f>IF(Tabela1[[#This Row],[STATUS_NEGOCIO]]="Enviar E-mail",1,"")</f>
        <v/>
      </c>
      <c r="U3022" t="str">
        <f>TEXT(Tabela1[[#This Row],[DATA]],"dd/mm/aaaa")</f>
        <v>26/05/2026</v>
      </c>
    </row>
    <row r="3023" spans="1:21" x14ac:dyDescent="0.25">
      <c r="A3023" s="9">
        <v>46168.702743055554</v>
      </c>
      <c r="B3023" t="s">
        <v>19</v>
      </c>
      <c r="C3023" t="s">
        <v>20</v>
      </c>
      <c r="E3023"/>
      <c r="F3023">
        <v>2756552040</v>
      </c>
      <c r="G3023" s="10">
        <v>177982511753451</v>
      </c>
      <c r="H3023" t="s">
        <v>28</v>
      </c>
      <c r="I3023" t="s">
        <v>361</v>
      </c>
      <c r="J3023" t="s">
        <v>30</v>
      </c>
      <c r="K3023" t="s">
        <v>23</v>
      </c>
      <c r="L3023" t="s">
        <v>106</v>
      </c>
      <c r="N3023" t="s">
        <v>32</v>
      </c>
      <c r="O3023">
        <v>16</v>
      </c>
      <c r="R3023" s="11">
        <v>1.3541666666666667E-3</v>
      </c>
      <c r="S3023" s="11">
        <v>1.2847222222222223E-3</v>
      </c>
      <c r="T3023" t="str">
        <f>IF(Tabela1[[#This Row],[STATUS_NEGOCIO]]="Enviar E-mail",1,"")</f>
        <v/>
      </c>
      <c r="U3023" t="str">
        <f>TEXT(Tabela1[[#This Row],[DATA]],"dd/mm/aaaa")</f>
        <v>26/05/2026</v>
      </c>
    </row>
    <row r="3024" spans="1:21" x14ac:dyDescent="0.25">
      <c r="A3024" s="9">
        <v>46168.70511574074</v>
      </c>
      <c r="B3024" t="s">
        <v>19</v>
      </c>
      <c r="C3024" t="s">
        <v>27</v>
      </c>
      <c r="E3024"/>
      <c r="F3024">
        <v>2763893486</v>
      </c>
      <c r="G3024" s="10">
        <v>177982532253661</v>
      </c>
      <c r="H3024" t="s">
        <v>28</v>
      </c>
      <c r="I3024" t="s">
        <v>366</v>
      </c>
      <c r="J3024" t="s">
        <v>30</v>
      </c>
      <c r="K3024" t="s">
        <v>23</v>
      </c>
      <c r="L3024" t="s">
        <v>40</v>
      </c>
      <c r="N3024" t="s">
        <v>32</v>
      </c>
      <c r="O3024">
        <v>16</v>
      </c>
      <c r="R3024" s="11">
        <v>3.5416666666666665E-3</v>
      </c>
      <c r="S3024" s="11">
        <v>3.2060185185185186E-3</v>
      </c>
      <c r="T3024">
        <f>IF(Tabela1[[#This Row],[STATUS_NEGOCIO]]="Enviar E-mail",1,"")</f>
        <v>1</v>
      </c>
      <c r="U3024" t="str">
        <f>TEXT(Tabela1[[#This Row],[DATA]],"dd/mm/aaaa")</f>
        <v>26/05/2026</v>
      </c>
    </row>
    <row r="3025" spans="1:21" x14ac:dyDescent="0.25">
      <c r="A3025" s="9">
        <v>46168.709224537037</v>
      </c>
      <c r="B3025" t="s">
        <v>19</v>
      </c>
      <c r="C3025" t="s">
        <v>27</v>
      </c>
      <c r="E3025"/>
      <c r="F3025">
        <v>2771908604</v>
      </c>
      <c r="G3025" s="10">
        <v>177982567754121</v>
      </c>
      <c r="H3025" t="s">
        <v>28</v>
      </c>
      <c r="I3025" t="s">
        <v>123</v>
      </c>
      <c r="J3025" t="s">
        <v>30</v>
      </c>
      <c r="K3025" t="s">
        <v>23</v>
      </c>
      <c r="L3025" t="s">
        <v>44</v>
      </c>
      <c r="N3025" t="s">
        <v>26</v>
      </c>
      <c r="O3025">
        <v>16</v>
      </c>
      <c r="R3025" s="11">
        <v>5.3240740740740744E-4</v>
      </c>
      <c r="S3025" s="11">
        <v>2.199074074074074E-4</v>
      </c>
      <c r="T3025" t="str">
        <f>IF(Tabela1[[#This Row],[STATUS_NEGOCIO]]="Enviar E-mail",1,"")</f>
        <v/>
      </c>
      <c r="U3025" t="str">
        <f>TEXT(Tabela1[[#This Row],[DATA]],"dd/mm/aaaa")</f>
        <v>26/05/2026</v>
      </c>
    </row>
    <row r="3026" spans="1:21" x14ac:dyDescent="0.25">
      <c r="A3026" s="9">
        <v>46168.712094907409</v>
      </c>
      <c r="B3026" t="s">
        <v>19</v>
      </c>
      <c r="C3026" t="s">
        <v>20</v>
      </c>
      <c r="E3026"/>
      <c r="F3026">
        <v>2771255954</v>
      </c>
      <c r="G3026" s="10">
        <v>177982592554371</v>
      </c>
      <c r="H3026" t="s">
        <v>28</v>
      </c>
      <c r="I3026" t="s">
        <v>428</v>
      </c>
      <c r="J3026" t="s">
        <v>30</v>
      </c>
      <c r="K3026" t="s">
        <v>36</v>
      </c>
      <c r="N3026" t="s">
        <v>32</v>
      </c>
      <c r="O3026">
        <v>19</v>
      </c>
      <c r="R3026" s="11">
        <v>9.2592592592592588E-5</v>
      </c>
      <c r="S3026" t="s">
        <v>37</v>
      </c>
      <c r="T3026" t="str">
        <f>IF(Tabela1[[#This Row],[STATUS_NEGOCIO]]="Enviar E-mail",1,"")</f>
        <v/>
      </c>
      <c r="U3026" t="str">
        <f>TEXT(Tabela1[[#This Row],[DATA]],"dd/mm/aaaa")</f>
        <v>26/05/2026</v>
      </c>
    </row>
    <row r="3027" spans="1:21" x14ac:dyDescent="0.25">
      <c r="A3027" s="9">
        <v>46169.380393518521</v>
      </c>
      <c r="B3027" t="s">
        <v>19</v>
      </c>
      <c r="C3027" t="s">
        <v>27</v>
      </c>
      <c r="E3027"/>
      <c r="F3027">
        <v>2779850456</v>
      </c>
      <c r="G3027" s="10">
        <v>17798836663161</v>
      </c>
      <c r="H3027" t="s">
        <v>28</v>
      </c>
      <c r="I3027" t="s">
        <v>212</v>
      </c>
      <c r="J3027" t="s">
        <v>30</v>
      </c>
      <c r="K3027" t="s">
        <v>23</v>
      </c>
      <c r="L3027" t="s">
        <v>40</v>
      </c>
      <c r="N3027" t="s">
        <v>26</v>
      </c>
      <c r="O3027">
        <v>16</v>
      </c>
      <c r="R3027" s="11">
        <v>1.9907407407407408E-3</v>
      </c>
      <c r="S3027" s="11">
        <v>1.7708333333333332E-3</v>
      </c>
      <c r="T3027">
        <f>IF(Tabela1[[#This Row],[STATUS_NEGOCIO]]="Enviar E-mail",1,"")</f>
        <v>1</v>
      </c>
      <c r="U3027" t="str">
        <f>TEXT(Tabela1[[#This Row],[DATA]],"dd/mm/aaaa")</f>
        <v>27/05/2026</v>
      </c>
    </row>
    <row r="3028" spans="1:21" x14ac:dyDescent="0.25">
      <c r="A3028" s="9">
        <v>46169.381712962961</v>
      </c>
      <c r="B3028" t="s">
        <v>19</v>
      </c>
      <c r="C3028" t="s">
        <v>20</v>
      </c>
      <c r="E3028"/>
      <c r="F3028">
        <v>2761482587</v>
      </c>
      <c r="G3028" s="10">
        <v>17798837803411</v>
      </c>
      <c r="H3028" t="s">
        <v>28</v>
      </c>
      <c r="I3028" t="s">
        <v>609</v>
      </c>
      <c r="J3028" t="s">
        <v>30</v>
      </c>
      <c r="K3028" t="s">
        <v>36</v>
      </c>
      <c r="N3028" t="s">
        <v>32</v>
      </c>
      <c r="O3028">
        <v>19</v>
      </c>
      <c r="R3028" s="11">
        <v>1.8518518518518518E-4</v>
      </c>
      <c r="S3028" t="s">
        <v>37</v>
      </c>
      <c r="T3028" t="str">
        <f>IF(Tabela1[[#This Row],[STATUS_NEGOCIO]]="Enviar E-mail",1,"")</f>
        <v/>
      </c>
      <c r="U3028" t="str">
        <f>TEXT(Tabela1[[#This Row],[DATA]],"dd/mm/aaaa")</f>
        <v>27/05/2026</v>
      </c>
    </row>
    <row r="3029" spans="1:21" x14ac:dyDescent="0.25">
      <c r="A3029" s="9">
        <v>46169.383298611108</v>
      </c>
      <c r="B3029" t="s">
        <v>19</v>
      </c>
      <c r="C3029" t="s">
        <v>20</v>
      </c>
      <c r="E3029"/>
      <c r="F3029">
        <v>2779044036</v>
      </c>
      <c r="G3029" s="10">
        <v>17798839173521</v>
      </c>
      <c r="H3029" t="s">
        <v>28</v>
      </c>
      <c r="I3029" t="s">
        <v>248</v>
      </c>
      <c r="J3029" t="s">
        <v>30</v>
      </c>
      <c r="K3029" t="s">
        <v>36</v>
      </c>
      <c r="N3029" t="s">
        <v>32</v>
      </c>
      <c r="O3029">
        <v>19</v>
      </c>
      <c r="R3029" s="11">
        <v>1.1574074074074075E-4</v>
      </c>
      <c r="S3029" t="s">
        <v>37</v>
      </c>
      <c r="T3029" t="str">
        <f>IF(Tabela1[[#This Row],[STATUS_NEGOCIO]]="Enviar E-mail",1,"")</f>
        <v/>
      </c>
      <c r="U3029" t="str">
        <f>TEXT(Tabela1[[#This Row],[DATA]],"dd/mm/aaaa")</f>
        <v>27/05/2026</v>
      </c>
    </row>
    <row r="3030" spans="1:21" x14ac:dyDescent="0.25">
      <c r="A3030" s="9">
        <v>46169.384571759256</v>
      </c>
      <c r="B3030" t="s">
        <v>19</v>
      </c>
      <c r="C3030" t="s">
        <v>20</v>
      </c>
      <c r="E3030"/>
      <c r="F3030">
        <v>2761338493</v>
      </c>
      <c r="G3030" s="10">
        <v>17798840273801</v>
      </c>
      <c r="H3030" t="s">
        <v>28</v>
      </c>
      <c r="I3030" t="s">
        <v>255</v>
      </c>
      <c r="J3030" t="s">
        <v>30</v>
      </c>
      <c r="K3030" t="s">
        <v>23</v>
      </c>
      <c r="L3030" t="s">
        <v>31</v>
      </c>
      <c r="N3030" t="s">
        <v>32</v>
      </c>
      <c r="O3030">
        <v>16</v>
      </c>
      <c r="R3030" s="11">
        <v>2.199074074074074E-4</v>
      </c>
      <c r="S3030" s="11">
        <v>3.4722222222222222E-5</v>
      </c>
      <c r="T3030" t="str">
        <f>IF(Tabela1[[#This Row],[STATUS_NEGOCIO]]="Enviar E-mail",1,"")</f>
        <v/>
      </c>
      <c r="U3030" t="str">
        <f>TEXT(Tabela1[[#This Row],[DATA]],"dd/mm/aaaa")</f>
        <v>27/05/2026</v>
      </c>
    </row>
    <row r="3031" spans="1:21" x14ac:dyDescent="0.25">
      <c r="A3031" s="9">
        <v>46169.38554398148</v>
      </c>
      <c r="B3031" t="s">
        <v>19</v>
      </c>
      <c r="C3031" t="s">
        <v>20</v>
      </c>
      <c r="E3031"/>
      <c r="F3031">
        <v>2771929932</v>
      </c>
      <c r="G3031" s="10">
        <v>17798841114111</v>
      </c>
      <c r="H3031" t="s">
        <v>28</v>
      </c>
      <c r="I3031" t="s">
        <v>73</v>
      </c>
      <c r="J3031" t="s">
        <v>30</v>
      </c>
      <c r="K3031" t="s">
        <v>23</v>
      </c>
      <c r="L3031" t="s">
        <v>44</v>
      </c>
      <c r="N3031" t="s">
        <v>32</v>
      </c>
      <c r="O3031">
        <v>16</v>
      </c>
      <c r="R3031" s="11">
        <v>2.6620370370370372E-4</v>
      </c>
      <c r="S3031" s="11">
        <v>1.1574074074074073E-5</v>
      </c>
      <c r="T3031" t="str">
        <f>IF(Tabela1[[#This Row],[STATUS_NEGOCIO]]="Enviar E-mail",1,"")</f>
        <v/>
      </c>
      <c r="U3031" t="str">
        <f>TEXT(Tabela1[[#This Row],[DATA]],"dd/mm/aaaa")</f>
        <v>27/05/2026</v>
      </c>
    </row>
    <row r="3032" spans="1:21" x14ac:dyDescent="0.25">
      <c r="A3032" s="9">
        <v>46169.386504629627</v>
      </c>
      <c r="B3032" t="s">
        <v>19</v>
      </c>
      <c r="C3032" t="s">
        <v>27</v>
      </c>
      <c r="E3032"/>
      <c r="F3032">
        <v>2761239520</v>
      </c>
      <c r="G3032" s="10">
        <v>17798841454211</v>
      </c>
      <c r="H3032" t="s">
        <v>28</v>
      </c>
      <c r="I3032" t="s">
        <v>290</v>
      </c>
      <c r="J3032" t="s">
        <v>30</v>
      </c>
      <c r="K3032" t="s">
        <v>62</v>
      </c>
      <c r="N3032" t="s">
        <v>26</v>
      </c>
      <c r="O3032">
        <v>19</v>
      </c>
      <c r="R3032" s="11">
        <v>1.1574074074074073E-5</v>
      </c>
      <c r="S3032" t="s">
        <v>37</v>
      </c>
      <c r="T3032" t="str">
        <f>IF(Tabela1[[#This Row],[STATUS_NEGOCIO]]="Enviar E-mail",1,"")</f>
        <v/>
      </c>
      <c r="U3032" t="str">
        <f>TEXT(Tabela1[[#This Row],[DATA]],"dd/mm/aaaa")</f>
        <v>27/05/2026</v>
      </c>
    </row>
    <row r="3033" spans="1:21" x14ac:dyDescent="0.25">
      <c r="A3033" s="9">
        <v>46169.386724537035</v>
      </c>
      <c r="B3033" t="s">
        <v>19</v>
      </c>
      <c r="C3033" t="s">
        <v>20</v>
      </c>
      <c r="E3033"/>
      <c r="F3033">
        <v>2779317055</v>
      </c>
      <c r="G3033" s="10">
        <v>17798842134421</v>
      </c>
      <c r="H3033" t="s">
        <v>28</v>
      </c>
      <c r="I3033" t="s">
        <v>114</v>
      </c>
      <c r="J3033" t="s">
        <v>30</v>
      </c>
      <c r="K3033" t="s">
        <v>36</v>
      </c>
      <c r="N3033" t="s">
        <v>32</v>
      </c>
      <c r="O3033">
        <v>19</v>
      </c>
      <c r="R3033" s="11">
        <v>1.0416666666666667E-4</v>
      </c>
      <c r="S3033" t="s">
        <v>37</v>
      </c>
      <c r="T3033" t="str">
        <f>IF(Tabela1[[#This Row],[STATUS_NEGOCIO]]="Enviar E-mail",1,"")</f>
        <v/>
      </c>
      <c r="U3033" t="str">
        <f>TEXT(Tabela1[[#This Row],[DATA]],"dd/mm/aaaa")</f>
        <v>27/05/2026</v>
      </c>
    </row>
    <row r="3034" spans="1:21" x14ac:dyDescent="0.25">
      <c r="A3034" s="9">
        <v>46169.386886574073</v>
      </c>
      <c r="B3034" t="s">
        <v>19</v>
      </c>
      <c r="C3034" t="s">
        <v>20</v>
      </c>
      <c r="E3034"/>
      <c r="F3034">
        <v>2779317069</v>
      </c>
      <c r="G3034" s="10">
        <v>17798842274491</v>
      </c>
      <c r="H3034" t="s">
        <v>28</v>
      </c>
      <c r="I3034" t="s">
        <v>114</v>
      </c>
      <c r="J3034" t="s">
        <v>30</v>
      </c>
      <c r="K3034" t="s">
        <v>36</v>
      </c>
      <c r="N3034" t="s">
        <v>32</v>
      </c>
      <c r="O3034">
        <v>19</v>
      </c>
      <c r="R3034" s="11">
        <v>5.7870370370370373E-5</v>
      </c>
      <c r="S3034" t="s">
        <v>37</v>
      </c>
      <c r="T3034" t="str">
        <f>IF(Tabela1[[#This Row],[STATUS_NEGOCIO]]="Enviar E-mail",1,"")</f>
        <v/>
      </c>
      <c r="U3034" t="str">
        <f>TEXT(Tabela1[[#This Row],[DATA]],"dd/mm/aaaa")</f>
        <v>27/05/2026</v>
      </c>
    </row>
    <row r="3035" spans="1:21" x14ac:dyDescent="0.25">
      <c r="A3035" s="9">
        <v>46169.386921296296</v>
      </c>
      <c r="B3035" t="s">
        <v>19</v>
      </c>
      <c r="C3035" t="s">
        <v>27</v>
      </c>
      <c r="E3035"/>
      <c r="F3035">
        <v>2761239605</v>
      </c>
      <c r="G3035" s="10">
        <v>17798842304511</v>
      </c>
      <c r="H3035" t="s">
        <v>28</v>
      </c>
      <c r="I3035" t="s">
        <v>290</v>
      </c>
      <c r="J3035" t="s">
        <v>30</v>
      </c>
      <c r="K3035" t="s">
        <v>36</v>
      </c>
      <c r="N3035" t="s">
        <v>32</v>
      </c>
      <c r="O3035">
        <v>19</v>
      </c>
      <c r="R3035" s="11">
        <v>4.9768518518518521E-4</v>
      </c>
      <c r="S3035" t="s">
        <v>37</v>
      </c>
      <c r="T3035" t="str">
        <f>IF(Tabela1[[#This Row],[STATUS_NEGOCIO]]="Enviar E-mail",1,"")</f>
        <v/>
      </c>
      <c r="U3035" t="str">
        <f>TEXT(Tabela1[[#This Row],[DATA]],"dd/mm/aaaa")</f>
        <v>27/05/2026</v>
      </c>
    </row>
    <row r="3036" spans="1:21" x14ac:dyDescent="0.25">
      <c r="A3036" s="9">
        <v>46169.387303240743</v>
      </c>
      <c r="B3036" t="s">
        <v>19</v>
      </c>
      <c r="C3036" t="s">
        <v>20</v>
      </c>
      <c r="E3036"/>
      <c r="F3036">
        <v>2764041130</v>
      </c>
      <c r="G3036" s="10">
        <v>17798842634581</v>
      </c>
      <c r="H3036" t="s">
        <v>28</v>
      </c>
      <c r="I3036" t="s">
        <v>214</v>
      </c>
      <c r="J3036" t="s">
        <v>30</v>
      </c>
      <c r="K3036" t="s">
        <v>36</v>
      </c>
      <c r="N3036" t="s">
        <v>32</v>
      </c>
      <c r="O3036">
        <v>19</v>
      </c>
      <c r="R3036" s="11">
        <v>3.9351851851851852E-4</v>
      </c>
      <c r="S3036" t="s">
        <v>37</v>
      </c>
      <c r="T3036" t="str">
        <f>IF(Tabela1[[#This Row],[STATUS_NEGOCIO]]="Enviar E-mail",1,"")</f>
        <v/>
      </c>
      <c r="U3036" t="str">
        <f>TEXT(Tabela1[[#This Row],[DATA]],"dd/mm/aaaa")</f>
        <v>27/05/2026</v>
      </c>
    </row>
    <row r="3037" spans="1:21" x14ac:dyDescent="0.25">
      <c r="A3037" s="9">
        <v>46169.388078703705</v>
      </c>
      <c r="B3037" t="s">
        <v>19</v>
      </c>
      <c r="C3037" t="s">
        <v>27</v>
      </c>
      <c r="E3037"/>
      <c r="F3037">
        <v>2761239656</v>
      </c>
      <c r="G3037" s="10">
        <v>17798842814611</v>
      </c>
      <c r="H3037" t="s">
        <v>28</v>
      </c>
      <c r="I3037" t="s">
        <v>290</v>
      </c>
      <c r="J3037" t="s">
        <v>30</v>
      </c>
      <c r="K3037" t="s">
        <v>62</v>
      </c>
      <c r="N3037" t="s">
        <v>26</v>
      </c>
      <c r="O3037">
        <v>19</v>
      </c>
      <c r="R3037" s="11">
        <v>1.1574074074074073E-5</v>
      </c>
      <c r="S3037" t="s">
        <v>37</v>
      </c>
      <c r="T3037" t="str">
        <f>IF(Tabela1[[#This Row],[STATUS_NEGOCIO]]="Enviar E-mail",1,"")</f>
        <v/>
      </c>
      <c r="U3037" t="str">
        <f>TEXT(Tabela1[[#This Row],[DATA]],"dd/mm/aaaa")</f>
        <v>27/05/2026</v>
      </c>
    </row>
    <row r="3038" spans="1:21" x14ac:dyDescent="0.25">
      <c r="A3038" s="9">
        <v>46169.388796296298</v>
      </c>
      <c r="B3038" t="s">
        <v>19</v>
      </c>
      <c r="C3038" t="s">
        <v>20</v>
      </c>
      <c r="E3038"/>
      <c r="F3038">
        <v>1853412229</v>
      </c>
      <c r="G3038" s="10">
        <v>17798843924721</v>
      </c>
      <c r="H3038" t="s">
        <v>28</v>
      </c>
      <c r="I3038" t="s">
        <v>220</v>
      </c>
      <c r="J3038" t="s">
        <v>30</v>
      </c>
      <c r="K3038" t="s">
        <v>36</v>
      </c>
      <c r="N3038" t="s">
        <v>26</v>
      </c>
      <c r="O3038">
        <v>1</v>
      </c>
      <c r="R3038" s="11">
        <v>1.1574074074074073E-5</v>
      </c>
      <c r="S3038" t="s">
        <v>37</v>
      </c>
      <c r="T3038" t="str">
        <f>IF(Tabela1[[#This Row],[STATUS_NEGOCIO]]="Enviar E-mail",1,"")</f>
        <v/>
      </c>
      <c r="U3038" t="str">
        <f>TEXT(Tabela1[[#This Row],[DATA]],"dd/mm/aaaa")</f>
        <v>27/05/2026</v>
      </c>
    </row>
    <row r="3039" spans="1:21" x14ac:dyDescent="0.25">
      <c r="A3039" s="9">
        <v>46169.388888888891</v>
      </c>
      <c r="B3039" t="s">
        <v>19</v>
      </c>
      <c r="C3039" t="s">
        <v>20</v>
      </c>
      <c r="E3039"/>
      <c r="F3039">
        <v>2753412239</v>
      </c>
      <c r="G3039" s="10">
        <v>17798844004821</v>
      </c>
      <c r="H3039" t="s">
        <v>28</v>
      </c>
      <c r="I3039" t="s">
        <v>220</v>
      </c>
      <c r="J3039" t="s">
        <v>30</v>
      </c>
      <c r="K3039" t="s">
        <v>134</v>
      </c>
      <c r="N3039" t="s">
        <v>32</v>
      </c>
      <c r="O3039">
        <v>16</v>
      </c>
      <c r="R3039" s="11">
        <v>0</v>
      </c>
      <c r="S3039" t="s">
        <v>37</v>
      </c>
      <c r="T3039" t="str">
        <f>IF(Tabela1[[#This Row],[STATUS_NEGOCIO]]="Enviar E-mail",1,"")</f>
        <v/>
      </c>
      <c r="U3039" t="str">
        <f>TEXT(Tabela1[[#This Row],[DATA]],"dd/mm/aaaa")</f>
        <v>27/05/2026</v>
      </c>
    </row>
    <row r="3040" spans="1:21" x14ac:dyDescent="0.25">
      <c r="A3040" s="9">
        <v>46169.389398148145</v>
      </c>
      <c r="B3040" t="s">
        <v>19</v>
      </c>
      <c r="C3040" t="s">
        <v>20</v>
      </c>
      <c r="E3040"/>
      <c r="F3040">
        <v>2778216288</v>
      </c>
      <c r="G3040" s="10">
        <v>17798844444841</v>
      </c>
      <c r="H3040" t="s">
        <v>28</v>
      </c>
      <c r="I3040" t="s">
        <v>534</v>
      </c>
      <c r="J3040" t="s">
        <v>30</v>
      </c>
      <c r="K3040" t="s">
        <v>23</v>
      </c>
      <c r="L3040" t="s">
        <v>31</v>
      </c>
      <c r="N3040" t="s">
        <v>32</v>
      </c>
      <c r="O3040">
        <v>16</v>
      </c>
      <c r="R3040" s="11">
        <v>1.0416666666666667E-4</v>
      </c>
      <c r="S3040" s="11">
        <v>1.1574074074074073E-5</v>
      </c>
      <c r="T3040" t="str">
        <f>IF(Tabela1[[#This Row],[STATUS_NEGOCIO]]="Enviar E-mail",1,"")</f>
        <v/>
      </c>
      <c r="U3040" t="str">
        <f>TEXT(Tabela1[[#This Row],[DATA]],"dd/mm/aaaa")</f>
        <v>27/05/2026</v>
      </c>
    </row>
    <row r="3041" spans="1:21" x14ac:dyDescent="0.25">
      <c r="A3041" s="9">
        <v>46169.38962962963</v>
      </c>
      <c r="B3041" t="s">
        <v>19</v>
      </c>
      <c r="C3041" t="s">
        <v>27</v>
      </c>
      <c r="E3041"/>
      <c r="F3041">
        <v>2761257649</v>
      </c>
      <c r="G3041" s="10">
        <v>17798844534861</v>
      </c>
      <c r="H3041" t="s">
        <v>28</v>
      </c>
      <c r="I3041" t="s">
        <v>67</v>
      </c>
      <c r="J3041" t="s">
        <v>30</v>
      </c>
      <c r="K3041" t="s">
        <v>62</v>
      </c>
      <c r="N3041" t="s">
        <v>26</v>
      </c>
      <c r="O3041">
        <v>17</v>
      </c>
      <c r="R3041" s="11">
        <v>1.1574074074074073E-5</v>
      </c>
      <c r="S3041" t="s">
        <v>37</v>
      </c>
      <c r="T3041" t="str">
        <f>IF(Tabela1[[#This Row],[STATUS_NEGOCIO]]="Enviar E-mail",1,"")</f>
        <v/>
      </c>
      <c r="U3041" t="str">
        <f>TEXT(Tabela1[[#This Row],[DATA]],"dd/mm/aaaa")</f>
        <v>27/05/2026</v>
      </c>
    </row>
    <row r="3042" spans="1:21" x14ac:dyDescent="0.25">
      <c r="A3042" s="9">
        <v>46169.389976851853</v>
      </c>
      <c r="B3042" t="s">
        <v>19</v>
      </c>
      <c r="C3042" t="s">
        <v>27</v>
      </c>
      <c r="E3042"/>
      <c r="F3042">
        <v>2761257681</v>
      </c>
      <c r="G3042" s="10">
        <v>17798844854951</v>
      </c>
      <c r="H3042" t="s">
        <v>28</v>
      </c>
      <c r="I3042" t="s">
        <v>67</v>
      </c>
      <c r="J3042" t="s">
        <v>30</v>
      </c>
      <c r="K3042" t="s">
        <v>62</v>
      </c>
      <c r="N3042" t="s">
        <v>26</v>
      </c>
      <c r="O3042">
        <v>17</v>
      </c>
      <c r="R3042" s="11">
        <v>1.1574074074074073E-5</v>
      </c>
      <c r="S3042" t="s">
        <v>37</v>
      </c>
      <c r="T3042" t="str">
        <f>IF(Tabela1[[#This Row],[STATUS_NEGOCIO]]="Enviar E-mail",1,"")</f>
        <v/>
      </c>
      <c r="U3042" t="str">
        <f>TEXT(Tabela1[[#This Row],[DATA]],"dd/mm/aaaa")</f>
        <v>27/05/2026</v>
      </c>
    </row>
    <row r="3043" spans="1:21" x14ac:dyDescent="0.25">
      <c r="A3043" s="9">
        <v>46169.390185185184</v>
      </c>
      <c r="B3043" t="s">
        <v>19</v>
      </c>
      <c r="C3043" t="s">
        <v>20</v>
      </c>
      <c r="E3043"/>
      <c r="F3043">
        <v>2744657330</v>
      </c>
      <c r="G3043" s="10">
        <v>17798845124991</v>
      </c>
      <c r="H3043" t="s">
        <v>28</v>
      </c>
      <c r="I3043" t="s">
        <v>244</v>
      </c>
      <c r="J3043" t="s">
        <v>30</v>
      </c>
      <c r="K3043" t="s">
        <v>23</v>
      </c>
      <c r="L3043" t="s">
        <v>31</v>
      </c>
      <c r="N3043" t="s">
        <v>32</v>
      </c>
      <c r="O3043">
        <v>16</v>
      </c>
      <c r="R3043" s="11">
        <v>3.3564814814814812E-4</v>
      </c>
      <c r="S3043" s="11">
        <v>2.3148148148148147E-5</v>
      </c>
      <c r="T3043" t="str">
        <f>IF(Tabela1[[#This Row],[STATUS_NEGOCIO]]="Enviar E-mail",1,"")</f>
        <v/>
      </c>
      <c r="U3043" t="str">
        <f>TEXT(Tabela1[[#This Row],[DATA]],"dd/mm/aaaa")</f>
        <v>27/05/2026</v>
      </c>
    </row>
    <row r="3044" spans="1:21" x14ac:dyDescent="0.25">
      <c r="A3044" s="9">
        <v>46169.390543981484</v>
      </c>
      <c r="B3044" t="s">
        <v>19</v>
      </c>
      <c r="C3044" t="s">
        <v>27</v>
      </c>
      <c r="E3044"/>
      <c r="F3044">
        <v>2761257731</v>
      </c>
      <c r="G3044" s="10">
        <v>17798845355051</v>
      </c>
      <c r="H3044" t="s">
        <v>28</v>
      </c>
      <c r="I3044" t="s">
        <v>67</v>
      </c>
      <c r="J3044" t="s">
        <v>30</v>
      </c>
      <c r="K3044" t="s">
        <v>62</v>
      </c>
      <c r="N3044" t="s">
        <v>26</v>
      </c>
      <c r="O3044">
        <v>17</v>
      </c>
      <c r="R3044" s="11">
        <v>1.1574074074074073E-5</v>
      </c>
      <c r="S3044" t="s">
        <v>37</v>
      </c>
      <c r="T3044" t="str">
        <f>IF(Tabela1[[#This Row],[STATUS_NEGOCIO]]="Enviar E-mail",1,"")</f>
        <v/>
      </c>
      <c r="U3044" t="str">
        <f>TEXT(Tabela1[[#This Row],[DATA]],"dd/mm/aaaa")</f>
        <v>27/05/2026</v>
      </c>
    </row>
    <row r="3045" spans="1:21" x14ac:dyDescent="0.25">
      <c r="A3045" s="9">
        <v>46169.391689814816</v>
      </c>
      <c r="B3045" t="s">
        <v>19</v>
      </c>
      <c r="C3045" t="s">
        <v>20</v>
      </c>
      <c r="E3045"/>
      <c r="F3045">
        <v>2778474744</v>
      </c>
      <c r="G3045" s="10">
        <v>17798846425161</v>
      </c>
      <c r="H3045" t="s">
        <v>28</v>
      </c>
      <c r="I3045" t="s">
        <v>118</v>
      </c>
      <c r="J3045" t="s">
        <v>30</v>
      </c>
      <c r="K3045" t="s">
        <v>36</v>
      </c>
      <c r="N3045" t="s">
        <v>32</v>
      </c>
      <c r="O3045">
        <v>19</v>
      </c>
      <c r="R3045" s="11">
        <v>8.1018518518518516E-5</v>
      </c>
      <c r="S3045" t="s">
        <v>37</v>
      </c>
      <c r="T3045" t="str">
        <f>IF(Tabela1[[#This Row],[STATUS_NEGOCIO]]="Enviar E-mail",1,"")</f>
        <v/>
      </c>
      <c r="U3045" t="str">
        <f>TEXT(Tabela1[[#This Row],[DATA]],"dd/mm/aaaa")</f>
        <v>27/05/2026</v>
      </c>
    </row>
    <row r="3046" spans="1:21" x14ac:dyDescent="0.25">
      <c r="A3046" s="9">
        <v>46169.39234953704</v>
      </c>
      <c r="B3046" t="s">
        <v>19</v>
      </c>
      <c r="C3046" t="s">
        <v>27</v>
      </c>
      <c r="E3046"/>
      <c r="F3046">
        <v>2761257886</v>
      </c>
      <c r="G3046" s="10">
        <v>17798846905191</v>
      </c>
      <c r="H3046" t="s">
        <v>28</v>
      </c>
      <c r="I3046" t="s">
        <v>67</v>
      </c>
      <c r="J3046" t="s">
        <v>30</v>
      </c>
      <c r="K3046" t="s">
        <v>62</v>
      </c>
      <c r="N3046" t="s">
        <v>26</v>
      </c>
      <c r="O3046">
        <v>17</v>
      </c>
      <c r="R3046" s="11">
        <v>1.1574074074074073E-5</v>
      </c>
      <c r="S3046" t="s">
        <v>37</v>
      </c>
      <c r="T3046" t="str">
        <f>IF(Tabela1[[#This Row],[STATUS_NEGOCIO]]="Enviar E-mail",1,"")</f>
        <v/>
      </c>
      <c r="U3046" t="str">
        <f>TEXT(Tabela1[[#This Row],[DATA]],"dd/mm/aaaa")</f>
        <v>27/05/2026</v>
      </c>
    </row>
    <row r="3047" spans="1:21" x14ac:dyDescent="0.25">
      <c r="A3047" s="9">
        <v>46169.392488425925</v>
      </c>
      <c r="B3047" t="s">
        <v>19</v>
      </c>
      <c r="C3047" t="s">
        <v>20</v>
      </c>
      <c r="E3047"/>
      <c r="F3047">
        <v>2779869707</v>
      </c>
      <c r="G3047" s="10">
        <v>17798847115271</v>
      </c>
      <c r="H3047" t="s">
        <v>28</v>
      </c>
      <c r="I3047" t="s">
        <v>90</v>
      </c>
      <c r="J3047" t="s">
        <v>30</v>
      </c>
      <c r="K3047" t="s">
        <v>23</v>
      </c>
      <c r="L3047" t="s">
        <v>31</v>
      </c>
      <c r="N3047" t="s">
        <v>32</v>
      </c>
      <c r="O3047">
        <v>16</v>
      </c>
      <c r="R3047" s="11">
        <v>8.1018518518518516E-5</v>
      </c>
      <c r="S3047" s="11">
        <v>1.1574074074074073E-5</v>
      </c>
      <c r="T3047" t="str">
        <f>IF(Tabela1[[#This Row],[STATUS_NEGOCIO]]="Enviar E-mail",1,"")</f>
        <v/>
      </c>
      <c r="U3047" t="str">
        <f>TEXT(Tabela1[[#This Row],[DATA]],"dd/mm/aaaa")</f>
        <v>27/05/2026</v>
      </c>
    </row>
    <row r="3048" spans="1:21" x14ac:dyDescent="0.25">
      <c r="A3048" s="9">
        <v>46169.393206018518</v>
      </c>
      <c r="B3048" t="s">
        <v>19</v>
      </c>
      <c r="C3048" t="s">
        <v>20</v>
      </c>
      <c r="E3048"/>
      <c r="F3048">
        <v>2747745076</v>
      </c>
      <c r="G3048" s="10">
        <v>17798847735361</v>
      </c>
      <c r="H3048" t="s">
        <v>28</v>
      </c>
      <c r="I3048" t="s">
        <v>510</v>
      </c>
      <c r="J3048" t="s">
        <v>30</v>
      </c>
      <c r="K3048" t="s">
        <v>23</v>
      </c>
      <c r="L3048" t="s">
        <v>40</v>
      </c>
      <c r="N3048" t="s">
        <v>32</v>
      </c>
      <c r="O3048">
        <v>16</v>
      </c>
      <c r="R3048" s="11">
        <v>4.1087962962962962E-3</v>
      </c>
      <c r="S3048" s="11">
        <v>3.9583333333333337E-3</v>
      </c>
      <c r="T3048">
        <f>IF(Tabela1[[#This Row],[STATUS_NEGOCIO]]="Enviar E-mail",1,"")</f>
        <v>1</v>
      </c>
      <c r="U3048" t="str">
        <f>TEXT(Tabela1[[#This Row],[DATA]],"dd/mm/aaaa")</f>
        <v>27/05/2026</v>
      </c>
    </row>
    <row r="3049" spans="1:21" x14ac:dyDescent="0.25">
      <c r="A3049" s="9">
        <v>46169.393263888887</v>
      </c>
      <c r="B3049" t="s">
        <v>19</v>
      </c>
      <c r="C3049" t="s">
        <v>27</v>
      </c>
      <c r="E3049"/>
      <c r="F3049">
        <v>2767277617</v>
      </c>
      <c r="G3049" s="10">
        <v>17798847785381</v>
      </c>
      <c r="H3049" t="s">
        <v>28</v>
      </c>
      <c r="I3049" t="s">
        <v>310</v>
      </c>
      <c r="J3049" t="s">
        <v>30</v>
      </c>
      <c r="K3049" t="s">
        <v>23</v>
      </c>
      <c r="L3049" t="s">
        <v>265</v>
      </c>
      <c r="N3049" t="s">
        <v>32</v>
      </c>
      <c r="O3049">
        <v>16</v>
      </c>
      <c r="R3049" s="11">
        <v>8.564814814814815E-4</v>
      </c>
      <c r="S3049" s="11">
        <v>4.5138888888888887E-4</v>
      </c>
      <c r="T3049" t="str">
        <f>IF(Tabela1[[#This Row],[STATUS_NEGOCIO]]="Enviar E-mail",1,"")</f>
        <v/>
      </c>
      <c r="U3049" t="str">
        <f>TEXT(Tabela1[[#This Row],[DATA]],"dd/mm/aaaa")</f>
        <v>27/05/2026</v>
      </c>
    </row>
    <row r="3050" spans="1:21" x14ac:dyDescent="0.25">
      <c r="A3050" s="9">
        <v>46169.395601851851</v>
      </c>
      <c r="B3050" t="s">
        <v>19</v>
      </c>
      <c r="C3050" t="s">
        <v>27</v>
      </c>
      <c r="E3050"/>
      <c r="F3050">
        <v>2747246114</v>
      </c>
      <c r="G3050" s="10">
        <v>17798849805751</v>
      </c>
      <c r="H3050" t="s">
        <v>28</v>
      </c>
      <c r="I3050" t="s">
        <v>311</v>
      </c>
      <c r="J3050" t="s">
        <v>30</v>
      </c>
      <c r="K3050" t="s">
        <v>23</v>
      </c>
      <c r="L3050" t="s">
        <v>31</v>
      </c>
      <c r="N3050" t="s">
        <v>32</v>
      </c>
      <c r="O3050">
        <v>16</v>
      </c>
      <c r="R3050" s="11">
        <v>6.7129629629629625E-4</v>
      </c>
      <c r="S3050" s="11">
        <v>6.3657407407407413E-4</v>
      </c>
      <c r="T3050" t="str">
        <f>IF(Tabela1[[#This Row],[STATUS_NEGOCIO]]="Enviar E-mail",1,"")</f>
        <v/>
      </c>
      <c r="U3050" t="str">
        <f>TEXT(Tabela1[[#This Row],[DATA]],"dd/mm/aaaa")</f>
        <v>27/05/2026</v>
      </c>
    </row>
    <row r="3051" spans="1:21" x14ac:dyDescent="0.25">
      <c r="A3051" s="9">
        <v>46169.396863425929</v>
      </c>
      <c r="B3051" t="s">
        <v>19</v>
      </c>
      <c r="C3051" t="s">
        <v>27</v>
      </c>
      <c r="E3051"/>
      <c r="F3051">
        <v>2761689986</v>
      </c>
      <c r="G3051" s="10">
        <v>17798850895781</v>
      </c>
      <c r="H3051" t="s">
        <v>28</v>
      </c>
      <c r="I3051" t="s">
        <v>213</v>
      </c>
      <c r="J3051" t="s">
        <v>30</v>
      </c>
      <c r="K3051" t="s">
        <v>23</v>
      </c>
      <c r="L3051" t="s">
        <v>31</v>
      </c>
      <c r="N3051" t="s">
        <v>32</v>
      </c>
      <c r="O3051">
        <v>16</v>
      </c>
      <c r="R3051" s="11">
        <v>4.9768518518518521E-4</v>
      </c>
      <c r="S3051" s="11">
        <v>2.5462962962962961E-4</v>
      </c>
      <c r="T3051" t="str">
        <f>IF(Tabela1[[#This Row],[STATUS_NEGOCIO]]="Enviar E-mail",1,"")</f>
        <v/>
      </c>
      <c r="U3051" t="str">
        <f>TEXT(Tabela1[[#This Row],[DATA]],"dd/mm/aaaa")</f>
        <v>27/05/2026</v>
      </c>
    </row>
    <row r="3052" spans="1:21" x14ac:dyDescent="0.25">
      <c r="A3052" s="9">
        <v>46169.398229166669</v>
      </c>
      <c r="B3052" t="s">
        <v>19</v>
      </c>
      <c r="C3052" t="s">
        <v>27</v>
      </c>
      <c r="E3052"/>
      <c r="F3052">
        <v>2779416756</v>
      </c>
      <c r="G3052" s="10">
        <v>17798852075951</v>
      </c>
      <c r="H3052" t="s">
        <v>28</v>
      </c>
      <c r="I3052" t="s">
        <v>208</v>
      </c>
      <c r="J3052" t="s">
        <v>30</v>
      </c>
      <c r="K3052" t="s">
        <v>23</v>
      </c>
      <c r="L3052" t="s">
        <v>31</v>
      </c>
      <c r="N3052" t="s">
        <v>32</v>
      </c>
      <c r="O3052">
        <v>16</v>
      </c>
      <c r="R3052" s="11">
        <v>1.1689814814814816E-3</v>
      </c>
      <c r="S3052" s="11">
        <v>9.2592592592592596E-4</v>
      </c>
      <c r="T3052" t="str">
        <f>IF(Tabela1[[#This Row],[STATUS_NEGOCIO]]="Enviar E-mail",1,"")</f>
        <v/>
      </c>
      <c r="U3052" t="str">
        <f>TEXT(Tabela1[[#This Row],[DATA]],"dd/mm/aaaa")</f>
        <v>27/05/2026</v>
      </c>
    </row>
    <row r="3053" spans="1:21" x14ac:dyDescent="0.25">
      <c r="A3053" s="9">
        <v>46169.400023148148</v>
      </c>
      <c r="B3053" t="s">
        <v>19</v>
      </c>
      <c r="C3053" t="s">
        <v>27</v>
      </c>
      <c r="E3053"/>
      <c r="F3053">
        <v>2744410090</v>
      </c>
      <c r="G3053" s="10">
        <v>17798853626081</v>
      </c>
      <c r="H3053" t="s">
        <v>28</v>
      </c>
      <c r="I3053" t="s">
        <v>336</v>
      </c>
      <c r="J3053" t="s">
        <v>30</v>
      </c>
      <c r="K3053" t="s">
        <v>23</v>
      </c>
      <c r="L3053" t="s">
        <v>31</v>
      </c>
      <c r="N3053" t="s">
        <v>26</v>
      </c>
      <c r="O3053">
        <v>16</v>
      </c>
      <c r="R3053" s="11">
        <v>2.5462962962962965E-3</v>
      </c>
      <c r="S3053" s="11">
        <v>2.1180555555555558E-3</v>
      </c>
      <c r="T3053" t="str">
        <f>IF(Tabela1[[#This Row],[STATUS_NEGOCIO]]="Enviar E-mail",1,"")</f>
        <v/>
      </c>
      <c r="U3053" t="str">
        <f>TEXT(Tabela1[[#This Row],[DATA]],"dd/mm/aaaa")</f>
        <v>27/05/2026</v>
      </c>
    </row>
    <row r="3054" spans="1:21" x14ac:dyDescent="0.25">
      <c r="A3054" s="9">
        <v>46169.400520833333</v>
      </c>
      <c r="B3054" t="s">
        <v>19</v>
      </c>
      <c r="C3054" t="s">
        <v>20</v>
      </c>
      <c r="E3054"/>
      <c r="F3054">
        <v>2772763877</v>
      </c>
      <c r="G3054" s="10">
        <v>17798854056261</v>
      </c>
      <c r="H3054" t="s">
        <v>28</v>
      </c>
      <c r="I3054" t="s">
        <v>81</v>
      </c>
      <c r="J3054" t="s">
        <v>30</v>
      </c>
      <c r="K3054" t="s">
        <v>23</v>
      </c>
      <c r="L3054" t="s">
        <v>100</v>
      </c>
      <c r="N3054" t="s">
        <v>26</v>
      </c>
      <c r="O3054">
        <v>16</v>
      </c>
      <c r="R3054" s="11">
        <v>2.7777777777777779E-3</v>
      </c>
      <c r="S3054" s="11">
        <v>2.5694444444444445E-3</v>
      </c>
      <c r="T3054" t="str">
        <f>IF(Tabela1[[#This Row],[STATUS_NEGOCIO]]="Enviar E-mail",1,"")</f>
        <v/>
      </c>
      <c r="U3054" t="str">
        <f>TEXT(Tabela1[[#This Row],[DATA]],"dd/mm/aaaa")</f>
        <v>27/05/2026</v>
      </c>
    </row>
    <row r="3055" spans="1:21" x14ac:dyDescent="0.25">
      <c r="A3055" s="9">
        <v>46169.406782407408</v>
      </c>
      <c r="B3055" t="s">
        <v>19</v>
      </c>
      <c r="C3055" t="s">
        <v>27</v>
      </c>
      <c r="E3055"/>
      <c r="F3055">
        <v>2761458129</v>
      </c>
      <c r="G3055" s="10">
        <v>17798859467181</v>
      </c>
      <c r="H3055" t="s">
        <v>28</v>
      </c>
      <c r="I3055" t="s">
        <v>202</v>
      </c>
      <c r="J3055" t="s">
        <v>30</v>
      </c>
      <c r="K3055" t="s">
        <v>23</v>
      </c>
      <c r="L3055" t="s">
        <v>31</v>
      </c>
      <c r="N3055" t="s">
        <v>32</v>
      </c>
      <c r="O3055">
        <v>16</v>
      </c>
      <c r="R3055" s="11">
        <v>5.2083333333333333E-4</v>
      </c>
      <c r="S3055" s="11">
        <v>3.5879629629629629E-4</v>
      </c>
      <c r="T3055" t="str">
        <f>IF(Tabela1[[#This Row],[STATUS_NEGOCIO]]="Enviar E-mail",1,"")</f>
        <v/>
      </c>
      <c r="U3055" t="str">
        <f>TEXT(Tabela1[[#This Row],[DATA]],"dd/mm/aaaa")</f>
        <v>27/05/2026</v>
      </c>
    </row>
    <row r="3056" spans="1:21" x14ac:dyDescent="0.25">
      <c r="A3056" s="9">
        <v>46169.407337962963</v>
      </c>
      <c r="B3056" t="s">
        <v>19</v>
      </c>
      <c r="C3056" t="s">
        <v>20</v>
      </c>
      <c r="E3056"/>
      <c r="F3056">
        <v>2778220316</v>
      </c>
      <c r="G3056" s="10">
        <v>17798859947211</v>
      </c>
      <c r="H3056" t="s">
        <v>28</v>
      </c>
      <c r="I3056" t="s">
        <v>184</v>
      </c>
      <c r="J3056" t="s">
        <v>30</v>
      </c>
      <c r="K3056" t="s">
        <v>36</v>
      </c>
      <c r="N3056" t="s">
        <v>32</v>
      </c>
      <c r="O3056">
        <v>19</v>
      </c>
      <c r="R3056" s="11">
        <v>4.1666666666666669E-4</v>
      </c>
      <c r="S3056" t="s">
        <v>37</v>
      </c>
      <c r="T3056" t="str">
        <f>IF(Tabela1[[#This Row],[STATUS_NEGOCIO]]="Enviar E-mail",1,"")</f>
        <v/>
      </c>
      <c r="U3056" t="str">
        <f>TEXT(Tabela1[[#This Row],[DATA]],"dd/mm/aaaa")</f>
        <v>27/05/2026</v>
      </c>
    </row>
    <row r="3057" spans="1:21" x14ac:dyDescent="0.25">
      <c r="A3057" s="9">
        <v>46169.408020833333</v>
      </c>
      <c r="B3057" t="s">
        <v>19</v>
      </c>
      <c r="C3057" t="s">
        <v>27</v>
      </c>
      <c r="E3057"/>
      <c r="F3057">
        <v>2712754650</v>
      </c>
      <c r="G3057" s="10">
        <v>17798860037231</v>
      </c>
      <c r="H3057" t="s">
        <v>28</v>
      </c>
      <c r="I3057" t="s">
        <v>83</v>
      </c>
      <c r="J3057" t="s">
        <v>30</v>
      </c>
      <c r="K3057" t="s">
        <v>62</v>
      </c>
      <c r="N3057" t="s">
        <v>26</v>
      </c>
      <c r="O3057">
        <v>19</v>
      </c>
      <c r="R3057" s="11">
        <v>1.1574074074074073E-5</v>
      </c>
      <c r="S3057" t="s">
        <v>37</v>
      </c>
      <c r="T3057" t="str">
        <f>IF(Tabela1[[#This Row],[STATUS_NEGOCIO]]="Enviar E-mail",1,"")</f>
        <v/>
      </c>
      <c r="U3057" t="str">
        <f>TEXT(Tabela1[[#This Row],[DATA]],"dd/mm/aaaa")</f>
        <v>27/05/2026</v>
      </c>
    </row>
    <row r="3058" spans="1:21" x14ac:dyDescent="0.25">
      <c r="A3058" s="9">
        <v>46169.408194444448</v>
      </c>
      <c r="B3058" t="s">
        <v>19</v>
      </c>
      <c r="C3058" t="s">
        <v>27</v>
      </c>
      <c r="E3058"/>
      <c r="F3058">
        <v>2712754715</v>
      </c>
      <c r="G3058" s="10">
        <v>17798860687411</v>
      </c>
      <c r="H3058" t="s">
        <v>28</v>
      </c>
      <c r="I3058" t="s">
        <v>83</v>
      </c>
      <c r="J3058" t="s">
        <v>30</v>
      </c>
      <c r="K3058" t="s">
        <v>23</v>
      </c>
      <c r="L3058" t="s">
        <v>31</v>
      </c>
      <c r="N3058" t="s">
        <v>26</v>
      </c>
      <c r="O3058">
        <v>16</v>
      </c>
      <c r="R3058" s="11">
        <v>5.2083333333333333E-4</v>
      </c>
      <c r="S3058" s="11">
        <v>5.7870370370370373E-5</v>
      </c>
      <c r="T3058" t="str">
        <f>IF(Tabela1[[#This Row],[STATUS_NEGOCIO]]="Enviar E-mail",1,"")</f>
        <v/>
      </c>
      <c r="U3058" t="str">
        <f>TEXT(Tabela1[[#This Row],[DATA]],"dd/mm/aaaa")</f>
        <v>27/05/2026</v>
      </c>
    </row>
    <row r="3059" spans="1:21" x14ac:dyDescent="0.25">
      <c r="A3059" s="9">
        <v>46169.408275462964</v>
      </c>
      <c r="B3059" t="s">
        <v>19</v>
      </c>
      <c r="C3059" t="s">
        <v>20</v>
      </c>
      <c r="E3059"/>
      <c r="F3059">
        <v>2768132116</v>
      </c>
      <c r="G3059" s="10">
        <v>17798860757431</v>
      </c>
      <c r="H3059" t="s">
        <v>28</v>
      </c>
      <c r="I3059" t="s">
        <v>39</v>
      </c>
      <c r="J3059" t="s">
        <v>30</v>
      </c>
      <c r="K3059" t="s">
        <v>36</v>
      </c>
      <c r="N3059" t="s">
        <v>32</v>
      </c>
      <c r="O3059">
        <v>19</v>
      </c>
      <c r="R3059" s="11">
        <v>1.1574074074074075E-4</v>
      </c>
      <c r="S3059" t="s">
        <v>37</v>
      </c>
      <c r="T3059" t="str">
        <f>IF(Tabela1[[#This Row],[STATUS_NEGOCIO]]="Enviar E-mail",1,"")</f>
        <v/>
      </c>
      <c r="U3059" t="str">
        <f>TEXT(Tabela1[[#This Row],[DATA]],"dd/mm/aaaa")</f>
        <v>27/05/2026</v>
      </c>
    </row>
    <row r="3060" spans="1:21" x14ac:dyDescent="0.25">
      <c r="A3060" s="9">
        <v>46169.409085648149</v>
      </c>
      <c r="B3060" t="s">
        <v>19</v>
      </c>
      <c r="C3060" t="s">
        <v>20</v>
      </c>
      <c r="E3060"/>
      <c r="F3060">
        <v>2775013291</v>
      </c>
      <c r="G3060" s="10">
        <v>17798861457731</v>
      </c>
      <c r="H3060" t="s">
        <v>28</v>
      </c>
      <c r="I3060" t="s">
        <v>486</v>
      </c>
      <c r="J3060" t="s">
        <v>30</v>
      </c>
      <c r="K3060" t="s">
        <v>23</v>
      </c>
      <c r="L3060" t="s">
        <v>100</v>
      </c>
      <c r="N3060" t="s">
        <v>32</v>
      </c>
      <c r="O3060">
        <v>16</v>
      </c>
      <c r="R3060" s="11">
        <v>2.1180555555555558E-3</v>
      </c>
      <c r="S3060" s="11">
        <v>2.0254629629629629E-3</v>
      </c>
      <c r="T3060" t="str">
        <f>IF(Tabela1[[#This Row],[STATUS_NEGOCIO]]="Enviar E-mail",1,"")</f>
        <v/>
      </c>
      <c r="U3060" t="str">
        <f>TEXT(Tabela1[[#This Row],[DATA]],"dd/mm/aaaa")</f>
        <v>27/05/2026</v>
      </c>
    </row>
    <row r="3061" spans="1:21" x14ac:dyDescent="0.25">
      <c r="A3061" s="9">
        <v>46169.409305555557</v>
      </c>
      <c r="B3061" t="s">
        <v>19</v>
      </c>
      <c r="C3061" t="s">
        <v>27</v>
      </c>
      <c r="E3061"/>
      <c r="F3061">
        <v>2768169120</v>
      </c>
      <c r="G3061" s="10">
        <v>17798861647751</v>
      </c>
      <c r="H3061" t="s">
        <v>28</v>
      </c>
      <c r="I3061" t="s">
        <v>247</v>
      </c>
      <c r="J3061" t="s">
        <v>30</v>
      </c>
      <c r="K3061" t="s">
        <v>23</v>
      </c>
      <c r="L3061" t="s">
        <v>106</v>
      </c>
      <c r="N3061" t="s">
        <v>26</v>
      </c>
      <c r="O3061">
        <v>16</v>
      </c>
      <c r="R3061" s="11">
        <v>1.0185185185185184E-3</v>
      </c>
      <c r="S3061" s="11">
        <v>8.9120370370370373E-4</v>
      </c>
      <c r="T3061" t="str">
        <f>IF(Tabela1[[#This Row],[STATUS_NEGOCIO]]="Enviar E-mail",1,"")</f>
        <v/>
      </c>
      <c r="U3061" t="str">
        <f>TEXT(Tabela1[[#This Row],[DATA]],"dd/mm/aaaa")</f>
        <v>27/05/2026</v>
      </c>
    </row>
    <row r="3062" spans="1:21" x14ac:dyDescent="0.25">
      <c r="A3062" s="9">
        <v>46169.412129629629</v>
      </c>
      <c r="B3062" t="s">
        <v>19</v>
      </c>
      <c r="C3062" t="s">
        <v>27</v>
      </c>
      <c r="E3062"/>
      <c r="F3062">
        <v>2779448039</v>
      </c>
      <c r="G3062" s="10">
        <v>17798864088161</v>
      </c>
      <c r="H3062" t="s">
        <v>28</v>
      </c>
      <c r="I3062" t="s">
        <v>107</v>
      </c>
      <c r="J3062" t="s">
        <v>30</v>
      </c>
      <c r="K3062" t="s">
        <v>23</v>
      </c>
      <c r="L3062" t="s">
        <v>31</v>
      </c>
      <c r="N3062" t="s">
        <v>32</v>
      </c>
      <c r="O3062">
        <v>16</v>
      </c>
      <c r="R3062" s="11">
        <v>1.0185185185185184E-3</v>
      </c>
      <c r="S3062" s="11">
        <v>7.407407407407407E-4</v>
      </c>
      <c r="T3062" t="str">
        <f>IF(Tabela1[[#This Row],[STATUS_NEGOCIO]]="Enviar E-mail",1,"")</f>
        <v/>
      </c>
      <c r="U3062" t="str">
        <f>TEXT(Tabela1[[#This Row],[DATA]],"dd/mm/aaaa")</f>
        <v>27/05/2026</v>
      </c>
    </row>
    <row r="3063" spans="1:21" x14ac:dyDescent="0.25">
      <c r="A3063" s="9">
        <v>46169.413807870369</v>
      </c>
      <c r="B3063" t="s">
        <v>19</v>
      </c>
      <c r="C3063" t="s">
        <v>27</v>
      </c>
      <c r="E3063"/>
      <c r="F3063">
        <v>2752021683</v>
      </c>
      <c r="G3063" s="10">
        <v>17798865538311</v>
      </c>
      <c r="H3063" t="s">
        <v>28</v>
      </c>
      <c r="I3063" t="s">
        <v>363</v>
      </c>
      <c r="J3063" t="s">
        <v>30</v>
      </c>
      <c r="K3063" t="s">
        <v>23</v>
      </c>
      <c r="L3063" t="s">
        <v>40</v>
      </c>
      <c r="N3063" t="s">
        <v>26</v>
      </c>
      <c r="O3063">
        <v>16</v>
      </c>
      <c r="R3063" s="11">
        <v>2.3495370370370371E-3</v>
      </c>
      <c r="S3063" s="11">
        <v>2.3032407407407407E-3</v>
      </c>
      <c r="T3063">
        <f>IF(Tabela1[[#This Row],[STATUS_NEGOCIO]]="Enviar E-mail",1,"")</f>
        <v>1</v>
      </c>
      <c r="U3063" t="str">
        <f>TEXT(Tabela1[[#This Row],[DATA]],"dd/mm/aaaa")</f>
        <v>27/05/2026</v>
      </c>
    </row>
    <row r="3064" spans="1:21" x14ac:dyDescent="0.25">
      <c r="A3064" s="9">
        <v>46169.415393518517</v>
      </c>
      <c r="B3064" t="s">
        <v>19</v>
      </c>
      <c r="C3064" t="s">
        <v>20</v>
      </c>
      <c r="E3064"/>
      <c r="F3064">
        <v>2779128845</v>
      </c>
      <c r="G3064" s="10">
        <v>17798866908431</v>
      </c>
      <c r="H3064" t="s">
        <v>28</v>
      </c>
      <c r="I3064" t="s">
        <v>485</v>
      </c>
      <c r="J3064" t="s">
        <v>30</v>
      </c>
      <c r="K3064" t="s">
        <v>23</v>
      </c>
      <c r="L3064" t="s">
        <v>100</v>
      </c>
      <c r="N3064" t="s">
        <v>26</v>
      </c>
      <c r="O3064">
        <v>16</v>
      </c>
      <c r="R3064" s="11">
        <v>2.5925925925925925E-3</v>
      </c>
      <c r="S3064" s="11">
        <v>2.4305555555555556E-3</v>
      </c>
      <c r="T3064" t="str">
        <f>IF(Tabela1[[#This Row],[STATUS_NEGOCIO]]="Enviar E-mail",1,"")</f>
        <v/>
      </c>
      <c r="U3064" t="str">
        <f>TEXT(Tabela1[[#This Row],[DATA]],"dd/mm/aaaa")</f>
        <v>27/05/2026</v>
      </c>
    </row>
    <row r="3065" spans="1:21" x14ac:dyDescent="0.25">
      <c r="A3065" s="9">
        <v>46169.42083333333</v>
      </c>
      <c r="B3065" t="s">
        <v>19</v>
      </c>
      <c r="C3065" t="s">
        <v>27</v>
      </c>
      <c r="E3065"/>
      <c r="F3065">
        <v>2771970087</v>
      </c>
      <c r="G3065" s="10">
        <v>17798871608611</v>
      </c>
      <c r="H3065" t="s">
        <v>28</v>
      </c>
      <c r="I3065" t="s">
        <v>123</v>
      </c>
      <c r="J3065" t="s">
        <v>30</v>
      </c>
      <c r="K3065" t="s">
        <v>23</v>
      </c>
      <c r="L3065" t="s">
        <v>31</v>
      </c>
      <c r="N3065" t="s">
        <v>26</v>
      </c>
      <c r="O3065">
        <v>16</v>
      </c>
      <c r="R3065" s="11">
        <v>1.273148148148148E-4</v>
      </c>
      <c r="S3065" s="11">
        <v>3.4722222222222222E-5</v>
      </c>
      <c r="T3065" t="str">
        <f>IF(Tabela1[[#This Row],[STATUS_NEGOCIO]]="Enviar E-mail",1,"")</f>
        <v/>
      </c>
      <c r="U3065" t="str">
        <f>TEXT(Tabela1[[#This Row],[DATA]],"dd/mm/aaaa")</f>
        <v>27/05/2026</v>
      </c>
    </row>
    <row r="3066" spans="1:21" x14ac:dyDescent="0.25">
      <c r="A3066" s="9">
        <v>46169.42428240741</v>
      </c>
      <c r="B3066" t="s">
        <v>19</v>
      </c>
      <c r="C3066" t="s">
        <v>27</v>
      </c>
      <c r="E3066"/>
      <c r="F3066">
        <v>2779664577</v>
      </c>
      <c r="G3066" s="10">
        <v>17798874589011</v>
      </c>
      <c r="H3066" t="s">
        <v>28</v>
      </c>
      <c r="I3066" t="s">
        <v>130</v>
      </c>
      <c r="J3066" t="s">
        <v>30</v>
      </c>
      <c r="K3066" t="s">
        <v>23</v>
      </c>
      <c r="L3066" t="s">
        <v>106</v>
      </c>
      <c r="N3066" t="s">
        <v>26</v>
      </c>
      <c r="O3066">
        <v>16</v>
      </c>
      <c r="R3066" s="11">
        <v>2.3263888888888887E-3</v>
      </c>
      <c r="S3066" s="11">
        <v>2.1527777777777778E-3</v>
      </c>
      <c r="T3066" t="str">
        <f>IF(Tabela1[[#This Row],[STATUS_NEGOCIO]]="Enviar E-mail",1,"")</f>
        <v/>
      </c>
      <c r="U3066" t="str">
        <f>TEXT(Tabela1[[#This Row],[DATA]],"dd/mm/aaaa")</f>
        <v>27/05/2026</v>
      </c>
    </row>
    <row r="3067" spans="1:21" x14ac:dyDescent="0.25">
      <c r="A3067" s="9">
        <v>46169.424837962964</v>
      </c>
      <c r="B3067" t="s">
        <v>19</v>
      </c>
      <c r="C3067" t="s">
        <v>20</v>
      </c>
      <c r="E3067"/>
      <c r="F3067">
        <v>2779437483</v>
      </c>
      <c r="G3067" s="10">
        <v>17798875069071</v>
      </c>
      <c r="H3067" t="s">
        <v>28</v>
      </c>
      <c r="I3067" t="s">
        <v>483</v>
      </c>
      <c r="J3067" t="s">
        <v>30</v>
      </c>
      <c r="K3067" t="s">
        <v>23</v>
      </c>
      <c r="L3067" t="s">
        <v>44</v>
      </c>
      <c r="N3067" t="s">
        <v>32</v>
      </c>
      <c r="O3067">
        <v>16</v>
      </c>
      <c r="R3067" s="11">
        <v>4.0509259259259258E-4</v>
      </c>
      <c r="S3067" s="11">
        <v>2.3148148148148147E-5</v>
      </c>
      <c r="T3067" t="str">
        <f>IF(Tabela1[[#This Row],[STATUS_NEGOCIO]]="Enviar E-mail",1,"")</f>
        <v/>
      </c>
      <c r="U3067" t="str">
        <f>TEXT(Tabela1[[#This Row],[DATA]],"dd/mm/aaaa")</f>
        <v>27/05/2026</v>
      </c>
    </row>
    <row r="3068" spans="1:21" x14ac:dyDescent="0.25">
      <c r="A3068" s="9">
        <v>46169.427905092591</v>
      </c>
      <c r="B3068" t="s">
        <v>19</v>
      </c>
      <c r="C3068" t="s">
        <v>20</v>
      </c>
      <c r="E3068"/>
      <c r="F3068">
        <v>2772766243</v>
      </c>
      <c r="G3068" s="10">
        <v>17798877719381</v>
      </c>
      <c r="H3068" t="s">
        <v>28</v>
      </c>
      <c r="I3068" t="s">
        <v>81</v>
      </c>
      <c r="J3068" t="s">
        <v>30</v>
      </c>
      <c r="K3068" t="s">
        <v>23</v>
      </c>
      <c r="L3068" t="s">
        <v>106</v>
      </c>
      <c r="N3068" t="s">
        <v>26</v>
      </c>
      <c r="O3068">
        <v>16</v>
      </c>
      <c r="R3068" s="11">
        <v>3.0092592592592593E-3</v>
      </c>
      <c r="S3068" s="11">
        <v>2.8935185185185184E-3</v>
      </c>
      <c r="T3068" t="str">
        <f>IF(Tabela1[[#This Row],[STATUS_NEGOCIO]]="Enviar E-mail",1,"")</f>
        <v/>
      </c>
      <c r="U3068" t="str">
        <f>TEXT(Tabela1[[#This Row],[DATA]],"dd/mm/aaaa")</f>
        <v>27/05/2026</v>
      </c>
    </row>
    <row r="3069" spans="1:21" x14ac:dyDescent="0.25">
      <c r="A3069" s="9">
        <v>46169.429502314815</v>
      </c>
      <c r="B3069" t="s">
        <v>19</v>
      </c>
      <c r="C3069" t="s">
        <v>27</v>
      </c>
      <c r="E3069"/>
      <c r="F3069">
        <v>2778982791</v>
      </c>
      <c r="G3069" s="10">
        <v>17798879099681</v>
      </c>
      <c r="H3069" t="s">
        <v>28</v>
      </c>
      <c r="I3069" t="s">
        <v>381</v>
      </c>
      <c r="J3069" t="s">
        <v>30</v>
      </c>
      <c r="K3069" t="s">
        <v>23</v>
      </c>
      <c r="L3069" t="s">
        <v>31</v>
      </c>
      <c r="N3069" t="s">
        <v>26</v>
      </c>
      <c r="O3069">
        <v>16</v>
      </c>
      <c r="R3069" s="11">
        <v>6.5972222222222224E-4</v>
      </c>
      <c r="S3069" s="11">
        <v>2.3148148148148149E-4</v>
      </c>
      <c r="T3069" t="str">
        <f>IF(Tabela1[[#This Row],[STATUS_NEGOCIO]]="Enviar E-mail",1,"")</f>
        <v/>
      </c>
      <c r="U3069" t="str">
        <f>TEXT(Tabela1[[#This Row],[DATA]],"dd/mm/aaaa")</f>
        <v>27/05/2026</v>
      </c>
    </row>
    <row r="3070" spans="1:21" x14ac:dyDescent="0.25">
      <c r="A3070" s="9">
        <v>46169.431087962963</v>
      </c>
      <c r="B3070" t="s">
        <v>19</v>
      </c>
      <c r="C3070" t="s">
        <v>27</v>
      </c>
      <c r="E3070"/>
      <c r="F3070">
        <v>2779306063</v>
      </c>
      <c r="G3070" s="10">
        <v>17798880469941</v>
      </c>
      <c r="H3070" t="s">
        <v>28</v>
      </c>
      <c r="I3070" t="s">
        <v>387</v>
      </c>
      <c r="J3070" t="s">
        <v>30</v>
      </c>
      <c r="K3070" t="s">
        <v>23</v>
      </c>
      <c r="L3070" t="s">
        <v>31</v>
      </c>
      <c r="N3070" t="s">
        <v>26</v>
      </c>
      <c r="O3070">
        <v>16</v>
      </c>
      <c r="R3070" s="11">
        <v>5.6712962962962967E-4</v>
      </c>
      <c r="S3070" s="11">
        <v>1.3888888888888889E-4</v>
      </c>
      <c r="T3070" t="str">
        <f>IF(Tabela1[[#This Row],[STATUS_NEGOCIO]]="Enviar E-mail",1,"")</f>
        <v/>
      </c>
      <c r="U3070" t="str">
        <f>TEXT(Tabela1[[#This Row],[DATA]],"dd/mm/aaaa")</f>
        <v>27/05/2026</v>
      </c>
    </row>
    <row r="3071" spans="1:21" x14ac:dyDescent="0.25">
      <c r="A3071" s="9">
        <v>46169.432256944441</v>
      </c>
      <c r="B3071" t="s">
        <v>19</v>
      </c>
      <c r="C3071" t="s">
        <v>27</v>
      </c>
      <c r="E3071"/>
      <c r="F3071">
        <v>2778345912</v>
      </c>
      <c r="G3071" s="10">
        <v>177988814710011</v>
      </c>
      <c r="H3071" t="s">
        <v>28</v>
      </c>
      <c r="I3071" t="s">
        <v>78</v>
      </c>
      <c r="J3071" t="s">
        <v>30</v>
      </c>
      <c r="K3071" t="s">
        <v>23</v>
      </c>
      <c r="L3071" t="s">
        <v>106</v>
      </c>
      <c r="N3071" t="s">
        <v>32</v>
      </c>
      <c r="O3071">
        <v>16</v>
      </c>
      <c r="R3071" s="11">
        <v>2.2685185185185187E-3</v>
      </c>
      <c r="S3071" s="11">
        <v>2.1296296296296298E-3</v>
      </c>
      <c r="T3071" t="str">
        <f>IF(Tabela1[[#This Row],[STATUS_NEGOCIO]]="Enviar E-mail",1,"")</f>
        <v/>
      </c>
      <c r="U3071" t="str">
        <f>TEXT(Tabela1[[#This Row],[DATA]],"dd/mm/aaaa")</f>
        <v>27/05/2026</v>
      </c>
    </row>
    <row r="3072" spans="1:21" x14ac:dyDescent="0.25">
      <c r="A3072" s="9">
        <v>46169.436099537037</v>
      </c>
      <c r="B3072" t="s">
        <v>19</v>
      </c>
      <c r="C3072" t="s">
        <v>27</v>
      </c>
      <c r="E3072"/>
      <c r="F3072">
        <v>2778245736</v>
      </c>
      <c r="G3072" s="10">
        <v>177988847910551</v>
      </c>
      <c r="H3072" t="s">
        <v>28</v>
      </c>
      <c r="I3072" t="s">
        <v>395</v>
      </c>
      <c r="J3072" t="s">
        <v>30</v>
      </c>
      <c r="K3072" t="s">
        <v>23</v>
      </c>
      <c r="L3072" t="s">
        <v>31</v>
      </c>
      <c r="N3072" t="s">
        <v>26</v>
      </c>
      <c r="O3072">
        <v>16</v>
      </c>
      <c r="R3072" s="11">
        <v>1.9675925925925926E-4</v>
      </c>
      <c r="S3072" s="11">
        <v>5.7870370370370373E-5</v>
      </c>
      <c r="T3072" t="str">
        <f>IF(Tabela1[[#This Row],[STATUS_NEGOCIO]]="Enviar E-mail",1,"")</f>
        <v/>
      </c>
      <c r="U3072" t="str">
        <f>TEXT(Tabela1[[#This Row],[DATA]],"dd/mm/aaaa")</f>
        <v>27/05/2026</v>
      </c>
    </row>
    <row r="3073" spans="1:21" x14ac:dyDescent="0.25">
      <c r="A3073" s="9">
        <v>46169.436944444446</v>
      </c>
      <c r="B3073" t="s">
        <v>19</v>
      </c>
      <c r="C3073" t="s">
        <v>27</v>
      </c>
      <c r="E3073"/>
      <c r="F3073">
        <v>2761709370</v>
      </c>
      <c r="G3073" s="10">
        <v>177988855210681</v>
      </c>
      <c r="H3073" t="s">
        <v>28</v>
      </c>
      <c r="I3073" t="s">
        <v>154</v>
      </c>
      <c r="J3073" t="s">
        <v>30</v>
      </c>
      <c r="K3073" t="s">
        <v>23</v>
      </c>
      <c r="L3073" t="s">
        <v>31</v>
      </c>
      <c r="N3073" t="s">
        <v>32</v>
      </c>
      <c r="O3073">
        <v>16</v>
      </c>
      <c r="R3073" s="11">
        <v>7.9861111111111116E-4</v>
      </c>
      <c r="S3073" s="11">
        <v>6.018518518518519E-4</v>
      </c>
      <c r="T3073" t="str">
        <f>IF(Tabela1[[#This Row],[STATUS_NEGOCIO]]="Enviar E-mail",1,"")</f>
        <v/>
      </c>
      <c r="U3073" t="str">
        <f>TEXT(Tabela1[[#This Row],[DATA]],"dd/mm/aaaa")</f>
        <v>27/05/2026</v>
      </c>
    </row>
    <row r="3074" spans="1:21" x14ac:dyDescent="0.25">
      <c r="A3074" s="9">
        <v>46169.438055555554</v>
      </c>
      <c r="B3074" t="s">
        <v>19</v>
      </c>
      <c r="C3074" t="s">
        <v>27</v>
      </c>
      <c r="E3074"/>
      <c r="F3074">
        <v>2772321443</v>
      </c>
      <c r="G3074" s="10">
        <v>177988864810971</v>
      </c>
      <c r="H3074" t="s">
        <v>28</v>
      </c>
      <c r="I3074" t="s">
        <v>400</v>
      </c>
      <c r="J3074" t="s">
        <v>30</v>
      </c>
      <c r="K3074" t="s">
        <v>23</v>
      </c>
      <c r="L3074" t="s">
        <v>106</v>
      </c>
      <c r="N3074" t="s">
        <v>26</v>
      </c>
      <c r="O3074">
        <v>16</v>
      </c>
      <c r="R3074" s="11">
        <v>2.7314814814814814E-3</v>
      </c>
      <c r="S3074" s="11">
        <v>2.627314814814815E-3</v>
      </c>
      <c r="T3074" t="str">
        <f>IF(Tabela1[[#This Row],[STATUS_NEGOCIO]]="Enviar E-mail",1,"")</f>
        <v/>
      </c>
      <c r="U3074" t="str">
        <f>TEXT(Tabela1[[#This Row],[DATA]],"dd/mm/aaaa")</f>
        <v>27/05/2026</v>
      </c>
    </row>
    <row r="3075" spans="1:21" x14ac:dyDescent="0.25">
      <c r="A3075" s="9">
        <v>46169.447384259256</v>
      </c>
      <c r="B3075" t="s">
        <v>19</v>
      </c>
      <c r="C3075" t="s">
        <v>27</v>
      </c>
      <c r="E3075"/>
      <c r="F3075">
        <v>2768100651</v>
      </c>
      <c r="G3075" s="10">
        <v>177988945412091</v>
      </c>
      <c r="H3075" t="s">
        <v>28</v>
      </c>
      <c r="I3075" t="s">
        <v>407</v>
      </c>
      <c r="J3075" t="s">
        <v>30</v>
      </c>
      <c r="K3075" t="s">
        <v>23</v>
      </c>
      <c r="L3075" t="s">
        <v>106</v>
      </c>
      <c r="N3075" t="s">
        <v>32</v>
      </c>
      <c r="O3075">
        <v>16</v>
      </c>
      <c r="R3075" s="11">
        <v>1.736111111111111E-3</v>
      </c>
      <c r="S3075" s="11">
        <v>1.6666666666666668E-3</v>
      </c>
      <c r="T3075" t="str">
        <f>IF(Tabela1[[#This Row],[STATUS_NEGOCIO]]="Enviar E-mail",1,"")</f>
        <v/>
      </c>
      <c r="U3075" t="str">
        <f>TEXT(Tabela1[[#This Row],[DATA]],"dd/mm/aaaa")</f>
        <v>27/05/2026</v>
      </c>
    </row>
    <row r="3076" spans="1:21" x14ac:dyDescent="0.25">
      <c r="A3076" s="9">
        <v>46169.450173611112</v>
      </c>
      <c r="B3076" t="s">
        <v>19</v>
      </c>
      <c r="C3076" t="s">
        <v>20</v>
      </c>
      <c r="E3076"/>
      <c r="F3076">
        <v>2761322711</v>
      </c>
      <c r="G3076" s="10">
        <v>177988964412521</v>
      </c>
      <c r="H3076" t="s">
        <v>28</v>
      </c>
      <c r="I3076" t="s">
        <v>61</v>
      </c>
      <c r="J3076" t="s">
        <v>30</v>
      </c>
      <c r="K3076" t="s">
        <v>62</v>
      </c>
      <c r="N3076" t="s">
        <v>26</v>
      </c>
      <c r="O3076">
        <v>19</v>
      </c>
      <c r="R3076" s="11">
        <v>1.1574074074074073E-5</v>
      </c>
      <c r="S3076" t="s">
        <v>37</v>
      </c>
      <c r="T3076" t="str">
        <f>IF(Tabela1[[#This Row],[STATUS_NEGOCIO]]="Enviar E-mail",1,"")</f>
        <v/>
      </c>
      <c r="U3076" t="str">
        <f>TEXT(Tabela1[[#This Row],[DATA]],"dd/mm/aaaa")</f>
        <v>27/05/2026</v>
      </c>
    </row>
    <row r="3077" spans="1:21" x14ac:dyDescent="0.25">
      <c r="A3077" s="9">
        <v>46169.454085648147</v>
      </c>
      <c r="B3077" t="s">
        <v>19</v>
      </c>
      <c r="C3077" t="s">
        <v>20</v>
      </c>
      <c r="E3077"/>
      <c r="F3077">
        <v>1806495806</v>
      </c>
      <c r="G3077" s="10">
        <v>177988998813321</v>
      </c>
      <c r="H3077" t="s">
        <v>28</v>
      </c>
      <c r="I3077" t="s">
        <v>435</v>
      </c>
      <c r="J3077" t="s">
        <v>30</v>
      </c>
      <c r="K3077" t="s">
        <v>62</v>
      </c>
      <c r="N3077" t="s">
        <v>26</v>
      </c>
      <c r="O3077">
        <v>19</v>
      </c>
      <c r="R3077" s="11">
        <v>1.1574074074074073E-5</v>
      </c>
      <c r="S3077" t="s">
        <v>37</v>
      </c>
      <c r="T3077" t="str">
        <f>IF(Tabela1[[#This Row],[STATUS_NEGOCIO]]="Enviar E-mail",1,"")</f>
        <v/>
      </c>
      <c r="U3077" t="str">
        <f>TEXT(Tabela1[[#This Row],[DATA]],"dd/mm/aaaa")</f>
        <v>27/05/2026</v>
      </c>
    </row>
    <row r="3078" spans="1:21" x14ac:dyDescent="0.25">
      <c r="A3078" s="9">
        <v>46169.455023148148</v>
      </c>
      <c r="B3078" t="s">
        <v>19</v>
      </c>
      <c r="C3078" t="s">
        <v>20</v>
      </c>
      <c r="E3078"/>
      <c r="F3078">
        <v>2778193022</v>
      </c>
      <c r="G3078" s="10">
        <v>177989011413831</v>
      </c>
      <c r="H3078" t="s">
        <v>28</v>
      </c>
      <c r="I3078" t="s">
        <v>143</v>
      </c>
      <c r="J3078" t="s">
        <v>30</v>
      </c>
      <c r="K3078" t="s">
        <v>23</v>
      </c>
      <c r="L3078" t="s">
        <v>44</v>
      </c>
      <c r="N3078" t="s">
        <v>32</v>
      </c>
      <c r="O3078">
        <v>16</v>
      </c>
      <c r="R3078" s="11">
        <v>3.1365740740740742E-3</v>
      </c>
      <c r="S3078" s="11">
        <v>2.9976851851851853E-3</v>
      </c>
      <c r="T3078" t="str">
        <f>IF(Tabela1[[#This Row],[STATUS_NEGOCIO]]="Enviar E-mail",1,"")</f>
        <v/>
      </c>
      <c r="U3078" t="str">
        <f>TEXT(Tabela1[[#This Row],[DATA]],"dd/mm/aaaa")</f>
        <v>27/05/2026</v>
      </c>
    </row>
    <row r="3079" spans="1:21" x14ac:dyDescent="0.25">
      <c r="A3079" s="9">
        <v>46169.458807870367</v>
      </c>
      <c r="B3079" t="s">
        <v>19</v>
      </c>
      <c r="C3079" t="s">
        <v>27</v>
      </c>
      <c r="E3079"/>
      <c r="F3079">
        <v>2761761075</v>
      </c>
      <c r="G3079" s="10">
        <v>177989043314771</v>
      </c>
      <c r="H3079" t="s">
        <v>28</v>
      </c>
      <c r="I3079" t="s">
        <v>420</v>
      </c>
      <c r="J3079" t="s">
        <v>30</v>
      </c>
      <c r="K3079" t="s">
        <v>62</v>
      </c>
      <c r="N3079" t="s">
        <v>26</v>
      </c>
      <c r="O3079">
        <v>21</v>
      </c>
      <c r="R3079" s="11">
        <v>1.1574074074074073E-5</v>
      </c>
      <c r="S3079" t="s">
        <v>37</v>
      </c>
      <c r="T3079" t="str">
        <f>IF(Tabela1[[#This Row],[STATUS_NEGOCIO]]="Enviar E-mail",1,"")</f>
        <v/>
      </c>
      <c r="U3079" t="str">
        <f>TEXT(Tabela1[[#This Row],[DATA]],"dd/mm/aaaa")</f>
        <v>27/05/2026</v>
      </c>
    </row>
    <row r="3080" spans="1:21" x14ac:dyDescent="0.25">
      <c r="A3080" s="9">
        <v>46169.460034722222</v>
      </c>
      <c r="B3080" t="s">
        <v>19</v>
      </c>
      <c r="C3080" t="s">
        <v>20</v>
      </c>
      <c r="E3080"/>
      <c r="F3080">
        <v>2771320576</v>
      </c>
      <c r="G3080" s="10">
        <v>177989054714851</v>
      </c>
      <c r="H3080" t="s">
        <v>28</v>
      </c>
      <c r="I3080" t="s">
        <v>428</v>
      </c>
      <c r="J3080" t="s">
        <v>30</v>
      </c>
      <c r="K3080" t="s">
        <v>36</v>
      </c>
      <c r="N3080" t="s">
        <v>32</v>
      </c>
      <c r="O3080">
        <v>19</v>
      </c>
      <c r="R3080" s="11">
        <v>8.1018518518518516E-5</v>
      </c>
      <c r="S3080" t="s">
        <v>37</v>
      </c>
      <c r="T3080" t="str">
        <f>IF(Tabela1[[#This Row],[STATUS_NEGOCIO]]="Enviar E-mail",1,"")</f>
        <v/>
      </c>
      <c r="U3080" t="str">
        <f>TEXT(Tabela1[[#This Row],[DATA]],"dd/mm/aaaa")</f>
        <v>27/05/2026</v>
      </c>
    </row>
    <row r="3081" spans="1:21" x14ac:dyDescent="0.25">
      <c r="A3081" s="9">
        <v>46169.460729166669</v>
      </c>
      <c r="B3081" t="s">
        <v>19</v>
      </c>
      <c r="C3081" t="s">
        <v>20</v>
      </c>
      <c r="E3081"/>
      <c r="F3081">
        <v>2778619911</v>
      </c>
      <c r="G3081" s="10">
        <v>177989060714881</v>
      </c>
      <c r="H3081" t="s">
        <v>28</v>
      </c>
      <c r="I3081" t="s">
        <v>121</v>
      </c>
      <c r="J3081" t="s">
        <v>30</v>
      </c>
      <c r="K3081" t="s">
        <v>23</v>
      </c>
      <c r="L3081" t="s">
        <v>265</v>
      </c>
      <c r="N3081" t="s">
        <v>32</v>
      </c>
      <c r="O3081">
        <v>16</v>
      </c>
      <c r="R3081" s="11">
        <v>4.861111111111111E-4</v>
      </c>
      <c r="S3081" s="11">
        <v>3.3564814814814812E-4</v>
      </c>
      <c r="T3081" t="str">
        <f>IF(Tabela1[[#This Row],[STATUS_NEGOCIO]]="Enviar E-mail",1,"")</f>
        <v/>
      </c>
      <c r="U3081" t="str">
        <f>TEXT(Tabela1[[#This Row],[DATA]],"dd/mm/aaaa")</f>
        <v>27/05/2026</v>
      </c>
    </row>
    <row r="3082" spans="1:21" x14ac:dyDescent="0.25">
      <c r="A3082" s="9">
        <v>46169.461655092593</v>
      </c>
      <c r="B3082" t="s">
        <v>19</v>
      </c>
      <c r="C3082" t="s">
        <v>20</v>
      </c>
      <c r="E3082"/>
      <c r="F3082">
        <v>2778619991</v>
      </c>
      <c r="G3082" s="10">
        <v>177989068714981</v>
      </c>
      <c r="H3082" t="s">
        <v>28</v>
      </c>
      <c r="I3082" t="s">
        <v>121</v>
      </c>
      <c r="J3082" t="s">
        <v>30</v>
      </c>
      <c r="K3082" t="s">
        <v>36</v>
      </c>
      <c r="N3082" t="s">
        <v>32</v>
      </c>
      <c r="O3082">
        <v>19</v>
      </c>
      <c r="R3082" s="11">
        <v>8.1018518518518516E-5</v>
      </c>
      <c r="S3082" t="s">
        <v>37</v>
      </c>
      <c r="T3082" t="str">
        <f>IF(Tabela1[[#This Row],[STATUS_NEGOCIO]]="Enviar E-mail",1,"")</f>
        <v/>
      </c>
      <c r="U3082" t="str">
        <f>TEXT(Tabela1[[#This Row],[DATA]],"dd/mm/aaaa")</f>
        <v>27/05/2026</v>
      </c>
    </row>
    <row r="3083" spans="1:21" x14ac:dyDescent="0.25">
      <c r="A3083" s="9">
        <v>46169.462384259263</v>
      </c>
      <c r="B3083" t="s">
        <v>19</v>
      </c>
      <c r="C3083" t="s">
        <v>20</v>
      </c>
      <c r="E3083"/>
      <c r="F3083">
        <v>2761348659</v>
      </c>
      <c r="G3083" s="10">
        <v>177989075015031</v>
      </c>
      <c r="H3083" t="s">
        <v>28</v>
      </c>
      <c r="I3083" t="s">
        <v>172</v>
      </c>
      <c r="J3083" t="s">
        <v>30</v>
      </c>
      <c r="K3083" t="s">
        <v>23</v>
      </c>
      <c r="L3083" t="s">
        <v>31</v>
      </c>
      <c r="N3083" t="s">
        <v>32</v>
      </c>
      <c r="O3083">
        <v>16</v>
      </c>
      <c r="R3083" s="11">
        <v>3.8194444444444446E-4</v>
      </c>
      <c r="S3083" s="11">
        <v>2.4305555555555555E-4</v>
      </c>
      <c r="T3083" t="str">
        <f>IF(Tabela1[[#This Row],[STATUS_NEGOCIO]]="Enviar E-mail",1,"")</f>
        <v/>
      </c>
      <c r="U3083" t="str">
        <f>TEXT(Tabela1[[#This Row],[DATA]],"dd/mm/aaaa")</f>
        <v>27/05/2026</v>
      </c>
    </row>
    <row r="3084" spans="1:21" x14ac:dyDescent="0.25">
      <c r="A3084" s="9">
        <v>46169.462951388887</v>
      </c>
      <c r="B3084" t="s">
        <v>19</v>
      </c>
      <c r="C3084" t="s">
        <v>20</v>
      </c>
      <c r="E3084"/>
      <c r="F3084">
        <v>2761348708</v>
      </c>
      <c r="G3084" s="10">
        <v>177989079915301</v>
      </c>
      <c r="H3084" t="s">
        <v>28</v>
      </c>
      <c r="I3084" t="s">
        <v>172</v>
      </c>
      <c r="J3084" t="s">
        <v>30</v>
      </c>
      <c r="K3084" t="s">
        <v>36</v>
      </c>
      <c r="N3084" t="s">
        <v>32</v>
      </c>
      <c r="O3084">
        <v>19</v>
      </c>
      <c r="R3084" s="11">
        <v>9.2592592592592588E-5</v>
      </c>
      <c r="S3084" t="s">
        <v>37</v>
      </c>
      <c r="T3084" t="str">
        <f>IF(Tabela1[[#This Row],[STATUS_NEGOCIO]]="Enviar E-mail",1,"")</f>
        <v/>
      </c>
      <c r="U3084" t="str">
        <f>TEXT(Tabela1[[#This Row],[DATA]],"dd/mm/aaaa")</f>
        <v>27/05/2026</v>
      </c>
    </row>
    <row r="3085" spans="1:21" x14ac:dyDescent="0.25">
      <c r="A3085" s="9">
        <v>46169.463321759256</v>
      </c>
      <c r="B3085" t="s">
        <v>19</v>
      </c>
      <c r="C3085" t="s">
        <v>27</v>
      </c>
      <c r="E3085"/>
      <c r="F3085">
        <v>2761761467</v>
      </c>
      <c r="G3085" s="10">
        <v>177989082515341</v>
      </c>
      <c r="H3085" t="s">
        <v>28</v>
      </c>
      <c r="I3085" t="s">
        <v>420</v>
      </c>
      <c r="J3085" t="s">
        <v>30</v>
      </c>
      <c r="K3085" t="s">
        <v>62</v>
      </c>
      <c r="N3085" t="s">
        <v>26</v>
      </c>
      <c r="O3085">
        <v>21</v>
      </c>
      <c r="R3085" s="11">
        <v>1.1574074074074073E-5</v>
      </c>
      <c r="S3085" t="s">
        <v>37</v>
      </c>
      <c r="T3085" t="str">
        <f>IF(Tabela1[[#This Row],[STATUS_NEGOCIO]]="Enviar E-mail",1,"")</f>
        <v/>
      </c>
      <c r="U3085" t="str">
        <f>TEXT(Tabela1[[#This Row],[DATA]],"dd/mm/aaaa")</f>
        <v>27/05/2026</v>
      </c>
    </row>
    <row r="3086" spans="1:21" x14ac:dyDescent="0.25">
      <c r="A3086" s="9">
        <v>46169.463854166665</v>
      </c>
      <c r="B3086" t="s">
        <v>19</v>
      </c>
      <c r="C3086" t="s">
        <v>20</v>
      </c>
      <c r="E3086"/>
      <c r="F3086">
        <v>2761761510</v>
      </c>
      <c r="G3086" s="10">
        <v>177989086815491</v>
      </c>
      <c r="H3086" t="s">
        <v>28</v>
      </c>
      <c r="I3086" t="s">
        <v>420</v>
      </c>
      <c r="J3086" t="s">
        <v>30</v>
      </c>
      <c r="K3086" t="s">
        <v>62</v>
      </c>
      <c r="N3086" t="s">
        <v>26</v>
      </c>
      <c r="O3086">
        <v>21</v>
      </c>
      <c r="R3086" s="11">
        <v>1.1574074074074073E-5</v>
      </c>
      <c r="S3086" t="s">
        <v>37</v>
      </c>
      <c r="T3086" t="str">
        <f>IF(Tabela1[[#This Row],[STATUS_NEGOCIO]]="Enviar E-mail",1,"")</f>
        <v/>
      </c>
      <c r="U3086" t="str">
        <f>TEXT(Tabela1[[#This Row],[DATA]],"dd/mm/aaaa")</f>
        <v>27/05/2026</v>
      </c>
    </row>
    <row r="3087" spans="1:21" x14ac:dyDescent="0.25">
      <c r="A3087" s="9">
        <v>46169.463946759257</v>
      </c>
      <c r="B3087" t="s">
        <v>19</v>
      </c>
      <c r="C3087" t="s">
        <v>20</v>
      </c>
      <c r="E3087"/>
      <c r="F3087">
        <v>2761761527</v>
      </c>
      <c r="G3087" s="10">
        <v>177989088515571</v>
      </c>
      <c r="H3087" t="s">
        <v>28</v>
      </c>
      <c r="I3087" t="s">
        <v>420</v>
      </c>
      <c r="J3087" t="s">
        <v>30</v>
      </c>
      <c r="K3087" t="s">
        <v>36</v>
      </c>
      <c r="N3087" t="s">
        <v>32</v>
      </c>
      <c r="O3087">
        <v>19</v>
      </c>
      <c r="R3087" s="11">
        <v>3.3564814814814812E-4</v>
      </c>
      <c r="S3087" t="s">
        <v>37</v>
      </c>
      <c r="T3087" t="str">
        <f>IF(Tabela1[[#This Row],[STATUS_NEGOCIO]]="Enviar E-mail",1,"")</f>
        <v/>
      </c>
      <c r="U3087" t="str">
        <f>TEXT(Tabela1[[#This Row],[DATA]],"dd/mm/aaaa")</f>
        <v>27/05/2026</v>
      </c>
    </row>
    <row r="3088" spans="1:21" x14ac:dyDescent="0.25">
      <c r="A3088" s="9">
        <v>46169.464594907404</v>
      </c>
      <c r="B3088" t="s">
        <v>19</v>
      </c>
      <c r="C3088" t="s">
        <v>27</v>
      </c>
      <c r="E3088"/>
      <c r="F3088">
        <v>2761761573</v>
      </c>
      <c r="G3088" s="10">
        <v>177989093115701</v>
      </c>
      <c r="H3088" t="s">
        <v>28</v>
      </c>
      <c r="I3088" t="s">
        <v>420</v>
      </c>
      <c r="J3088" t="s">
        <v>30</v>
      </c>
      <c r="K3088" t="s">
        <v>62</v>
      </c>
      <c r="N3088" t="s">
        <v>26</v>
      </c>
      <c r="O3088">
        <v>21</v>
      </c>
      <c r="R3088" s="11">
        <v>1.1574074074074073E-5</v>
      </c>
      <c r="S3088" t="s">
        <v>37</v>
      </c>
      <c r="T3088" t="str">
        <f>IF(Tabela1[[#This Row],[STATUS_NEGOCIO]]="Enviar E-mail",1,"")</f>
        <v/>
      </c>
      <c r="U3088" t="str">
        <f>TEXT(Tabela1[[#This Row],[DATA]],"dd/mm/aaaa")</f>
        <v>27/05/2026</v>
      </c>
    </row>
    <row r="3089" spans="1:21" x14ac:dyDescent="0.25">
      <c r="A3089" s="9">
        <v>46169.464884259258</v>
      </c>
      <c r="B3089" t="s">
        <v>19</v>
      </c>
      <c r="C3089" t="s">
        <v>20</v>
      </c>
      <c r="E3089"/>
      <c r="F3089">
        <v>2772003917</v>
      </c>
      <c r="G3089" s="10">
        <v>177989096615741</v>
      </c>
      <c r="H3089" t="s">
        <v>28</v>
      </c>
      <c r="I3089" t="s">
        <v>117</v>
      </c>
      <c r="J3089" t="s">
        <v>30</v>
      </c>
      <c r="K3089" t="s">
        <v>23</v>
      </c>
      <c r="L3089" t="s">
        <v>152</v>
      </c>
      <c r="N3089" t="s">
        <v>32</v>
      </c>
      <c r="O3089">
        <v>16</v>
      </c>
      <c r="R3089" s="11">
        <v>7.407407407407407E-4</v>
      </c>
      <c r="S3089" s="11">
        <v>5.3240740740740744E-4</v>
      </c>
      <c r="T3089" t="str">
        <f>IF(Tabela1[[#This Row],[STATUS_NEGOCIO]]="Enviar E-mail",1,"")</f>
        <v/>
      </c>
      <c r="U3089" t="str">
        <f>TEXT(Tabela1[[#This Row],[DATA]],"dd/mm/aaaa")</f>
        <v>27/05/2026</v>
      </c>
    </row>
    <row r="3090" spans="1:21" x14ac:dyDescent="0.25">
      <c r="A3090" s="9">
        <v>46169.465289351851</v>
      </c>
      <c r="B3090" t="s">
        <v>19</v>
      </c>
      <c r="C3090" t="s">
        <v>27</v>
      </c>
      <c r="E3090"/>
      <c r="F3090">
        <v>2761761637</v>
      </c>
      <c r="G3090" s="10">
        <v>177989099515831</v>
      </c>
      <c r="H3090" t="s">
        <v>28</v>
      </c>
      <c r="I3090" t="s">
        <v>420</v>
      </c>
      <c r="J3090" t="s">
        <v>30</v>
      </c>
      <c r="K3090" t="s">
        <v>62</v>
      </c>
      <c r="N3090" t="s">
        <v>26</v>
      </c>
      <c r="O3090">
        <v>21</v>
      </c>
      <c r="R3090" s="11">
        <v>1.1574074074074073E-5</v>
      </c>
      <c r="S3090" t="s">
        <v>37</v>
      </c>
      <c r="T3090" t="str">
        <f>IF(Tabela1[[#This Row],[STATUS_NEGOCIO]]="Enviar E-mail",1,"")</f>
        <v/>
      </c>
      <c r="U3090" t="str">
        <f>TEXT(Tabela1[[#This Row],[DATA]],"dd/mm/aaaa")</f>
        <v>27/05/2026</v>
      </c>
    </row>
    <row r="3091" spans="1:21" x14ac:dyDescent="0.25">
      <c r="A3091" s="9">
        <v>46169.584664351853</v>
      </c>
      <c r="B3091" t="s">
        <v>19</v>
      </c>
      <c r="C3091" t="s">
        <v>27</v>
      </c>
      <c r="E3091"/>
      <c r="F3091">
        <v>2761256690</v>
      </c>
      <c r="G3091" s="10">
        <v>177990131529651</v>
      </c>
      <c r="H3091" t="s">
        <v>28</v>
      </c>
      <c r="I3091" t="s">
        <v>290</v>
      </c>
      <c r="J3091" t="s">
        <v>30</v>
      </c>
      <c r="K3091" t="s">
        <v>36</v>
      </c>
      <c r="N3091" t="s">
        <v>32</v>
      </c>
      <c r="O3091">
        <v>19</v>
      </c>
      <c r="R3091" s="11">
        <v>3.5879629629629629E-4</v>
      </c>
      <c r="S3091" t="s">
        <v>37</v>
      </c>
      <c r="T3091" t="str">
        <f>IF(Tabela1[[#This Row],[STATUS_NEGOCIO]]="Enviar E-mail",1,"")</f>
        <v/>
      </c>
      <c r="U3091" t="str">
        <f>TEXT(Tabela1[[#This Row],[DATA]],"dd/mm/aaaa")</f>
        <v>27/05/2026</v>
      </c>
    </row>
    <row r="3092" spans="1:21" x14ac:dyDescent="0.25">
      <c r="A3092" s="9">
        <v>46169.585370370369</v>
      </c>
      <c r="B3092" t="s">
        <v>19</v>
      </c>
      <c r="C3092" t="s">
        <v>27</v>
      </c>
      <c r="E3092"/>
      <c r="F3092">
        <v>2761256739</v>
      </c>
      <c r="G3092" s="10">
        <v>177990136429811</v>
      </c>
      <c r="H3092" t="s">
        <v>28</v>
      </c>
      <c r="I3092" t="s">
        <v>290</v>
      </c>
      <c r="J3092" t="s">
        <v>30</v>
      </c>
      <c r="K3092" t="s">
        <v>134</v>
      </c>
      <c r="N3092" t="s">
        <v>26</v>
      </c>
      <c r="O3092">
        <v>34</v>
      </c>
      <c r="R3092" s="11">
        <v>1.1574074074074073E-5</v>
      </c>
      <c r="S3092" t="s">
        <v>37</v>
      </c>
      <c r="T3092" t="str">
        <f>IF(Tabela1[[#This Row],[STATUS_NEGOCIO]]="Enviar E-mail",1,"")</f>
        <v/>
      </c>
      <c r="U3092" t="str">
        <f>TEXT(Tabela1[[#This Row],[DATA]],"dd/mm/aaaa")</f>
        <v>27/05/2026</v>
      </c>
    </row>
    <row r="3093" spans="1:21" x14ac:dyDescent="0.25">
      <c r="A3093" s="9">
        <v>46169.586400462962</v>
      </c>
      <c r="B3093" t="s">
        <v>19</v>
      </c>
      <c r="C3093" t="s">
        <v>20</v>
      </c>
      <c r="E3093"/>
      <c r="F3093">
        <v>2761500272</v>
      </c>
      <c r="G3093" s="10">
        <v>177990146529991</v>
      </c>
      <c r="H3093" t="s">
        <v>28</v>
      </c>
      <c r="I3093" t="s">
        <v>609</v>
      </c>
      <c r="J3093" t="s">
        <v>30</v>
      </c>
      <c r="K3093" t="s">
        <v>23</v>
      </c>
      <c r="L3093" t="s">
        <v>31</v>
      </c>
      <c r="N3093" t="s">
        <v>32</v>
      </c>
      <c r="O3093">
        <v>16</v>
      </c>
      <c r="R3093" s="11">
        <v>4.2824074074074075E-4</v>
      </c>
      <c r="S3093" t="s">
        <v>37</v>
      </c>
      <c r="T3093" t="str">
        <f>IF(Tabela1[[#This Row],[STATUS_NEGOCIO]]="Enviar E-mail",1,"")</f>
        <v/>
      </c>
      <c r="U3093" t="str">
        <f>TEXT(Tabela1[[#This Row],[DATA]],"dd/mm/aaaa")</f>
        <v>27/05/2026</v>
      </c>
    </row>
    <row r="3094" spans="1:21" x14ac:dyDescent="0.25">
      <c r="A3094" s="9">
        <v>46169.586643518516</v>
      </c>
      <c r="B3094" t="s">
        <v>19</v>
      </c>
      <c r="C3094" t="s">
        <v>27</v>
      </c>
      <c r="E3094"/>
      <c r="F3094">
        <v>2761256813</v>
      </c>
      <c r="G3094" s="10">
        <v>177990143829971</v>
      </c>
      <c r="H3094" t="s">
        <v>28</v>
      </c>
      <c r="I3094" t="s">
        <v>290</v>
      </c>
      <c r="J3094" t="s">
        <v>30</v>
      </c>
      <c r="K3094" t="s">
        <v>62</v>
      </c>
      <c r="N3094" t="s">
        <v>26</v>
      </c>
      <c r="O3094">
        <v>19</v>
      </c>
      <c r="R3094" s="11">
        <v>1.1574074074074073E-5</v>
      </c>
      <c r="S3094" t="s">
        <v>37</v>
      </c>
      <c r="T3094" t="str">
        <f>IF(Tabela1[[#This Row],[STATUS_NEGOCIO]]="Enviar E-mail",1,"")</f>
        <v/>
      </c>
      <c r="U3094" t="str">
        <f>TEXT(Tabela1[[#This Row],[DATA]],"dd/mm/aaaa")</f>
        <v>27/05/2026</v>
      </c>
    </row>
    <row r="3095" spans="1:21" x14ac:dyDescent="0.25">
      <c r="A3095" s="9">
        <v>46169.586875000001</v>
      </c>
      <c r="B3095" t="s">
        <v>19</v>
      </c>
      <c r="C3095" t="s">
        <v>27</v>
      </c>
      <c r="E3095"/>
      <c r="F3095">
        <v>2761274693</v>
      </c>
      <c r="G3095" s="10">
        <v>177990149730031</v>
      </c>
      <c r="H3095" t="s">
        <v>28</v>
      </c>
      <c r="I3095" t="s">
        <v>67</v>
      </c>
      <c r="J3095" t="s">
        <v>30</v>
      </c>
      <c r="K3095" t="s">
        <v>62</v>
      </c>
      <c r="N3095" t="s">
        <v>26</v>
      </c>
      <c r="O3095">
        <v>17</v>
      </c>
      <c r="R3095" s="11">
        <v>1.1574074074074073E-5</v>
      </c>
      <c r="S3095" t="s">
        <v>37</v>
      </c>
      <c r="T3095" t="str">
        <f>IF(Tabela1[[#This Row],[STATUS_NEGOCIO]]="Enviar E-mail",1,"")</f>
        <v/>
      </c>
      <c r="U3095" t="str">
        <f>TEXT(Tabela1[[#This Row],[DATA]],"dd/mm/aaaa")</f>
        <v>27/05/2026</v>
      </c>
    </row>
    <row r="3096" spans="1:21" x14ac:dyDescent="0.25">
      <c r="A3096" s="9">
        <v>46169.587418981479</v>
      </c>
      <c r="B3096" t="s">
        <v>19</v>
      </c>
      <c r="C3096" t="s">
        <v>20</v>
      </c>
      <c r="E3096"/>
      <c r="F3096">
        <v>2779061672</v>
      </c>
      <c r="G3096" s="10">
        <v>177990155330201</v>
      </c>
      <c r="H3096" t="s">
        <v>28</v>
      </c>
      <c r="I3096" t="s">
        <v>248</v>
      </c>
      <c r="J3096" t="s">
        <v>30</v>
      </c>
      <c r="K3096" t="s">
        <v>36</v>
      </c>
      <c r="N3096" t="s">
        <v>32</v>
      </c>
      <c r="O3096">
        <v>19</v>
      </c>
      <c r="R3096" s="11">
        <v>4.1666666666666669E-4</v>
      </c>
      <c r="S3096" t="s">
        <v>37</v>
      </c>
      <c r="T3096" t="str">
        <f>IF(Tabela1[[#This Row],[STATUS_NEGOCIO]]="Enviar E-mail",1,"")</f>
        <v/>
      </c>
      <c r="U3096" t="str">
        <f>TEXT(Tabela1[[#This Row],[DATA]],"dd/mm/aaaa")</f>
        <v>27/05/2026</v>
      </c>
    </row>
    <row r="3097" spans="1:21" x14ac:dyDescent="0.25">
      <c r="A3097" s="9">
        <v>46169.588171296295</v>
      </c>
      <c r="B3097" t="s">
        <v>19</v>
      </c>
      <c r="C3097" t="s">
        <v>27</v>
      </c>
      <c r="E3097"/>
      <c r="F3097">
        <v>2761274805</v>
      </c>
      <c r="G3097" s="10">
        <v>177990160930301</v>
      </c>
      <c r="H3097" t="s">
        <v>28</v>
      </c>
      <c r="I3097" t="s">
        <v>67</v>
      </c>
      <c r="J3097" t="s">
        <v>30</v>
      </c>
      <c r="K3097" t="s">
        <v>62</v>
      </c>
      <c r="N3097" t="s">
        <v>26</v>
      </c>
      <c r="O3097">
        <v>17</v>
      </c>
      <c r="R3097" s="11">
        <v>1.1574074074074073E-5</v>
      </c>
      <c r="S3097" t="s">
        <v>37</v>
      </c>
      <c r="T3097" t="str">
        <f>IF(Tabela1[[#This Row],[STATUS_NEGOCIO]]="Enviar E-mail",1,"")</f>
        <v/>
      </c>
      <c r="U3097" t="str">
        <f>TEXT(Tabela1[[#This Row],[DATA]],"dd/mm/aaaa")</f>
        <v>27/05/2026</v>
      </c>
    </row>
    <row r="3098" spans="1:21" x14ac:dyDescent="0.25">
      <c r="A3098" s="9">
        <v>46169.588680555556</v>
      </c>
      <c r="B3098" t="s">
        <v>19</v>
      </c>
      <c r="C3098" t="s">
        <v>27</v>
      </c>
      <c r="E3098"/>
      <c r="F3098">
        <v>2767294501</v>
      </c>
      <c r="G3098" s="10">
        <v>177990166230481</v>
      </c>
      <c r="H3098" t="s">
        <v>28</v>
      </c>
      <c r="I3098" t="s">
        <v>310</v>
      </c>
      <c r="J3098" t="s">
        <v>30</v>
      </c>
      <c r="K3098" t="s">
        <v>23</v>
      </c>
      <c r="L3098" t="s">
        <v>31</v>
      </c>
      <c r="N3098" t="s">
        <v>32</v>
      </c>
      <c r="O3098">
        <v>16</v>
      </c>
      <c r="R3098" s="11">
        <v>4.6296296296296298E-4</v>
      </c>
      <c r="S3098" s="11">
        <v>5.7870370370370373E-5</v>
      </c>
      <c r="T3098" t="str">
        <f>IF(Tabela1[[#This Row],[STATUS_NEGOCIO]]="Enviar E-mail",1,"")</f>
        <v/>
      </c>
      <c r="U3098" t="str">
        <f>TEXT(Tabela1[[#This Row],[DATA]],"dd/mm/aaaa")</f>
        <v>27/05/2026</v>
      </c>
    </row>
    <row r="3099" spans="1:21" x14ac:dyDescent="0.25">
      <c r="A3099" s="9">
        <v>46169.588807870372</v>
      </c>
      <c r="B3099" t="s">
        <v>19</v>
      </c>
      <c r="C3099" t="s">
        <v>20</v>
      </c>
      <c r="E3099"/>
      <c r="F3099">
        <v>2761356138</v>
      </c>
      <c r="G3099" s="10">
        <v>177990167330501</v>
      </c>
      <c r="H3099" t="s">
        <v>28</v>
      </c>
      <c r="I3099" t="s">
        <v>255</v>
      </c>
      <c r="J3099" t="s">
        <v>30</v>
      </c>
      <c r="K3099" t="s">
        <v>36</v>
      </c>
      <c r="N3099" t="s">
        <v>32</v>
      </c>
      <c r="O3099">
        <v>19</v>
      </c>
      <c r="R3099" s="11">
        <v>1.1574074074074075E-4</v>
      </c>
      <c r="S3099" t="s">
        <v>37</v>
      </c>
      <c r="T3099" t="str">
        <f>IF(Tabela1[[#This Row],[STATUS_NEGOCIO]]="Enviar E-mail",1,"")</f>
        <v/>
      </c>
      <c r="U3099" t="str">
        <f>TEXT(Tabela1[[#This Row],[DATA]],"dd/mm/aaaa")</f>
        <v>27/05/2026</v>
      </c>
    </row>
    <row r="3100" spans="1:21" x14ac:dyDescent="0.25">
      <c r="A3100" s="9">
        <v>46169.592372685183</v>
      </c>
      <c r="B3100" t="s">
        <v>19</v>
      </c>
      <c r="C3100" t="s">
        <v>27</v>
      </c>
      <c r="E3100"/>
      <c r="F3100">
        <v>2747263115</v>
      </c>
      <c r="G3100" s="10">
        <v>177990198131071</v>
      </c>
      <c r="H3100" t="s">
        <v>28</v>
      </c>
      <c r="I3100" t="s">
        <v>311</v>
      </c>
      <c r="J3100" t="s">
        <v>30</v>
      </c>
      <c r="K3100" t="s">
        <v>23</v>
      </c>
      <c r="L3100" t="s">
        <v>31</v>
      </c>
      <c r="N3100" t="s">
        <v>26</v>
      </c>
      <c r="O3100">
        <v>16</v>
      </c>
      <c r="R3100" s="11">
        <v>1.4467592592592592E-3</v>
      </c>
      <c r="S3100" s="11">
        <v>1.4236111111111112E-3</v>
      </c>
      <c r="T3100" t="str">
        <f>IF(Tabela1[[#This Row],[STATUS_NEGOCIO]]="Enviar E-mail",1,"")</f>
        <v/>
      </c>
      <c r="U3100" t="str">
        <f>TEXT(Tabela1[[#This Row],[DATA]],"dd/mm/aaaa")</f>
        <v>27/05/2026</v>
      </c>
    </row>
    <row r="3101" spans="1:21" x14ac:dyDescent="0.25">
      <c r="A3101" s="9">
        <v>46169.594386574077</v>
      </c>
      <c r="B3101" t="s">
        <v>19</v>
      </c>
      <c r="C3101" t="s">
        <v>27</v>
      </c>
      <c r="E3101"/>
      <c r="F3101">
        <v>2761707052</v>
      </c>
      <c r="G3101" s="10">
        <v>177990215531461</v>
      </c>
      <c r="H3101" t="s">
        <v>28</v>
      </c>
      <c r="I3101" t="s">
        <v>213</v>
      </c>
      <c r="J3101" t="s">
        <v>30</v>
      </c>
      <c r="K3101" t="s">
        <v>23</v>
      </c>
      <c r="L3101" t="s">
        <v>31</v>
      </c>
      <c r="N3101" t="s">
        <v>32</v>
      </c>
      <c r="O3101">
        <v>16</v>
      </c>
      <c r="R3101" s="11">
        <v>4.1666666666666669E-4</v>
      </c>
      <c r="S3101" s="11">
        <v>2.199074074074074E-4</v>
      </c>
      <c r="T3101" t="str">
        <f>IF(Tabela1[[#This Row],[STATUS_NEGOCIO]]="Enviar E-mail",1,"")</f>
        <v/>
      </c>
      <c r="U3101" t="str">
        <f>TEXT(Tabela1[[#This Row],[DATA]],"dd/mm/aaaa")</f>
        <v>27/05/2026</v>
      </c>
    </row>
    <row r="3102" spans="1:21" x14ac:dyDescent="0.25">
      <c r="A3102" s="9">
        <v>46169.596539351849</v>
      </c>
      <c r="B3102" t="s">
        <v>19</v>
      </c>
      <c r="C3102" t="s">
        <v>20</v>
      </c>
      <c r="E3102"/>
      <c r="F3102">
        <v>2771948162</v>
      </c>
      <c r="G3102" s="10">
        <v>177990234131881</v>
      </c>
      <c r="H3102" t="s">
        <v>28</v>
      </c>
      <c r="I3102" t="s">
        <v>73</v>
      </c>
      <c r="J3102" t="s">
        <v>30</v>
      </c>
      <c r="K3102" t="s">
        <v>36</v>
      </c>
      <c r="N3102" t="s">
        <v>32</v>
      </c>
      <c r="O3102">
        <v>19</v>
      </c>
      <c r="R3102" s="11">
        <v>2.0833333333333335E-4</v>
      </c>
      <c r="S3102" t="s">
        <v>37</v>
      </c>
      <c r="T3102" t="str">
        <f>IF(Tabela1[[#This Row],[STATUS_NEGOCIO]]="Enviar E-mail",1,"")</f>
        <v/>
      </c>
      <c r="U3102" t="str">
        <f>TEXT(Tabela1[[#This Row],[DATA]],"dd/mm/aaaa")</f>
        <v>27/05/2026</v>
      </c>
    </row>
    <row r="3103" spans="1:21" x14ac:dyDescent="0.25">
      <c r="A3103" s="9">
        <v>46169.597453703704</v>
      </c>
      <c r="B3103" t="s">
        <v>19</v>
      </c>
      <c r="C3103" t="s">
        <v>20</v>
      </c>
      <c r="E3103"/>
      <c r="F3103">
        <v>2779335262</v>
      </c>
      <c r="G3103" s="10">
        <v>177990242031971</v>
      </c>
      <c r="H3103" t="s">
        <v>28</v>
      </c>
      <c r="I3103" t="s">
        <v>114</v>
      </c>
      <c r="J3103" t="s">
        <v>30</v>
      </c>
      <c r="K3103" t="s">
        <v>36</v>
      </c>
      <c r="N3103" t="s">
        <v>32</v>
      </c>
      <c r="O3103">
        <v>19</v>
      </c>
      <c r="R3103" s="11">
        <v>6.9444444444444444E-5</v>
      </c>
      <c r="S3103" t="s">
        <v>37</v>
      </c>
      <c r="T3103" t="str">
        <f>IF(Tabela1[[#This Row],[STATUS_NEGOCIO]]="Enviar E-mail",1,"")</f>
        <v/>
      </c>
      <c r="U3103" t="str">
        <f>TEXT(Tabela1[[#This Row],[DATA]],"dd/mm/aaaa")</f>
        <v>27/05/2026</v>
      </c>
    </row>
    <row r="3104" spans="1:21" x14ac:dyDescent="0.25">
      <c r="A3104" s="9">
        <v>46169.599236111113</v>
      </c>
      <c r="B3104" t="s">
        <v>19</v>
      </c>
      <c r="C3104" t="s">
        <v>20</v>
      </c>
      <c r="E3104"/>
      <c r="F3104">
        <v>2764059441</v>
      </c>
      <c r="G3104" s="10">
        <v>177990257432291</v>
      </c>
      <c r="H3104" t="s">
        <v>28</v>
      </c>
      <c r="I3104" t="s">
        <v>214</v>
      </c>
      <c r="J3104" t="s">
        <v>30</v>
      </c>
      <c r="K3104" t="s">
        <v>23</v>
      </c>
      <c r="L3104" t="s">
        <v>40</v>
      </c>
      <c r="N3104" t="s">
        <v>26</v>
      </c>
      <c r="O3104">
        <v>16</v>
      </c>
      <c r="R3104" s="11">
        <v>2.5000000000000001E-3</v>
      </c>
      <c r="S3104" s="11">
        <v>2.3726851851851851E-3</v>
      </c>
      <c r="T3104">
        <f>IF(Tabela1[[#This Row],[STATUS_NEGOCIO]]="Enviar E-mail",1,"")</f>
        <v>1</v>
      </c>
      <c r="U3104" t="str">
        <f>TEXT(Tabela1[[#This Row],[DATA]],"dd/mm/aaaa")</f>
        <v>27/05/2026</v>
      </c>
    </row>
    <row r="3105" spans="1:21" x14ac:dyDescent="0.25">
      <c r="A3105" s="9">
        <v>46169.600682870368</v>
      </c>
      <c r="B3105" t="s">
        <v>19</v>
      </c>
      <c r="C3105" t="s">
        <v>27</v>
      </c>
      <c r="E3105"/>
      <c r="F3105">
        <v>2779434248</v>
      </c>
      <c r="G3105" s="10">
        <v>177990269932511</v>
      </c>
      <c r="H3105" t="s">
        <v>28</v>
      </c>
      <c r="I3105" t="s">
        <v>208</v>
      </c>
      <c r="J3105" t="s">
        <v>30</v>
      </c>
      <c r="K3105" t="s">
        <v>23</v>
      </c>
      <c r="L3105" t="s">
        <v>31</v>
      </c>
      <c r="N3105" t="s">
        <v>26</v>
      </c>
      <c r="O3105">
        <v>16</v>
      </c>
      <c r="R3105" s="11">
        <v>7.0601851851851847E-4</v>
      </c>
      <c r="S3105" s="11">
        <v>2.199074074074074E-4</v>
      </c>
      <c r="T3105" t="str">
        <f>IF(Tabela1[[#This Row],[STATUS_NEGOCIO]]="Enviar E-mail",1,"")</f>
        <v/>
      </c>
      <c r="U3105" t="str">
        <f>TEXT(Tabela1[[#This Row],[DATA]],"dd/mm/aaaa")</f>
        <v>27/05/2026</v>
      </c>
    </row>
    <row r="3106" spans="1:21" x14ac:dyDescent="0.25">
      <c r="A3106" s="9">
        <v>46169.602037037039</v>
      </c>
      <c r="B3106" t="s">
        <v>19</v>
      </c>
      <c r="C3106" t="s">
        <v>27</v>
      </c>
      <c r="E3106"/>
      <c r="F3106">
        <v>2744427544</v>
      </c>
      <c r="G3106" s="10">
        <v>177990281632681</v>
      </c>
      <c r="H3106" t="s">
        <v>28</v>
      </c>
      <c r="I3106" t="s">
        <v>336</v>
      </c>
      <c r="J3106" t="s">
        <v>30</v>
      </c>
      <c r="K3106" t="s">
        <v>23</v>
      </c>
      <c r="L3106" t="s">
        <v>106</v>
      </c>
      <c r="N3106" t="s">
        <v>26</v>
      </c>
      <c r="O3106">
        <v>16</v>
      </c>
      <c r="R3106" s="11">
        <v>2.1759259259259258E-3</v>
      </c>
      <c r="S3106" s="11">
        <v>2.1180555555555558E-3</v>
      </c>
      <c r="T3106" t="str">
        <f>IF(Tabela1[[#This Row],[STATUS_NEGOCIO]]="Enviar E-mail",1,"")</f>
        <v/>
      </c>
      <c r="U3106" t="str">
        <f>TEXT(Tabela1[[#This Row],[DATA]],"dd/mm/aaaa")</f>
        <v>27/05/2026</v>
      </c>
    </row>
    <row r="3107" spans="1:21" x14ac:dyDescent="0.25">
      <c r="A3107" s="9">
        <v>46169.606192129628</v>
      </c>
      <c r="B3107" t="s">
        <v>19</v>
      </c>
      <c r="C3107" t="s">
        <v>20</v>
      </c>
      <c r="E3107"/>
      <c r="F3107">
        <v>2753431014</v>
      </c>
      <c r="G3107" s="10">
        <v>177990317533491</v>
      </c>
      <c r="H3107" t="s">
        <v>28</v>
      </c>
      <c r="I3107" t="s">
        <v>220</v>
      </c>
      <c r="J3107" t="s">
        <v>30</v>
      </c>
      <c r="K3107" t="s">
        <v>23</v>
      </c>
      <c r="L3107" t="s">
        <v>44</v>
      </c>
      <c r="N3107" t="s">
        <v>32</v>
      </c>
      <c r="O3107">
        <v>16</v>
      </c>
      <c r="R3107" s="11">
        <v>3.4722222222222224E-4</v>
      </c>
      <c r="S3107" s="11">
        <v>4.6296296296296294E-5</v>
      </c>
      <c r="T3107" t="str">
        <f>IF(Tabela1[[#This Row],[STATUS_NEGOCIO]]="Enviar E-mail",1,"")</f>
        <v/>
      </c>
      <c r="U3107" t="str">
        <f>TEXT(Tabela1[[#This Row],[DATA]],"dd/mm/aaaa")</f>
        <v>27/05/2026</v>
      </c>
    </row>
    <row r="3108" spans="1:21" x14ac:dyDescent="0.25">
      <c r="A3108" s="9">
        <v>46169.607071759259</v>
      </c>
      <c r="B3108" t="s">
        <v>19</v>
      </c>
      <c r="C3108" t="s">
        <v>20</v>
      </c>
      <c r="E3108"/>
      <c r="F3108">
        <v>2778235095</v>
      </c>
      <c r="G3108" s="10">
        <v>177990325133561</v>
      </c>
      <c r="H3108" t="s">
        <v>28</v>
      </c>
      <c r="I3108" t="s">
        <v>534</v>
      </c>
      <c r="J3108" t="s">
        <v>30</v>
      </c>
      <c r="K3108" t="s">
        <v>23</v>
      </c>
      <c r="L3108" t="s">
        <v>31</v>
      </c>
      <c r="N3108" t="s">
        <v>32</v>
      </c>
      <c r="O3108">
        <v>16</v>
      </c>
      <c r="R3108" s="11">
        <v>5.3240740740740744E-4</v>
      </c>
      <c r="S3108" s="11">
        <v>6.9444444444444444E-5</v>
      </c>
      <c r="T3108" t="str">
        <f>IF(Tabela1[[#This Row],[STATUS_NEGOCIO]]="Enviar E-mail",1,"")</f>
        <v/>
      </c>
      <c r="U3108" t="str">
        <f>TEXT(Tabela1[[#This Row],[DATA]],"dd/mm/aaaa")</f>
        <v>27/05/2026</v>
      </c>
    </row>
    <row r="3109" spans="1:21" x14ac:dyDescent="0.25">
      <c r="A3109" s="9">
        <v>46169.608391203707</v>
      </c>
      <c r="B3109" t="s">
        <v>19</v>
      </c>
      <c r="C3109" t="s">
        <v>27</v>
      </c>
      <c r="E3109"/>
      <c r="F3109">
        <v>2761475548</v>
      </c>
      <c r="G3109" s="10">
        <v>177990336533751</v>
      </c>
      <c r="H3109" t="s">
        <v>28</v>
      </c>
      <c r="I3109" t="s">
        <v>202</v>
      </c>
      <c r="J3109" t="s">
        <v>30</v>
      </c>
      <c r="K3109" t="s">
        <v>23</v>
      </c>
      <c r="L3109" t="s">
        <v>31</v>
      </c>
      <c r="N3109" t="s">
        <v>26</v>
      </c>
      <c r="O3109">
        <v>16</v>
      </c>
      <c r="R3109" s="11">
        <v>6.3657407407407413E-4</v>
      </c>
      <c r="S3109" s="11">
        <v>3.7037037037037035E-4</v>
      </c>
      <c r="T3109" t="str">
        <f>IF(Tabela1[[#This Row],[STATUS_NEGOCIO]]="Enviar E-mail",1,"")</f>
        <v/>
      </c>
      <c r="U3109" t="str">
        <f>TEXT(Tabela1[[#This Row],[DATA]],"dd/mm/aaaa")</f>
        <v>27/05/2026</v>
      </c>
    </row>
    <row r="3110" spans="1:21" x14ac:dyDescent="0.25">
      <c r="A3110" s="9">
        <v>46169.608923611115</v>
      </c>
      <c r="B3110" t="s">
        <v>19</v>
      </c>
      <c r="C3110" t="s">
        <v>20</v>
      </c>
      <c r="E3110"/>
      <c r="F3110">
        <v>2744676229</v>
      </c>
      <c r="G3110" s="10">
        <v>177990341133851</v>
      </c>
      <c r="H3110" t="s">
        <v>28</v>
      </c>
      <c r="I3110" t="s">
        <v>244</v>
      </c>
      <c r="J3110" t="s">
        <v>30</v>
      </c>
      <c r="K3110" t="s">
        <v>23</v>
      </c>
      <c r="L3110" t="s">
        <v>31</v>
      </c>
      <c r="N3110" t="s">
        <v>32</v>
      </c>
      <c r="O3110">
        <v>16</v>
      </c>
      <c r="R3110" s="11">
        <v>3.1250000000000001E-4</v>
      </c>
      <c r="S3110" s="11">
        <v>1.1574074074074073E-5</v>
      </c>
      <c r="T3110" t="str">
        <f>IF(Tabela1[[#This Row],[STATUS_NEGOCIO]]="Enviar E-mail",1,"")</f>
        <v/>
      </c>
      <c r="U3110" t="str">
        <f>TEXT(Tabela1[[#This Row],[DATA]],"dd/mm/aaaa")</f>
        <v>27/05/2026</v>
      </c>
    </row>
    <row r="3111" spans="1:21" x14ac:dyDescent="0.25">
      <c r="A3111" s="9">
        <v>46169.612430555557</v>
      </c>
      <c r="B3111" t="s">
        <v>19</v>
      </c>
      <c r="C3111" t="s">
        <v>27</v>
      </c>
      <c r="E3111"/>
      <c r="F3111">
        <v>2712772361</v>
      </c>
      <c r="G3111" s="10">
        <v>177990371434351</v>
      </c>
      <c r="H3111" t="s">
        <v>28</v>
      </c>
      <c r="I3111" t="s">
        <v>83</v>
      </c>
      <c r="J3111" t="s">
        <v>30</v>
      </c>
      <c r="K3111" t="s">
        <v>23</v>
      </c>
      <c r="L3111" t="s">
        <v>219</v>
      </c>
      <c r="N3111" t="s">
        <v>26</v>
      </c>
      <c r="O3111">
        <v>16</v>
      </c>
      <c r="R3111" s="11">
        <v>3.8194444444444446E-4</v>
      </c>
      <c r="S3111" s="11">
        <v>2.199074074074074E-4</v>
      </c>
      <c r="T3111" t="str">
        <f>IF(Tabela1[[#This Row],[STATUS_NEGOCIO]]="Enviar E-mail",1,"")</f>
        <v/>
      </c>
      <c r="U3111" t="str">
        <f>TEXT(Tabela1[[#This Row],[DATA]],"dd/mm/aaaa")</f>
        <v>27/05/2026</v>
      </c>
    </row>
    <row r="3112" spans="1:21" x14ac:dyDescent="0.25">
      <c r="A3112" s="9">
        <v>46169.612685185188</v>
      </c>
      <c r="B3112" t="s">
        <v>19</v>
      </c>
      <c r="C3112" t="s">
        <v>20</v>
      </c>
      <c r="E3112"/>
      <c r="F3112">
        <v>2778493838</v>
      </c>
      <c r="G3112" s="10">
        <v>177990373634381</v>
      </c>
      <c r="H3112" t="s">
        <v>28</v>
      </c>
      <c r="I3112" t="s">
        <v>118</v>
      </c>
      <c r="J3112" t="s">
        <v>30</v>
      </c>
      <c r="K3112" t="s">
        <v>36</v>
      </c>
      <c r="N3112" t="s">
        <v>32</v>
      </c>
      <c r="O3112">
        <v>19</v>
      </c>
      <c r="R3112" s="11">
        <v>6.9444444444444444E-5</v>
      </c>
      <c r="S3112" t="s">
        <v>37</v>
      </c>
      <c r="T3112" t="str">
        <f>IF(Tabela1[[#This Row],[STATUS_NEGOCIO]]="Enviar E-mail",1,"")</f>
        <v/>
      </c>
      <c r="U3112" t="str">
        <f>TEXT(Tabela1[[#This Row],[DATA]],"dd/mm/aaaa")</f>
        <v>27/05/2026</v>
      </c>
    </row>
    <row r="3113" spans="1:21" x14ac:dyDescent="0.25">
      <c r="A3113" s="9">
        <v>46169.61409722222</v>
      </c>
      <c r="B3113" t="s">
        <v>19</v>
      </c>
      <c r="C3113" t="s">
        <v>20</v>
      </c>
      <c r="E3113"/>
      <c r="F3113">
        <v>2779888854</v>
      </c>
      <c r="G3113" s="10">
        <v>177990385834571</v>
      </c>
      <c r="H3113" t="s">
        <v>28</v>
      </c>
      <c r="I3113" t="s">
        <v>90</v>
      </c>
      <c r="J3113" t="s">
        <v>30</v>
      </c>
      <c r="K3113" t="s">
        <v>36</v>
      </c>
      <c r="N3113" t="s">
        <v>32</v>
      </c>
      <c r="O3113">
        <v>19</v>
      </c>
      <c r="R3113" s="11">
        <v>5.7870370370370373E-5</v>
      </c>
      <c r="S3113" t="s">
        <v>37</v>
      </c>
      <c r="T3113" t="str">
        <f>IF(Tabela1[[#This Row],[STATUS_NEGOCIO]]="Enviar E-mail",1,"")</f>
        <v/>
      </c>
      <c r="U3113" t="str">
        <f>TEXT(Tabela1[[#This Row],[DATA]],"dd/mm/aaaa")</f>
        <v>27/05/2026</v>
      </c>
    </row>
    <row r="3114" spans="1:21" x14ac:dyDescent="0.25">
      <c r="A3114" s="9">
        <v>46169.614259259259</v>
      </c>
      <c r="B3114" t="s">
        <v>19</v>
      </c>
      <c r="C3114" t="s">
        <v>20</v>
      </c>
      <c r="E3114"/>
      <c r="F3114">
        <v>2779888868</v>
      </c>
      <c r="G3114" s="10">
        <v>177990387234601</v>
      </c>
      <c r="H3114" t="s">
        <v>28</v>
      </c>
      <c r="I3114" t="s">
        <v>90</v>
      </c>
      <c r="J3114" t="s">
        <v>30</v>
      </c>
      <c r="K3114" t="s">
        <v>23</v>
      </c>
      <c r="L3114" t="s">
        <v>31</v>
      </c>
      <c r="N3114" t="s">
        <v>26</v>
      </c>
      <c r="O3114">
        <v>16</v>
      </c>
      <c r="R3114" s="11">
        <v>1.8518518518518518E-4</v>
      </c>
      <c r="S3114" s="11">
        <v>1.1574074074074075E-4</v>
      </c>
      <c r="T3114" t="str">
        <f>IF(Tabela1[[#This Row],[STATUS_NEGOCIO]]="Enviar E-mail",1,"")</f>
        <v/>
      </c>
      <c r="U3114" t="str">
        <f>TEXT(Tabela1[[#This Row],[DATA]],"dd/mm/aaaa")</f>
        <v>27/05/2026</v>
      </c>
    </row>
    <row r="3115" spans="1:21" x14ac:dyDescent="0.25">
      <c r="A3115" s="9">
        <v>46169.615555555552</v>
      </c>
      <c r="B3115" t="s">
        <v>19</v>
      </c>
      <c r="C3115" t="s">
        <v>27</v>
      </c>
      <c r="E3115"/>
      <c r="F3115">
        <v>2779465615</v>
      </c>
      <c r="G3115" s="10">
        <v>177990398434701</v>
      </c>
      <c r="H3115" t="s">
        <v>28</v>
      </c>
      <c r="I3115" t="s">
        <v>107</v>
      </c>
      <c r="J3115" t="s">
        <v>30</v>
      </c>
      <c r="K3115" t="s">
        <v>23</v>
      </c>
      <c r="L3115" t="s">
        <v>31</v>
      </c>
      <c r="N3115" t="s">
        <v>32</v>
      </c>
      <c r="O3115">
        <v>16</v>
      </c>
      <c r="R3115" s="11">
        <v>6.7129629629629625E-4</v>
      </c>
      <c r="S3115" s="11">
        <v>4.5138888888888887E-4</v>
      </c>
      <c r="T3115" t="str">
        <f>IF(Tabela1[[#This Row],[STATUS_NEGOCIO]]="Enviar E-mail",1,"")</f>
        <v/>
      </c>
      <c r="U3115" t="str">
        <f>TEXT(Tabela1[[#This Row],[DATA]],"dd/mm/aaaa")</f>
        <v>27/05/2026</v>
      </c>
    </row>
    <row r="3116" spans="1:21" x14ac:dyDescent="0.25">
      <c r="A3116" s="9">
        <v>46169.616643518515</v>
      </c>
      <c r="B3116" t="s">
        <v>19</v>
      </c>
      <c r="C3116" t="s">
        <v>20</v>
      </c>
      <c r="E3116"/>
      <c r="F3116">
        <v>2778238400</v>
      </c>
      <c r="G3116" s="10">
        <v>177990407834951</v>
      </c>
      <c r="H3116" t="s">
        <v>28</v>
      </c>
      <c r="I3116" t="s">
        <v>184</v>
      </c>
      <c r="J3116" t="s">
        <v>30</v>
      </c>
      <c r="K3116" t="s">
        <v>36</v>
      </c>
      <c r="N3116" t="s">
        <v>32</v>
      </c>
      <c r="O3116">
        <v>19</v>
      </c>
      <c r="R3116" s="11">
        <v>4.2824074074074075E-4</v>
      </c>
      <c r="S3116" t="s">
        <v>37</v>
      </c>
      <c r="T3116" t="str">
        <f>IF(Tabela1[[#This Row],[STATUS_NEGOCIO]]="Enviar E-mail",1,"")</f>
        <v/>
      </c>
      <c r="U3116" t="str">
        <f>TEXT(Tabela1[[#This Row],[DATA]],"dd/mm/aaaa")</f>
        <v>27/05/2026</v>
      </c>
    </row>
    <row r="3117" spans="1:21" x14ac:dyDescent="0.25">
      <c r="A3117" s="9">
        <v>46169.617951388886</v>
      </c>
      <c r="B3117" t="s">
        <v>19</v>
      </c>
      <c r="C3117" t="s">
        <v>20</v>
      </c>
      <c r="E3117"/>
      <c r="F3117">
        <v>2768150232</v>
      </c>
      <c r="G3117" s="10">
        <v>177990419135121</v>
      </c>
      <c r="H3117" t="s">
        <v>28</v>
      </c>
      <c r="I3117" t="s">
        <v>39</v>
      </c>
      <c r="J3117" t="s">
        <v>30</v>
      </c>
      <c r="K3117" t="s">
        <v>36</v>
      </c>
      <c r="N3117" t="s">
        <v>32</v>
      </c>
      <c r="O3117">
        <v>19</v>
      </c>
      <c r="R3117" s="11">
        <v>1.9675925925925926E-4</v>
      </c>
      <c r="S3117" t="s">
        <v>37</v>
      </c>
      <c r="T3117" t="str">
        <f>IF(Tabela1[[#This Row],[STATUS_NEGOCIO]]="Enviar E-mail",1,"")</f>
        <v/>
      </c>
      <c r="U3117" t="str">
        <f>TEXT(Tabela1[[#This Row],[DATA]],"dd/mm/aaaa")</f>
        <v>27/05/2026</v>
      </c>
    </row>
    <row r="3118" spans="1:21" x14ac:dyDescent="0.25">
      <c r="A3118" s="9">
        <v>46169.619525462964</v>
      </c>
      <c r="B3118" t="s">
        <v>19</v>
      </c>
      <c r="C3118" t="s">
        <v>20</v>
      </c>
      <c r="E3118"/>
      <c r="F3118">
        <v>2779454304</v>
      </c>
      <c r="G3118" s="10">
        <v>177990432735491</v>
      </c>
      <c r="H3118" t="s">
        <v>28</v>
      </c>
      <c r="I3118" t="s">
        <v>483</v>
      </c>
      <c r="J3118" t="s">
        <v>30</v>
      </c>
      <c r="K3118" t="s">
        <v>36</v>
      </c>
      <c r="N3118" t="s">
        <v>32</v>
      </c>
      <c r="O3118">
        <v>19</v>
      </c>
      <c r="R3118" s="11">
        <v>4.3981481481481481E-4</v>
      </c>
      <c r="S3118" t="s">
        <v>37</v>
      </c>
      <c r="T3118" t="str">
        <f>IF(Tabela1[[#This Row],[STATUS_NEGOCIO]]="Enviar E-mail",1,"")</f>
        <v/>
      </c>
      <c r="U3118" t="str">
        <f>TEXT(Tabela1[[#This Row],[DATA]],"dd/mm/aaaa")</f>
        <v>27/05/2026</v>
      </c>
    </row>
    <row r="3119" spans="1:21" x14ac:dyDescent="0.25">
      <c r="A3119" s="9">
        <v>46169.620717592596</v>
      </c>
      <c r="B3119" t="s">
        <v>19</v>
      </c>
      <c r="C3119" t="s">
        <v>20</v>
      </c>
      <c r="E3119"/>
      <c r="F3119">
        <v>2761337497</v>
      </c>
      <c r="G3119" s="10">
        <v>177990443035731</v>
      </c>
      <c r="H3119" t="s">
        <v>28</v>
      </c>
      <c r="I3119" t="s">
        <v>61</v>
      </c>
      <c r="J3119" t="s">
        <v>30</v>
      </c>
      <c r="K3119" t="s">
        <v>23</v>
      </c>
      <c r="L3119" t="s">
        <v>40</v>
      </c>
      <c r="N3119" t="s">
        <v>26</v>
      </c>
      <c r="O3119">
        <v>16</v>
      </c>
      <c r="R3119" s="11">
        <v>1.5740740740740741E-3</v>
      </c>
      <c r="S3119" s="11">
        <v>1.4120370370370369E-3</v>
      </c>
      <c r="T3119">
        <f>IF(Tabela1[[#This Row],[STATUS_NEGOCIO]]="Enviar E-mail",1,"")</f>
        <v>1</v>
      </c>
      <c r="U3119" t="str">
        <f>TEXT(Tabela1[[#This Row],[DATA]],"dd/mm/aaaa")</f>
        <v>27/05/2026</v>
      </c>
    </row>
    <row r="3120" spans="1:21" x14ac:dyDescent="0.25">
      <c r="A3120" s="9">
        <v>46169.624039351853</v>
      </c>
      <c r="B3120" t="s">
        <v>19</v>
      </c>
      <c r="C3120" t="s">
        <v>27</v>
      </c>
      <c r="E3120"/>
      <c r="F3120">
        <v>2771987644</v>
      </c>
      <c r="G3120" s="10">
        <v>177990471736121</v>
      </c>
      <c r="H3120" t="s">
        <v>28</v>
      </c>
      <c r="I3120" t="s">
        <v>123</v>
      </c>
      <c r="J3120" t="s">
        <v>30</v>
      </c>
      <c r="K3120" t="s">
        <v>23</v>
      </c>
      <c r="L3120" t="s">
        <v>95</v>
      </c>
      <c r="N3120" t="s">
        <v>26</v>
      </c>
      <c r="O3120">
        <v>16</v>
      </c>
      <c r="R3120" s="11">
        <v>5.7870370370370367E-4</v>
      </c>
      <c r="S3120" s="11">
        <v>3.7037037037037035E-4</v>
      </c>
      <c r="T3120" t="str">
        <f>IF(Tabela1[[#This Row],[STATUS_NEGOCIO]]="Enviar E-mail",1,"")</f>
        <v/>
      </c>
      <c r="U3120" t="str">
        <f>TEXT(Tabela1[[#This Row],[DATA]],"dd/mm/aaaa")</f>
        <v>27/05/2026</v>
      </c>
    </row>
    <row r="3121" spans="1:21" x14ac:dyDescent="0.25">
      <c r="A3121" s="9">
        <v>46169.629803240743</v>
      </c>
      <c r="B3121" t="s">
        <v>19</v>
      </c>
      <c r="C3121" t="s">
        <v>27</v>
      </c>
      <c r="E3121"/>
      <c r="F3121">
        <v>2779000098</v>
      </c>
      <c r="G3121" s="10">
        <v>177990521537501</v>
      </c>
      <c r="H3121" t="s">
        <v>28</v>
      </c>
      <c r="I3121" t="s">
        <v>381</v>
      </c>
      <c r="J3121" t="s">
        <v>30</v>
      </c>
      <c r="K3121" t="s">
        <v>23</v>
      </c>
      <c r="L3121" t="s">
        <v>31</v>
      </c>
      <c r="N3121" t="s">
        <v>32</v>
      </c>
      <c r="O3121">
        <v>16</v>
      </c>
      <c r="R3121" s="11">
        <v>3.1250000000000001E-4</v>
      </c>
      <c r="S3121" s="11">
        <v>1.5046296296296297E-4</v>
      </c>
      <c r="T3121" t="str">
        <f>IF(Tabela1[[#This Row],[STATUS_NEGOCIO]]="Enviar E-mail",1,"")</f>
        <v/>
      </c>
      <c r="U3121" t="str">
        <f>TEXT(Tabela1[[#This Row],[DATA]],"dd/mm/aaaa")</f>
        <v>27/05/2026</v>
      </c>
    </row>
    <row r="3122" spans="1:21" x14ac:dyDescent="0.25">
      <c r="A3122" s="9">
        <v>46169.636018518519</v>
      </c>
      <c r="B3122" t="s">
        <v>19</v>
      </c>
      <c r="C3122" t="s">
        <v>27</v>
      </c>
      <c r="E3122"/>
      <c r="F3122">
        <v>2779323769</v>
      </c>
      <c r="G3122" s="10">
        <v>177990575238501</v>
      </c>
      <c r="H3122" t="s">
        <v>28</v>
      </c>
      <c r="I3122" t="s">
        <v>387</v>
      </c>
      <c r="J3122" t="s">
        <v>30</v>
      </c>
      <c r="K3122" t="s">
        <v>23</v>
      </c>
      <c r="N3122" t="s">
        <v>26</v>
      </c>
      <c r="O3122">
        <v>16</v>
      </c>
      <c r="R3122" s="11">
        <v>5.4398148148148144E-4</v>
      </c>
      <c r="S3122" s="11">
        <v>8.1018518518518516E-5</v>
      </c>
      <c r="T3122" t="str">
        <f>IF(Tabela1[[#This Row],[STATUS_NEGOCIO]]="Enviar E-mail",1,"")</f>
        <v/>
      </c>
      <c r="U3122" t="str">
        <f>TEXT(Tabela1[[#This Row],[DATA]],"dd/mm/aaaa")</f>
        <v>27/05/2026</v>
      </c>
    </row>
    <row r="3123" spans="1:21" x14ac:dyDescent="0.25">
      <c r="A3123" s="9">
        <v>46169.637511574074</v>
      </c>
      <c r="B3123" t="s">
        <v>19</v>
      </c>
      <c r="C3123" t="s">
        <v>27</v>
      </c>
      <c r="E3123"/>
      <c r="F3123">
        <v>2779323898</v>
      </c>
      <c r="G3123" s="10">
        <v>177990588139131</v>
      </c>
      <c r="H3123" t="s">
        <v>28</v>
      </c>
      <c r="I3123" t="s">
        <v>387</v>
      </c>
      <c r="J3123" t="s">
        <v>30</v>
      </c>
      <c r="K3123" t="s">
        <v>23</v>
      </c>
      <c r="L3123" t="s">
        <v>44</v>
      </c>
      <c r="N3123" t="s">
        <v>32</v>
      </c>
      <c r="O3123">
        <v>16</v>
      </c>
      <c r="R3123" s="11">
        <v>7.291666666666667E-4</v>
      </c>
      <c r="S3123" s="11">
        <v>4.6296296296296298E-4</v>
      </c>
      <c r="T3123" t="str">
        <f>IF(Tabela1[[#This Row],[STATUS_NEGOCIO]]="Enviar E-mail",1,"")</f>
        <v/>
      </c>
      <c r="U3123" t="str">
        <f>TEXT(Tabela1[[#This Row],[DATA]],"dd/mm/aaaa")</f>
        <v>27/05/2026</v>
      </c>
    </row>
    <row r="3124" spans="1:21" x14ac:dyDescent="0.25">
      <c r="A3124" s="9">
        <v>46169.640370370369</v>
      </c>
      <c r="B3124" t="s">
        <v>19</v>
      </c>
      <c r="C3124" t="s">
        <v>20</v>
      </c>
      <c r="E3124"/>
      <c r="F3124">
        <v>1806511946</v>
      </c>
      <c r="G3124" s="10">
        <v>177990612839901</v>
      </c>
      <c r="H3124" t="s">
        <v>28</v>
      </c>
      <c r="I3124" t="s">
        <v>435</v>
      </c>
      <c r="J3124" t="s">
        <v>30</v>
      </c>
      <c r="K3124" t="s">
        <v>23</v>
      </c>
      <c r="L3124" t="s">
        <v>40</v>
      </c>
      <c r="N3124" t="s">
        <v>26</v>
      </c>
      <c r="O3124">
        <v>16</v>
      </c>
      <c r="R3124" s="11">
        <v>4.8842592592592592E-3</v>
      </c>
      <c r="S3124" s="11">
        <v>4.4444444444444444E-3</v>
      </c>
      <c r="T3124">
        <f>IF(Tabela1[[#This Row],[STATUS_NEGOCIO]]="Enviar E-mail",1,"")</f>
        <v>1</v>
      </c>
      <c r="U3124" t="str">
        <f>TEXT(Tabela1[[#This Row],[DATA]],"dd/mm/aaaa")</f>
        <v>27/05/2026</v>
      </c>
    </row>
    <row r="3125" spans="1:21" x14ac:dyDescent="0.25">
      <c r="A3125" s="9">
        <v>46169.643460648149</v>
      </c>
      <c r="B3125" t="s">
        <v>19</v>
      </c>
      <c r="C3125" t="s">
        <v>27</v>
      </c>
      <c r="E3125"/>
      <c r="F3125">
        <v>2778263652</v>
      </c>
      <c r="G3125" s="10">
        <v>177990639540351</v>
      </c>
      <c r="H3125" t="s">
        <v>28</v>
      </c>
      <c r="I3125" t="s">
        <v>395</v>
      </c>
      <c r="J3125" t="s">
        <v>30</v>
      </c>
      <c r="K3125" t="s">
        <v>23</v>
      </c>
      <c r="L3125" t="s">
        <v>31</v>
      </c>
      <c r="N3125" t="s">
        <v>32</v>
      </c>
      <c r="O3125">
        <v>16</v>
      </c>
      <c r="R3125" s="11">
        <v>3.4722222222222224E-4</v>
      </c>
      <c r="S3125" s="11">
        <v>2.5462962962962961E-4</v>
      </c>
      <c r="T3125" t="str">
        <f>IF(Tabela1[[#This Row],[STATUS_NEGOCIO]]="Enviar E-mail",1,"")</f>
        <v/>
      </c>
      <c r="U3125" t="str">
        <f>TEXT(Tabela1[[#This Row],[DATA]],"dd/mm/aaaa")</f>
        <v>27/05/2026</v>
      </c>
    </row>
    <row r="3126" spans="1:21" x14ac:dyDescent="0.25">
      <c r="A3126" s="9">
        <v>46169.661226851851</v>
      </c>
      <c r="B3126" t="s">
        <v>19</v>
      </c>
      <c r="C3126" t="s">
        <v>20</v>
      </c>
      <c r="E3126"/>
      <c r="F3126">
        <v>2771337959</v>
      </c>
      <c r="G3126" s="10">
        <v>177990793042461</v>
      </c>
      <c r="H3126" t="s">
        <v>28</v>
      </c>
      <c r="I3126" t="s">
        <v>428</v>
      </c>
      <c r="J3126" t="s">
        <v>30</v>
      </c>
      <c r="K3126" t="s">
        <v>23</v>
      </c>
      <c r="L3126" t="s">
        <v>31</v>
      </c>
      <c r="N3126" t="s">
        <v>32</v>
      </c>
      <c r="O3126">
        <v>16</v>
      </c>
      <c r="R3126" s="11">
        <v>9.2592592592592588E-5</v>
      </c>
      <c r="S3126" t="s">
        <v>37</v>
      </c>
      <c r="T3126" t="str">
        <f>IF(Tabela1[[#This Row],[STATUS_NEGOCIO]]="Enviar E-mail",1,"")</f>
        <v/>
      </c>
      <c r="U3126" t="str">
        <f>TEXT(Tabela1[[#This Row],[DATA]],"dd/mm/aaaa")</f>
        <v>27/05/2026</v>
      </c>
    </row>
    <row r="3127" spans="1:21" x14ac:dyDescent="0.25">
      <c r="A3127" s="9">
        <v>46169.662627314814</v>
      </c>
      <c r="B3127" t="s">
        <v>19</v>
      </c>
      <c r="C3127" t="s">
        <v>20</v>
      </c>
      <c r="E3127"/>
      <c r="F3127">
        <v>2778637355</v>
      </c>
      <c r="G3127" s="10">
        <v>177990805142621</v>
      </c>
      <c r="H3127" t="s">
        <v>28</v>
      </c>
      <c r="I3127" t="s">
        <v>121</v>
      </c>
      <c r="J3127" t="s">
        <v>30</v>
      </c>
      <c r="K3127" t="s">
        <v>23</v>
      </c>
      <c r="L3127" t="s">
        <v>265</v>
      </c>
      <c r="N3127" t="s">
        <v>32</v>
      </c>
      <c r="O3127">
        <v>16</v>
      </c>
      <c r="R3127" s="11">
        <v>2.4305555555555555E-4</v>
      </c>
      <c r="S3127" s="11">
        <v>1.6203703703703703E-4</v>
      </c>
      <c r="T3127" t="str">
        <f>IF(Tabela1[[#This Row],[STATUS_NEGOCIO]]="Enviar E-mail",1,"")</f>
        <v/>
      </c>
      <c r="U3127" t="str">
        <f>TEXT(Tabela1[[#This Row],[DATA]],"dd/mm/aaaa")</f>
        <v>27/05/2026</v>
      </c>
    </row>
    <row r="3128" spans="1:21" x14ac:dyDescent="0.25">
      <c r="A3128" s="9">
        <v>46169.668495370373</v>
      </c>
      <c r="B3128" t="s">
        <v>19</v>
      </c>
      <c r="C3128" t="s">
        <v>20</v>
      </c>
      <c r="E3128"/>
      <c r="F3128">
        <v>2761366467</v>
      </c>
      <c r="G3128" s="10">
        <v>177990855843221</v>
      </c>
      <c r="H3128" t="s">
        <v>28</v>
      </c>
      <c r="I3128" t="s">
        <v>172</v>
      </c>
      <c r="J3128" t="s">
        <v>30</v>
      </c>
      <c r="K3128" t="s">
        <v>36</v>
      </c>
      <c r="N3128" t="s">
        <v>32</v>
      </c>
      <c r="O3128">
        <v>19</v>
      </c>
      <c r="R3128" s="11">
        <v>1.1574074074074075E-4</v>
      </c>
      <c r="S3128" t="s">
        <v>37</v>
      </c>
      <c r="T3128" t="str">
        <f>IF(Tabela1[[#This Row],[STATUS_NEGOCIO]]="Enviar E-mail",1,"")</f>
        <v/>
      </c>
      <c r="U3128" t="str">
        <f>TEXT(Tabela1[[#This Row],[DATA]],"dd/mm/aaaa")</f>
        <v>27/05/2026</v>
      </c>
    </row>
    <row r="3129" spans="1:21" x14ac:dyDescent="0.25">
      <c r="A3129" s="9">
        <v>46169.66909722222</v>
      </c>
      <c r="B3129" t="s">
        <v>19</v>
      </c>
      <c r="C3129" t="s">
        <v>27</v>
      </c>
      <c r="E3129"/>
      <c r="F3129">
        <v>2761729428</v>
      </c>
      <c r="G3129" s="10">
        <v>177990861043441</v>
      </c>
      <c r="H3129" t="s">
        <v>28</v>
      </c>
      <c r="I3129" t="s">
        <v>154</v>
      </c>
      <c r="J3129" t="s">
        <v>30</v>
      </c>
      <c r="K3129" t="s">
        <v>23</v>
      </c>
      <c r="L3129" t="s">
        <v>44</v>
      </c>
      <c r="N3129" t="s">
        <v>26</v>
      </c>
      <c r="O3129">
        <v>16</v>
      </c>
      <c r="R3129" s="11">
        <v>1.273148148148148E-4</v>
      </c>
      <c r="S3129" s="11">
        <v>4.6296296296296294E-5</v>
      </c>
      <c r="T3129" t="str">
        <f>IF(Tabela1[[#This Row],[STATUS_NEGOCIO]]="Enviar E-mail",1,"")</f>
        <v/>
      </c>
      <c r="U3129" t="str">
        <f>TEXT(Tabela1[[#This Row],[DATA]],"dd/mm/aaaa")</f>
        <v>27/05/2026</v>
      </c>
    </row>
    <row r="3130" spans="1:21" x14ac:dyDescent="0.25">
      <c r="A3130" s="9">
        <v>46169.669548611113</v>
      </c>
      <c r="B3130" t="s">
        <v>19</v>
      </c>
      <c r="C3130" t="s">
        <v>20</v>
      </c>
      <c r="E3130"/>
      <c r="F3130">
        <v>2761779285</v>
      </c>
      <c r="G3130" s="10">
        <v>177990864343471</v>
      </c>
      <c r="H3130" t="s">
        <v>28</v>
      </c>
      <c r="I3130" t="s">
        <v>420</v>
      </c>
      <c r="J3130" t="s">
        <v>30</v>
      </c>
      <c r="K3130" t="s">
        <v>62</v>
      </c>
      <c r="N3130" t="s">
        <v>26</v>
      </c>
      <c r="O3130">
        <v>21</v>
      </c>
      <c r="R3130" s="11">
        <v>1.1574074074074073E-5</v>
      </c>
      <c r="S3130" t="s">
        <v>37</v>
      </c>
      <c r="T3130" t="str">
        <f>IF(Tabela1[[#This Row],[STATUS_NEGOCIO]]="Enviar E-mail",1,"")</f>
        <v/>
      </c>
      <c r="U3130" t="str">
        <f>TEXT(Tabela1[[#This Row],[DATA]],"dd/mm/aaaa")</f>
        <v>27/05/2026</v>
      </c>
    </row>
    <row r="3131" spans="1:21" x14ac:dyDescent="0.25">
      <c r="A3131" s="9">
        <v>46169.670011574075</v>
      </c>
      <c r="B3131" t="s">
        <v>19</v>
      </c>
      <c r="C3131" t="s">
        <v>27</v>
      </c>
      <c r="E3131"/>
      <c r="F3131">
        <v>2761779326</v>
      </c>
      <c r="G3131" s="10">
        <v>177990868443571</v>
      </c>
      <c r="H3131" t="s">
        <v>28</v>
      </c>
      <c r="I3131" t="s">
        <v>420</v>
      </c>
      <c r="J3131" t="s">
        <v>30</v>
      </c>
      <c r="K3131" t="s">
        <v>62</v>
      </c>
      <c r="N3131" t="s">
        <v>26</v>
      </c>
      <c r="O3131">
        <v>21</v>
      </c>
      <c r="R3131" s="11">
        <v>1.1574074074074073E-5</v>
      </c>
      <c r="S3131" t="s">
        <v>37</v>
      </c>
      <c r="T3131" t="str">
        <f>IF(Tabela1[[#This Row],[STATUS_NEGOCIO]]="Enviar E-mail",1,"")</f>
        <v/>
      </c>
      <c r="U3131" t="str">
        <f>TEXT(Tabela1[[#This Row],[DATA]],"dd/mm/aaaa")</f>
        <v>27/05/2026</v>
      </c>
    </row>
    <row r="3132" spans="1:21" x14ac:dyDescent="0.25">
      <c r="A3132" s="9">
        <v>46169.670474537037</v>
      </c>
      <c r="B3132" t="s">
        <v>19</v>
      </c>
      <c r="C3132" t="s">
        <v>27</v>
      </c>
      <c r="E3132"/>
      <c r="F3132">
        <v>2761779365</v>
      </c>
      <c r="G3132" s="10">
        <v>177990872343771</v>
      </c>
      <c r="H3132" t="s">
        <v>28</v>
      </c>
      <c r="I3132" t="s">
        <v>420</v>
      </c>
      <c r="J3132" t="s">
        <v>30</v>
      </c>
      <c r="K3132" t="s">
        <v>62</v>
      </c>
      <c r="N3132" t="s">
        <v>26</v>
      </c>
      <c r="O3132">
        <v>21</v>
      </c>
      <c r="R3132" s="11">
        <v>1.1574074074074073E-5</v>
      </c>
      <c r="S3132" t="s">
        <v>37</v>
      </c>
      <c r="T3132" t="str">
        <f>IF(Tabela1[[#This Row],[STATUS_NEGOCIO]]="Enviar E-mail",1,"")</f>
        <v/>
      </c>
      <c r="U3132" t="str">
        <f>TEXT(Tabela1[[#This Row],[DATA]],"dd/mm/aaaa")</f>
        <v>27/05/2026</v>
      </c>
    </row>
    <row r="3133" spans="1:21" x14ac:dyDescent="0.25">
      <c r="A3133" s="9">
        <v>46170.379189814812</v>
      </c>
      <c r="B3133" t="s">
        <v>19</v>
      </c>
      <c r="C3133" t="s">
        <v>20</v>
      </c>
      <c r="E3133"/>
      <c r="F3133">
        <v>2761568769</v>
      </c>
      <c r="G3133" s="10">
        <v>17799699623351</v>
      </c>
      <c r="H3133" t="s">
        <v>28</v>
      </c>
      <c r="I3133" t="s">
        <v>609</v>
      </c>
      <c r="J3133" t="s">
        <v>30</v>
      </c>
      <c r="K3133" t="s">
        <v>36</v>
      </c>
      <c r="N3133" t="s">
        <v>32</v>
      </c>
      <c r="O3133">
        <v>19</v>
      </c>
      <c r="R3133" s="11">
        <v>6.9444444444444444E-5</v>
      </c>
      <c r="S3133" t="s">
        <v>37</v>
      </c>
      <c r="T3133" t="str">
        <f>IF(Tabela1[[#This Row],[STATUS_NEGOCIO]]="Enviar E-mail",1,"")</f>
        <v/>
      </c>
      <c r="U3133" t="str">
        <f>TEXT(Tabela1[[#This Row],[DATA]],"dd/mm/aaaa")</f>
        <v>28/05/2026</v>
      </c>
    </row>
    <row r="3134" spans="1:21" x14ac:dyDescent="0.25">
      <c r="A3134" s="9">
        <v>46170.379340277781</v>
      </c>
      <c r="B3134" t="s">
        <v>19</v>
      </c>
      <c r="C3134" t="s">
        <v>20</v>
      </c>
      <c r="E3134"/>
      <c r="F3134">
        <v>2761568782</v>
      </c>
      <c r="G3134" s="10">
        <v>17799699753401</v>
      </c>
      <c r="H3134" t="s">
        <v>28</v>
      </c>
      <c r="I3134" t="s">
        <v>609</v>
      </c>
      <c r="J3134" t="s">
        <v>30</v>
      </c>
      <c r="K3134" t="s">
        <v>36</v>
      </c>
      <c r="N3134" t="s">
        <v>32</v>
      </c>
      <c r="O3134">
        <v>19</v>
      </c>
      <c r="R3134" s="11">
        <v>5.7870370370370373E-5</v>
      </c>
      <c r="S3134" t="s">
        <v>37</v>
      </c>
      <c r="T3134" t="str">
        <f>IF(Tabela1[[#This Row],[STATUS_NEGOCIO]]="Enviar E-mail",1,"")</f>
        <v/>
      </c>
      <c r="U3134" t="str">
        <f>TEXT(Tabela1[[#This Row],[DATA]],"dd/mm/aaaa")</f>
        <v>28/05/2026</v>
      </c>
    </row>
    <row r="3135" spans="1:21" x14ac:dyDescent="0.25">
      <c r="A3135" s="9">
        <v>46170.383715277778</v>
      </c>
      <c r="B3135" t="s">
        <v>19</v>
      </c>
      <c r="C3135" t="s">
        <v>20</v>
      </c>
      <c r="E3135"/>
      <c r="F3135">
        <v>2761569160</v>
      </c>
      <c r="G3135" s="10">
        <v>17799703534481</v>
      </c>
      <c r="H3135" t="s">
        <v>28</v>
      </c>
      <c r="I3135" t="s">
        <v>609</v>
      </c>
      <c r="J3135" t="s">
        <v>30</v>
      </c>
      <c r="K3135" t="s">
        <v>36</v>
      </c>
      <c r="N3135" t="s">
        <v>32</v>
      </c>
      <c r="O3135">
        <v>19</v>
      </c>
      <c r="R3135" s="11">
        <v>4.6296296296296294E-5</v>
      </c>
      <c r="S3135" t="s">
        <v>37</v>
      </c>
      <c r="T3135" t="str">
        <f>IF(Tabela1[[#This Row],[STATUS_NEGOCIO]]="Enviar E-mail",1,"")</f>
        <v/>
      </c>
      <c r="U3135" t="str">
        <f>TEXT(Tabela1[[#This Row],[DATA]],"dd/mm/aaaa")</f>
        <v>28/05/2026</v>
      </c>
    </row>
    <row r="3136" spans="1:21" x14ac:dyDescent="0.25">
      <c r="A3136" s="9">
        <v>46170.384166666663</v>
      </c>
      <c r="B3136" t="s">
        <v>19</v>
      </c>
      <c r="C3136" t="s">
        <v>20</v>
      </c>
      <c r="E3136"/>
      <c r="F3136">
        <v>2779130511</v>
      </c>
      <c r="G3136" s="10">
        <v>17799703924601</v>
      </c>
      <c r="H3136" t="s">
        <v>28</v>
      </c>
      <c r="I3136" t="s">
        <v>248</v>
      </c>
      <c r="J3136" t="s">
        <v>30</v>
      </c>
      <c r="K3136" t="s">
        <v>36</v>
      </c>
      <c r="N3136" t="s">
        <v>32</v>
      </c>
      <c r="O3136">
        <v>19</v>
      </c>
      <c r="R3136" s="11">
        <v>4.0509259259259258E-4</v>
      </c>
      <c r="S3136" t="s">
        <v>37</v>
      </c>
      <c r="T3136" t="str">
        <f>IF(Tabela1[[#This Row],[STATUS_NEGOCIO]]="Enviar E-mail",1,"")</f>
        <v/>
      </c>
      <c r="U3136" t="str">
        <f>TEXT(Tabela1[[#This Row],[DATA]],"dd/mm/aaaa")</f>
        <v>28/05/2026</v>
      </c>
    </row>
    <row r="3137" spans="1:21" x14ac:dyDescent="0.25">
      <c r="A3137" s="9">
        <v>46170.385694444441</v>
      </c>
      <c r="B3137" t="s">
        <v>19</v>
      </c>
      <c r="C3137" t="s">
        <v>20</v>
      </c>
      <c r="E3137"/>
      <c r="F3137">
        <v>2761424989</v>
      </c>
      <c r="G3137" s="10">
        <v>17799705244761</v>
      </c>
      <c r="H3137" t="s">
        <v>28</v>
      </c>
      <c r="I3137" t="s">
        <v>255</v>
      </c>
      <c r="J3137" t="s">
        <v>30</v>
      </c>
      <c r="K3137" t="s">
        <v>36</v>
      </c>
      <c r="N3137" t="s">
        <v>32</v>
      </c>
      <c r="O3137">
        <v>19</v>
      </c>
      <c r="R3137" s="11">
        <v>9.2592592592592588E-5</v>
      </c>
      <c r="S3137" t="s">
        <v>37</v>
      </c>
      <c r="T3137" t="str">
        <f>IF(Tabela1[[#This Row],[STATUS_NEGOCIO]]="Enviar E-mail",1,"")</f>
        <v/>
      </c>
      <c r="U3137" t="str">
        <f>TEXT(Tabela1[[#This Row],[DATA]],"dd/mm/aaaa")</f>
        <v>28/05/2026</v>
      </c>
    </row>
    <row r="3138" spans="1:21" x14ac:dyDescent="0.25">
      <c r="A3138" s="9">
        <v>46170.385868055557</v>
      </c>
      <c r="B3138" t="s">
        <v>19</v>
      </c>
      <c r="C3138" t="s">
        <v>20</v>
      </c>
      <c r="E3138"/>
      <c r="F3138">
        <v>2761425004</v>
      </c>
      <c r="G3138" s="10">
        <v>17799705394791</v>
      </c>
      <c r="H3138" t="s">
        <v>28</v>
      </c>
      <c r="I3138" t="s">
        <v>255</v>
      </c>
      <c r="J3138" t="s">
        <v>30</v>
      </c>
      <c r="K3138" t="s">
        <v>36</v>
      </c>
      <c r="N3138" t="s">
        <v>32</v>
      </c>
      <c r="O3138">
        <v>19</v>
      </c>
      <c r="R3138" s="11">
        <v>2.0833333333333335E-4</v>
      </c>
      <c r="S3138" t="s">
        <v>37</v>
      </c>
      <c r="T3138" t="str">
        <f>IF(Tabela1[[#This Row],[STATUS_NEGOCIO]]="Enviar E-mail",1,"")</f>
        <v/>
      </c>
      <c r="U3138" t="str">
        <f>TEXT(Tabela1[[#This Row],[DATA]],"dd/mm/aaaa")</f>
        <v>28/05/2026</v>
      </c>
    </row>
    <row r="3139" spans="1:21" x14ac:dyDescent="0.25">
      <c r="A3139" s="9">
        <v>46170.386481481481</v>
      </c>
      <c r="B3139" t="s">
        <v>19</v>
      </c>
      <c r="C3139" t="s">
        <v>20</v>
      </c>
      <c r="E3139"/>
      <c r="F3139">
        <v>2772016413</v>
      </c>
      <c r="G3139" s="10">
        <v>17799705924921</v>
      </c>
      <c r="H3139" t="s">
        <v>28</v>
      </c>
      <c r="I3139" t="s">
        <v>73</v>
      </c>
      <c r="J3139" t="s">
        <v>30</v>
      </c>
      <c r="K3139" t="s">
        <v>23</v>
      </c>
      <c r="L3139" t="s">
        <v>95</v>
      </c>
      <c r="N3139" t="s">
        <v>26</v>
      </c>
      <c r="O3139">
        <v>16</v>
      </c>
      <c r="R3139" s="11">
        <v>1.1458333333333333E-3</v>
      </c>
      <c r="S3139" s="11">
        <v>8.3333333333333339E-4</v>
      </c>
      <c r="T3139" t="str">
        <f>IF(Tabela1[[#This Row],[STATUS_NEGOCIO]]="Enviar E-mail",1,"")</f>
        <v/>
      </c>
      <c r="U3139" t="str">
        <f>TEXT(Tabela1[[#This Row],[DATA]],"dd/mm/aaaa")</f>
        <v>28/05/2026</v>
      </c>
    </row>
    <row r="3140" spans="1:21" x14ac:dyDescent="0.25">
      <c r="A3140" s="9">
        <v>46170.388437499998</v>
      </c>
      <c r="B3140" t="s">
        <v>19</v>
      </c>
      <c r="C3140" t="s">
        <v>20</v>
      </c>
      <c r="E3140"/>
      <c r="F3140">
        <v>2779403603</v>
      </c>
      <c r="G3140" s="10">
        <v>17799707615291</v>
      </c>
      <c r="H3140" t="s">
        <v>28</v>
      </c>
      <c r="I3140" t="s">
        <v>114</v>
      </c>
      <c r="J3140" t="s">
        <v>30</v>
      </c>
      <c r="K3140" t="s">
        <v>23</v>
      </c>
      <c r="L3140" t="s">
        <v>44</v>
      </c>
      <c r="N3140" t="s">
        <v>32</v>
      </c>
      <c r="O3140">
        <v>16</v>
      </c>
      <c r="R3140" s="11">
        <v>2.4305555555555555E-4</v>
      </c>
      <c r="S3140" t="s">
        <v>37</v>
      </c>
      <c r="T3140" t="str">
        <f>IF(Tabela1[[#This Row],[STATUS_NEGOCIO]]="Enviar E-mail",1,"")</f>
        <v/>
      </c>
      <c r="U3140" t="str">
        <f>TEXT(Tabela1[[#This Row],[DATA]],"dd/mm/aaaa")</f>
        <v>28/05/2026</v>
      </c>
    </row>
    <row r="3141" spans="1:21" x14ac:dyDescent="0.25">
      <c r="A3141" s="9">
        <v>46170.388483796298</v>
      </c>
      <c r="B3141" t="s">
        <v>19</v>
      </c>
      <c r="C3141" t="s">
        <v>27</v>
      </c>
      <c r="E3141"/>
      <c r="F3141">
        <v>2761326118</v>
      </c>
      <c r="G3141" s="10">
        <v>17799707435261</v>
      </c>
      <c r="H3141" t="s">
        <v>28</v>
      </c>
      <c r="I3141" t="s">
        <v>290</v>
      </c>
      <c r="J3141" t="s">
        <v>30</v>
      </c>
      <c r="K3141" t="s">
        <v>134</v>
      </c>
      <c r="N3141" t="s">
        <v>26</v>
      </c>
      <c r="O3141">
        <v>34</v>
      </c>
      <c r="R3141" s="11">
        <v>1.1574074074074073E-5</v>
      </c>
      <c r="S3141" t="s">
        <v>37</v>
      </c>
      <c r="T3141" t="str">
        <f>IF(Tabela1[[#This Row],[STATUS_NEGOCIO]]="Enviar E-mail",1,"")</f>
        <v/>
      </c>
      <c r="U3141" t="str">
        <f>TEXT(Tabela1[[#This Row],[DATA]],"dd/mm/aaaa")</f>
        <v>28/05/2026</v>
      </c>
    </row>
    <row r="3142" spans="1:21" x14ac:dyDescent="0.25">
      <c r="A3142" s="9">
        <v>46170.388784722221</v>
      </c>
      <c r="B3142" t="s">
        <v>19</v>
      </c>
      <c r="C3142" t="s">
        <v>20</v>
      </c>
      <c r="E3142"/>
      <c r="F3142">
        <v>2779403633</v>
      </c>
      <c r="G3142" s="10">
        <v>17799707915401</v>
      </c>
      <c r="H3142" t="s">
        <v>28</v>
      </c>
      <c r="I3142" t="s">
        <v>114</v>
      </c>
      <c r="J3142" t="s">
        <v>30</v>
      </c>
      <c r="K3142" t="s">
        <v>36</v>
      </c>
      <c r="N3142" t="s">
        <v>32</v>
      </c>
      <c r="O3142">
        <v>19</v>
      </c>
      <c r="R3142" s="11">
        <v>6.9444444444444444E-5</v>
      </c>
      <c r="S3142" t="s">
        <v>37</v>
      </c>
      <c r="T3142" t="str">
        <f>IF(Tabela1[[#This Row],[STATUS_NEGOCIO]]="Enviar E-mail",1,"")</f>
        <v/>
      </c>
      <c r="U3142" t="str">
        <f>TEXT(Tabela1[[#This Row],[DATA]],"dd/mm/aaaa")</f>
        <v>28/05/2026</v>
      </c>
    </row>
    <row r="3143" spans="1:21" x14ac:dyDescent="0.25">
      <c r="A3143" s="9">
        <v>46170.388865740744</v>
      </c>
      <c r="B3143" t="s">
        <v>19</v>
      </c>
      <c r="C3143" t="s">
        <v>27</v>
      </c>
      <c r="E3143"/>
      <c r="F3143">
        <v>2761326150</v>
      </c>
      <c r="G3143" s="10">
        <v>17799707755371</v>
      </c>
      <c r="H3143" t="s">
        <v>28</v>
      </c>
      <c r="I3143" t="s">
        <v>290</v>
      </c>
      <c r="J3143" t="s">
        <v>30</v>
      </c>
      <c r="K3143" t="s">
        <v>134</v>
      </c>
      <c r="N3143" t="s">
        <v>26</v>
      </c>
      <c r="O3143">
        <v>34</v>
      </c>
      <c r="R3143" s="11">
        <v>1.1574074074074073E-5</v>
      </c>
      <c r="S3143" t="s">
        <v>37</v>
      </c>
      <c r="T3143" t="str">
        <f>IF(Tabela1[[#This Row],[STATUS_NEGOCIO]]="Enviar E-mail",1,"")</f>
        <v/>
      </c>
      <c r="U3143" t="str">
        <f>TEXT(Tabela1[[#This Row],[DATA]],"dd/mm/aaaa")</f>
        <v>28/05/2026</v>
      </c>
    </row>
    <row r="3144" spans="1:21" x14ac:dyDescent="0.25">
      <c r="A3144" s="9">
        <v>46170.38925925926</v>
      </c>
      <c r="B3144" t="s">
        <v>19</v>
      </c>
      <c r="C3144" t="s">
        <v>27</v>
      </c>
      <c r="E3144"/>
      <c r="F3144">
        <v>2761344019</v>
      </c>
      <c r="G3144" s="10">
        <v>17799708235511</v>
      </c>
      <c r="H3144" t="s">
        <v>28</v>
      </c>
      <c r="I3144" t="s">
        <v>67</v>
      </c>
      <c r="J3144" t="s">
        <v>30</v>
      </c>
      <c r="K3144" t="s">
        <v>62</v>
      </c>
      <c r="N3144" t="s">
        <v>26</v>
      </c>
      <c r="O3144">
        <v>17</v>
      </c>
      <c r="R3144" s="11">
        <v>1.1574074074074073E-5</v>
      </c>
      <c r="S3144" t="s">
        <v>37</v>
      </c>
      <c r="T3144" t="str">
        <f>IF(Tabela1[[#This Row],[STATUS_NEGOCIO]]="Enviar E-mail",1,"")</f>
        <v/>
      </c>
      <c r="U3144" t="str">
        <f>TEXT(Tabela1[[#This Row],[DATA]],"dd/mm/aaaa")</f>
        <v>28/05/2026</v>
      </c>
    </row>
    <row r="3145" spans="1:21" x14ac:dyDescent="0.25">
      <c r="A3145" s="9">
        <v>46170.389548611114</v>
      </c>
      <c r="B3145" t="s">
        <v>19</v>
      </c>
      <c r="C3145" t="s">
        <v>27</v>
      </c>
      <c r="E3145"/>
      <c r="F3145">
        <v>2761344045</v>
      </c>
      <c r="G3145" s="10">
        <v>17799708495561</v>
      </c>
      <c r="H3145" t="s">
        <v>28</v>
      </c>
      <c r="I3145" t="s">
        <v>67</v>
      </c>
      <c r="J3145" t="s">
        <v>30</v>
      </c>
      <c r="K3145" t="s">
        <v>62</v>
      </c>
      <c r="N3145" t="s">
        <v>26</v>
      </c>
      <c r="O3145">
        <v>17</v>
      </c>
      <c r="R3145" s="11">
        <v>1.1574074074074073E-5</v>
      </c>
      <c r="S3145" t="s">
        <v>37</v>
      </c>
      <c r="T3145" t="str">
        <f>IF(Tabela1[[#This Row],[STATUS_NEGOCIO]]="Enviar E-mail",1,"")</f>
        <v/>
      </c>
      <c r="U3145" t="str">
        <f>TEXT(Tabela1[[#This Row],[DATA]],"dd/mm/aaaa")</f>
        <v>28/05/2026</v>
      </c>
    </row>
    <row r="3146" spans="1:21" x14ac:dyDescent="0.25">
      <c r="A3146" s="9">
        <v>46170.389745370368</v>
      </c>
      <c r="B3146" t="s">
        <v>19</v>
      </c>
      <c r="C3146" t="s">
        <v>20</v>
      </c>
      <c r="E3146"/>
      <c r="F3146">
        <v>2753498713</v>
      </c>
      <c r="G3146" s="10">
        <v>17799708745641</v>
      </c>
      <c r="H3146" t="s">
        <v>28</v>
      </c>
      <c r="I3146" t="s">
        <v>220</v>
      </c>
      <c r="J3146" t="s">
        <v>30</v>
      </c>
      <c r="K3146" t="s">
        <v>23</v>
      </c>
      <c r="L3146" t="s">
        <v>31</v>
      </c>
      <c r="N3146" t="s">
        <v>32</v>
      </c>
      <c r="O3146">
        <v>16</v>
      </c>
      <c r="R3146" s="11">
        <v>3.1250000000000001E-4</v>
      </c>
      <c r="S3146" t="s">
        <v>37</v>
      </c>
      <c r="T3146" t="str">
        <f>IF(Tabela1[[#This Row],[STATUS_NEGOCIO]]="Enviar E-mail",1,"")</f>
        <v/>
      </c>
      <c r="U3146" t="str">
        <f>TEXT(Tabela1[[#This Row],[DATA]],"dd/mm/aaaa")</f>
        <v>28/05/2026</v>
      </c>
    </row>
    <row r="3147" spans="1:21" x14ac:dyDescent="0.25">
      <c r="A3147" s="9">
        <v>46170.3905787037</v>
      </c>
      <c r="B3147" t="s">
        <v>19</v>
      </c>
      <c r="C3147" t="s">
        <v>27</v>
      </c>
      <c r="E3147"/>
      <c r="F3147">
        <v>2761344133</v>
      </c>
      <c r="G3147" s="10">
        <v>17799709375671</v>
      </c>
      <c r="H3147" t="s">
        <v>28</v>
      </c>
      <c r="I3147" t="s">
        <v>67</v>
      </c>
      <c r="J3147" t="s">
        <v>30</v>
      </c>
      <c r="K3147" t="s">
        <v>62</v>
      </c>
      <c r="N3147" t="s">
        <v>26</v>
      </c>
      <c r="O3147">
        <v>17</v>
      </c>
      <c r="R3147" s="11">
        <v>1.1574074074074073E-5</v>
      </c>
      <c r="S3147" t="s">
        <v>37</v>
      </c>
      <c r="T3147" t="str">
        <f>IF(Tabela1[[#This Row],[STATUS_NEGOCIO]]="Enviar E-mail",1,"")</f>
        <v/>
      </c>
      <c r="U3147" t="str">
        <f>TEXT(Tabela1[[#This Row],[DATA]],"dd/mm/aaaa")</f>
        <v>28/05/2026</v>
      </c>
    </row>
    <row r="3148" spans="1:21" x14ac:dyDescent="0.25">
      <c r="A3148" s="9">
        <v>46170.390694444446</v>
      </c>
      <c r="B3148" t="s">
        <v>19</v>
      </c>
      <c r="C3148" t="s">
        <v>20</v>
      </c>
      <c r="E3148"/>
      <c r="F3148">
        <v>2778302800</v>
      </c>
      <c r="G3148" s="10">
        <v>17799709565711</v>
      </c>
      <c r="H3148" t="s">
        <v>28</v>
      </c>
      <c r="I3148" t="s">
        <v>534</v>
      </c>
      <c r="J3148" t="s">
        <v>30</v>
      </c>
      <c r="K3148" t="s">
        <v>36</v>
      </c>
      <c r="N3148" t="s">
        <v>32</v>
      </c>
      <c r="O3148">
        <v>19</v>
      </c>
      <c r="R3148" s="11">
        <v>4.6296296296296294E-5</v>
      </c>
      <c r="S3148" t="s">
        <v>37</v>
      </c>
      <c r="T3148" t="str">
        <f>IF(Tabela1[[#This Row],[STATUS_NEGOCIO]]="Enviar E-mail",1,"")</f>
        <v/>
      </c>
      <c r="U3148" t="str">
        <f>TEXT(Tabela1[[#This Row],[DATA]],"dd/mm/aaaa")</f>
        <v>28/05/2026</v>
      </c>
    </row>
    <row r="3149" spans="1:21" x14ac:dyDescent="0.25">
      <c r="A3149" s="9">
        <v>46170.390810185185</v>
      </c>
      <c r="B3149" t="s">
        <v>19</v>
      </c>
      <c r="C3149" t="s">
        <v>20</v>
      </c>
      <c r="E3149"/>
      <c r="F3149">
        <v>2778302810</v>
      </c>
      <c r="G3149" s="10">
        <v>17799709665741</v>
      </c>
      <c r="H3149" t="s">
        <v>28</v>
      </c>
      <c r="I3149" t="s">
        <v>534</v>
      </c>
      <c r="J3149" t="s">
        <v>30</v>
      </c>
      <c r="K3149" t="s">
        <v>23</v>
      </c>
      <c r="L3149" t="s">
        <v>31</v>
      </c>
      <c r="N3149" t="s">
        <v>32</v>
      </c>
      <c r="O3149">
        <v>16</v>
      </c>
      <c r="R3149" s="11">
        <v>1.1574074074074075E-4</v>
      </c>
      <c r="S3149" s="11">
        <v>1.1574074074074073E-5</v>
      </c>
      <c r="T3149" t="str">
        <f>IF(Tabela1[[#This Row],[STATUS_NEGOCIO]]="Enviar E-mail",1,"")</f>
        <v/>
      </c>
      <c r="U3149" t="str">
        <f>TEXT(Tabela1[[#This Row],[DATA]],"dd/mm/aaaa")</f>
        <v>28/05/2026</v>
      </c>
    </row>
    <row r="3150" spans="1:21" x14ac:dyDescent="0.25">
      <c r="A3150" s="9">
        <v>46170.390868055554</v>
      </c>
      <c r="B3150" t="s">
        <v>19</v>
      </c>
      <c r="C3150" t="s">
        <v>27</v>
      </c>
      <c r="E3150"/>
      <c r="F3150">
        <v>2767363810</v>
      </c>
      <c r="G3150" s="10">
        <v>17799709715761</v>
      </c>
      <c r="H3150" t="s">
        <v>28</v>
      </c>
      <c r="I3150" t="s">
        <v>310</v>
      </c>
      <c r="J3150" t="s">
        <v>30</v>
      </c>
      <c r="K3150" t="s">
        <v>23</v>
      </c>
      <c r="L3150" t="s">
        <v>106</v>
      </c>
      <c r="N3150" t="s">
        <v>26</v>
      </c>
      <c r="O3150">
        <v>16</v>
      </c>
      <c r="R3150" s="11">
        <v>8.7962962962962962E-4</v>
      </c>
      <c r="S3150" s="11">
        <v>7.7546296296296293E-4</v>
      </c>
      <c r="T3150" t="str">
        <f>IF(Tabela1[[#This Row],[STATUS_NEGOCIO]]="Enviar E-mail",1,"")</f>
        <v/>
      </c>
      <c r="U3150" t="str">
        <f>TEXT(Tabela1[[#This Row],[DATA]],"dd/mm/aaaa")</f>
        <v>28/05/2026</v>
      </c>
    </row>
    <row r="3151" spans="1:21" x14ac:dyDescent="0.25">
      <c r="A3151" s="9">
        <v>46170.391458333332</v>
      </c>
      <c r="B3151" t="s">
        <v>19</v>
      </c>
      <c r="C3151" t="s">
        <v>20</v>
      </c>
      <c r="E3151"/>
      <c r="F3151">
        <v>2744743840</v>
      </c>
      <c r="G3151" s="10">
        <v>17799710225851</v>
      </c>
      <c r="H3151" t="s">
        <v>28</v>
      </c>
      <c r="I3151" t="s">
        <v>244</v>
      </c>
      <c r="J3151" t="s">
        <v>30</v>
      </c>
      <c r="K3151" t="s">
        <v>36</v>
      </c>
      <c r="N3151" t="s">
        <v>32</v>
      </c>
      <c r="O3151">
        <v>19</v>
      </c>
      <c r="R3151" s="11">
        <v>3.0092592592592595E-4</v>
      </c>
      <c r="S3151" t="s">
        <v>37</v>
      </c>
      <c r="T3151" t="str">
        <f>IF(Tabela1[[#This Row],[STATUS_NEGOCIO]]="Enviar E-mail",1,"")</f>
        <v/>
      </c>
      <c r="U3151" t="str">
        <f>TEXT(Tabela1[[#This Row],[DATA]],"dd/mm/aaaa")</f>
        <v>28/05/2026</v>
      </c>
    </row>
    <row r="3152" spans="1:21" x14ac:dyDescent="0.25">
      <c r="A3152" s="9">
        <v>46170.391817129632</v>
      </c>
      <c r="B3152" t="s">
        <v>19</v>
      </c>
      <c r="C3152" t="s">
        <v>20</v>
      </c>
      <c r="E3152"/>
      <c r="F3152">
        <v>2744743871</v>
      </c>
      <c r="G3152" s="10">
        <v>17799710535891</v>
      </c>
      <c r="H3152" t="s">
        <v>28</v>
      </c>
      <c r="I3152" t="s">
        <v>244</v>
      </c>
      <c r="J3152" t="s">
        <v>30</v>
      </c>
      <c r="K3152" t="s">
        <v>36</v>
      </c>
      <c r="N3152" t="s">
        <v>32</v>
      </c>
      <c r="O3152">
        <v>19</v>
      </c>
      <c r="R3152" s="11">
        <v>2.8935185185185184E-4</v>
      </c>
      <c r="S3152" t="s">
        <v>37</v>
      </c>
      <c r="T3152" t="str">
        <f>IF(Tabela1[[#This Row],[STATUS_NEGOCIO]]="Enviar E-mail",1,"")</f>
        <v/>
      </c>
      <c r="U3152" t="str">
        <f>TEXT(Tabela1[[#This Row],[DATA]],"dd/mm/aaaa")</f>
        <v>28/05/2026</v>
      </c>
    </row>
    <row r="3153" spans="1:21" x14ac:dyDescent="0.25">
      <c r="A3153" s="9">
        <v>46170.392476851855</v>
      </c>
      <c r="B3153" t="s">
        <v>19</v>
      </c>
      <c r="C3153" t="s">
        <v>20</v>
      </c>
      <c r="E3153"/>
      <c r="F3153">
        <v>2778561212</v>
      </c>
      <c r="G3153" s="10">
        <v>17799711106041</v>
      </c>
      <c r="H3153" t="s">
        <v>28</v>
      </c>
      <c r="I3153" t="s">
        <v>118</v>
      </c>
      <c r="J3153" t="s">
        <v>30</v>
      </c>
      <c r="K3153" t="s">
        <v>23</v>
      </c>
      <c r="L3153" t="s">
        <v>31</v>
      </c>
      <c r="N3153" t="s">
        <v>32</v>
      </c>
      <c r="O3153">
        <v>16</v>
      </c>
      <c r="R3153" s="11">
        <v>1.3888888888888889E-4</v>
      </c>
      <c r="S3153" s="11">
        <v>1.1574074074074073E-5</v>
      </c>
      <c r="T3153" t="str">
        <f>IF(Tabela1[[#This Row],[STATUS_NEGOCIO]]="Enviar E-mail",1,"")</f>
        <v/>
      </c>
      <c r="U3153" t="str">
        <f>TEXT(Tabela1[[#This Row],[DATA]],"dd/mm/aaaa")</f>
        <v>28/05/2026</v>
      </c>
    </row>
    <row r="3154" spans="1:21" x14ac:dyDescent="0.25">
      <c r="A3154" s="9">
        <v>46170.392743055556</v>
      </c>
      <c r="B3154" t="s">
        <v>19</v>
      </c>
      <c r="C3154" t="s">
        <v>20</v>
      </c>
      <c r="E3154"/>
      <c r="F3154">
        <v>2778561235</v>
      </c>
      <c r="G3154" s="10">
        <v>17799711336081</v>
      </c>
      <c r="H3154" t="s">
        <v>28</v>
      </c>
      <c r="I3154" t="s">
        <v>118</v>
      </c>
      <c r="J3154" t="s">
        <v>30</v>
      </c>
      <c r="K3154" t="s">
        <v>23</v>
      </c>
      <c r="L3154" t="s">
        <v>31</v>
      </c>
      <c r="N3154" t="s">
        <v>26</v>
      </c>
      <c r="O3154">
        <v>16</v>
      </c>
      <c r="R3154" s="11">
        <v>2.3148148148148149E-4</v>
      </c>
      <c r="S3154" s="11">
        <v>1.0416666666666667E-4</v>
      </c>
      <c r="T3154" t="str">
        <f>IF(Tabela1[[#This Row],[STATUS_NEGOCIO]]="Enviar E-mail",1,"")</f>
        <v/>
      </c>
      <c r="U3154" t="str">
        <f>TEXT(Tabela1[[#This Row],[DATA]],"dd/mm/aaaa")</f>
        <v>28/05/2026</v>
      </c>
    </row>
    <row r="3155" spans="1:21" x14ac:dyDescent="0.25">
      <c r="A3155" s="9">
        <v>46170.39334490741</v>
      </c>
      <c r="B3155" t="s">
        <v>19</v>
      </c>
      <c r="C3155" t="s">
        <v>27</v>
      </c>
      <c r="E3155"/>
      <c r="F3155">
        <v>2747332319</v>
      </c>
      <c r="G3155" s="10">
        <v>17799711856171</v>
      </c>
      <c r="H3155" t="s">
        <v>28</v>
      </c>
      <c r="I3155" t="s">
        <v>311</v>
      </c>
      <c r="J3155" t="s">
        <v>30</v>
      </c>
      <c r="K3155" t="s">
        <v>23</v>
      </c>
      <c r="L3155" t="s">
        <v>31</v>
      </c>
      <c r="N3155" t="s">
        <v>26</v>
      </c>
      <c r="O3155">
        <v>16</v>
      </c>
      <c r="R3155" s="11">
        <v>1.4351851851851852E-3</v>
      </c>
      <c r="S3155" s="11">
        <v>1.4120370370370369E-3</v>
      </c>
      <c r="T3155" t="str">
        <f>IF(Tabela1[[#This Row],[STATUS_NEGOCIO]]="Enviar E-mail",1,"")</f>
        <v/>
      </c>
      <c r="U3155" t="str">
        <f>TEXT(Tabela1[[#This Row],[DATA]],"dd/mm/aaaa")</f>
        <v>28/05/2026</v>
      </c>
    </row>
    <row r="3156" spans="1:21" x14ac:dyDescent="0.25">
      <c r="A3156" s="9">
        <v>46170.397418981483</v>
      </c>
      <c r="B3156" t="s">
        <v>19</v>
      </c>
      <c r="C3156" t="s">
        <v>20</v>
      </c>
      <c r="E3156"/>
      <c r="F3156">
        <v>2779956533</v>
      </c>
      <c r="G3156" s="10">
        <v>17799715377131</v>
      </c>
      <c r="H3156" t="s">
        <v>28</v>
      </c>
      <c r="I3156" t="s">
        <v>90</v>
      </c>
      <c r="J3156" t="s">
        <v>30</v>
      </c>
      <c r="K3156" t="s">
        <v>23</v>
      </c>
      <c r="L3156" t="s">
        <v>31</v>
      </c>
      <c r="N3156" t="s">
        <v>32</v>
      </c>
      <c r="O3156">
        <v>16</v>
      </c>
      <c r="R3156" s="11">
        <v>1.0416666666666667E-4</v>
      </c>
      <c r="S3156" s="11">
        <v>2.3148148148148147E-5</v>
      </c>
      <c r="T3156" t="str">
        <f>IF(Tabela1[[#This Row],[STATUS_NEGOCIO]]="Enviar E-mail",1,"")</f>
        <v/>
      </c>
      <c r="U3156" t="str">
        <f>TEXT(Tabela1[[#This Row],[DATA]],"dd/mm/aaaa")</f>
        <v>28/05/2026</v>
      </c>
    </row>
    <row r="3157" spans="1:21" x14ac:dyDescent="0.25">
      <c r="A3157" s="9">
        <v>46170.397696759261</v>
      </c>
      <c r="B3157" t="s">
        <v>19</v>
      </c>
      <c r="C3157" t="s">
        <v>20</v>
      </c>
      <c r="E3157"/>
      <c r="F3157">
        <v>2779956557</v>
      </c>
      <c r="G3157" s="10">
        <v>17799715617171</v>
      </c>
      <c r="H3157" t="s">
        <v>28</v>
      </c>
      <c r="I3157" t="s">
        <v>90</v>
      </c>
      <c r="J3157" t="s">
        <v>30</v>
      </c>
      <c r="K3157" t="s">
        <v>36</v>
      </c>
      <c r="N3157" t="s">
        <v>32</v>
      </c>
      <c r="O3157">
        <v>19</v>
      </c>
      <c r="R3157" s="11">
        <v>5.7870370370370373E-5</v>
      </c>
      <c r="S3157" t="s">
        <v>37</v>
      </c>
      <c r="T3157" t="str">
        <f>IF(Tabela1[[#This Row],[STATUS_NEGOCIO]]="Enviar E-mail",1,"")</f>
        <v/>
      </c>
      <c r="U3157" t="str">
        <f>TEXT(Tabela1[[#This Row],[DATA]],"dd/mm/aaaa")</f>
        <v>28/05/2026</v>
      </c>
    </row>
    <row r="3158" spans="1:21" x14ac:dyDescent="0.25">
      <c r="A3158" s="9">
        <v>46170.398900462962</v>
      </c>
      <c r="B3158" t="s">
        <v>19</v>
      </c>
      <c r="C3158" t="s">
        <v>27</v>
      </c>
      <c r="E3158"/>
      <c r="F3158">
        <v>2761776562</v>
      </c>
      <c r="G3158" s="10">
        <v>17799716657351</v>
      </c>
      <c r="H3158" t="s">
        <v>28</v>
      </c>
      <c r="I3158" t="s">
        <v>213</v>
      </c>
      <c r="J3158" t="s">
        <v>30</v>
      </c>
      <c r="K3158" t="s">
        <v>23</v>
      </c>
      <c r="L3158" t="s">
        <v>40</v>
      </c>
      <c r="N3158" t="s">
        <v>26</v>
      </c>
      <c r="O3158">
        <v>16</v>
      </c>
      <c r="R3158" s="11">
        <v>1.5625000000000001E-3</v>
      </c>
      <c r="S3158" s="11">
        <v>1.4351851851851852E-3</v>
      </c>
      <c r="T3158">
        <f>IF(Tabela1[[#This Row],[STATUS_NEGOCIO]]="Enviar E-mail",1,"")</f>
        <v>1</v>
      </c>
      <c r="U3158" t="str">
        <f>TEXT(Tabela1[[#This Row],[DATA]],"dd/mm/aaaa")</f>
        <v>28/05/2026</v>
      </c>
    </row>
    <row r="3159" spans="1:21" x14ac:dyDescent="0.25">
      <c r="A3159" s="9">
        <v>46170.403379629628</v>
      </c>
      <c r="B3159" t="s">
        <v>19</v>
      </c>
      <c r="C3159" t="s">
        <v>20</v>
      </c>
      <c r="E3159"/>
      <c r="F3159">
        <v>2778306374</v>
      </c>
      <c r="G3159" s="10">
        <v>17799720527921</v>
      </c>
      <c r="H3159" t="s">
        <v>28</v>
      </c>
      <c r="I3159" t="s">
        <v>184</v>
      </c>
      <c r="J3159" t="s">
        <v>30</v>
      </c>
      <c r="K3159" t="s">
        <v>36</v>
      </c>
      <c r="N3159" t="s">
        <v>32</v>
      </c>
      <c r="O3159">
        <v>19</v>
      </c>
      <c r="R3159" s="11">
        <v>4.1666666666666669E-4</v>
      </c>
      <c r="S3159" t="s">
        <v>37</v>
      </c>
      <c r="T3159" t="str">
        <f>IF(Tabela1[[#This Row],[STATUS_NEGOCIO]]="Enviar E-mail",1,"")</f>
        <v/>
      </c>
      <c r="U3159" t="str">
        <f>TEXT(Tabela1[[#This Row],[DATA]],"dd/mm/aaaa")</f>
        <v>28/05/2026</v>
      </c>
    </row>
    <row r="3160" spans="1:21" x14ac:dyDescent="0.25">
      <c r="A3160" s="9">
        <v>46170.40388888889</v>
      </c>
      <c r="B3160" t="s">
        <v>19</v>
      </c>
      <c r="C3160" t="s">
        <v>20</v>
      </c>
      <c r="E3160"/>
      <c r="F3160">
        <v>2778306418</v>
      </c>
      <c r="G3160" s="10">
        <v>17799720968051</v>
      </c>
      <c r="H3160" t="s">
        <v>28</v>
      </c>
      <c r="I3160" t="s">
        <v>184</v>
      </c>
      <c r="J3160" t="s">
        <v>30</v>
      </c>
      <c r="K3160" t="s">
        <v>23</v>
      </c>
      <c r="L3160" t="s">
        <v>95</v>
      </c>
      <c r="N3160" t="s">
        <v>26</v>
      </c>
      <c r="O3160">
        <v>16</v>
      </c>
      <c r="R3160" s="11">
        <v>6.5972222222222224E-4</v>
      </c>
      <c r="S3160" s="11">
        <v>4.0509259259259258E-4</v>
      </c>
      <c r="T3160" t="str">
        <f>IF(Tabela1[[#This Row],[STATUS_NEGOCIO]]="Enviar E-mail",1,"")</f>
        <v/>
      </c>
      <c r="U3160" t="str">
        <f>TEXT(Tabela1[[#This Row],[DATA]],"dd/mm/aaaa")</f>
        <v>28/05/2026</v>
      </c>
    </row>
    <row r="3161" spans="1:21" x14ac:dyDescent="0.25">
      <c r="A3161" s="9">
        <v>46170.406377314815</v>
      </c>
      <c r="B3161" t="s">
        <v>19</v>
      </c>
      <c r="C3161" t="s">
        <v>27</v>
      </c>
      <c r="E3161"/>
      <c r="F3161">
        <v>2779503860</v>
      </c>
      <c r="G3161" s="10">
        <v>17799723118461</v>
      </c>
      <c r="H3161" t="s">
        <v>28</v>
      </c>
      <c r="I3161" t="s">
        <v>208</v>
      </c>
      <c r="J3161" t="s">
        <v>30</v>
      </c>
      <c r="K3161" t="s">
        <v>23</v>
      </c>
      <c r="L3161" t="s">
        <v>31</v>
      </c>
      <c r="N3161" t="s">
        <v>32</v>
      </c>
      <c r="O3161">
        <v>16</v>
      </c>
      <c r="R3161" s="11">
        <v>5.5555555555555556E-4</v>
      </c>
      <c r="S3161" s="11">
        <v>3.0092592592592595E-4</v>
      </c>
      <c r="T3161" t="str">
        <f>IF(Tabela1[[#This Row],[STATUS_NEGOCIO]]="Enviar E-mail",1,"")</f>
        <v/>
      </c>
      <c r="U3161" t="str">
        <f>TEXT(Tabela1[[#This Row],[DATA]],"dd/mm/aaaa")</f>
        <v>28/05/2026</v>
      </c>
    </row>
    <row r="3162" spans="1:21" x14ac:dyDescent="0.25">
      <c r="A3162" s="9">
        <v>46170.406643518516</v>
      </c>
      <c r="B3162" t="s">
        <v>19</v>
      </c>
      <c r="C3162" t="s">
        <v>20</v>
      </c>
      <c r="E3162"/>
      <c r="F3162">
        <v>2768218375</v>
      </c>
      <c r="G3162" s="10">
        <v>17799723348481</v>
      </c>
      <c r="H3162" t="s">
        <v>28</v>
      </c>
      <c r="I3162" t="s">
        <v>39</v>
      </c>
      <c r="J3162" t="s">
        <v>30</v>
      </c>
      <c r="K3162" t="s">
        <v>36</v>
      </c>
      <c r="N3162" t="s">
        <v>32</v>
      </c>
      <c r="O3162">
        <v>19</v>
      </c>
      <c r="R3162" s="11">
        <v>1.1574074074074075E-4</v>
      </c>
      <c r="S3162" t="s">
        <v>37</v>
      </c>
      <c r="T3162" t="str">
        <f>IF(Tabela1[[#This Row],[STATUS_NEGOCIO]]="Enviar E-mail",1,"")</f>
        <v/>
      </c>
      <c r="U3162" t="str">
        <f>TEXT(Tabela1[[#This Row],[DATA]],"dd/mm/aaaa")</f>
        <v>28/05/2026</v>
      </c>
    </row>
    <row r="3163" spans="1:21" x14ac:dyDescent="0.25">
      <c r="A3163" s="9">
        <v>46170.406840277778</v>
      </c>
      <c r="B3163" t="s">
        <v>19</v>
      </c>
      <c r="C3163" t="s">
        <v>20</v>
      </c>
      <c r="E3163"/>
      <c r="F3163">
        <v>2768218392</v>
      </c>
      <c r="G3163" s="10">
        <v>17799723518511</v>
      </c>
      <c r="H3163" t="s">
        <v>28</v>
      </c>
      <c r="I3163" t="s">
        <v>39</v>
      </c>
      <c r="J3163" t="s">
        <v>30</v>
      </c>
      <c r="K3163" t="s">
        <v>36</v>
      </c>
      <c r="N3163" t="s">
        <v>32</v>
      </c>
      <c r="O3163">
        <v>19</v>
      </c>
      <c r="R3163" s="11">
        <v>3.9351851851851852E-4</v>
      </c>
      <c r="S3163" t="s">
        <v>37</v>
      </c>
      <c r="T3163" t="str">
        <f>IF(Tabela1[[#This Row],[STATUS_NEGOCIO]]="Enviar E-mail",1,"")</f>
        <v/>
      </c>
      <c r="U3163" t="str">
        <f>TEXT(Tabela1[[#This Row],[DATA]],"dd/mm/aaaa")</f>
        <v>28/05/2026</v>
      </c>
    </row>
    <row r="3164" spans="1:21" x14ac:dyDescent="0.25">
      <c r="A3164" s="9">
        <v>46170.407465277778</v>
      </c>
      <c r="B3164" t="s">
        <v>19</v>
      </c>
      <c r="C3164" t="s">
        <v>27</v>
      </c>
      <c r="E3164"/>
      <c r="F3164">
        <v>2761544588</v>
      </c>
      <c r="G3164" s="10">
        <v>17799724058671</v>
      </c>
      <c r="H3164" t="s">
        <v>28</v>
      </c>
      <c r="I3164" t="s">
        <v>202</v>
      </c>
      <c r="J3164" t="s">
        <v>30</v>
      </c>
      <c r="K3164" t="s">
        <v>23</v>
      </c>
      <c r="L3164" t="s">
        <v>40</v>
      </c>
      <c r="N3164" t="s">
        <v>26</v>
      </c>
      <c r="O3164">
        <v>16</v>
      </c>
      <c r="R3164" s="11">
        <v>2.1064814814814813E-3</v>
      </c>
      <c r="S3164" s="11">
        <v>1.9212962962962964E-3</v>
      </c>
      <c r="T3164">
        <f>IF(Tabela1[[#This Row],[STATUS_NEGOCIO]]="Enviar E-mail",1,"")</f>
        <v>1</v>
      </c>
      <c r="U3164" t="str">
        <f>TEXT(Tabela1[[#This Row],[DATA]],"dd/mm/aaaa")</f>
        <v>28/05/2026</v>
      </c>
    </row>
    <row r="3165" spans="1:21" x14ac:dyDescent="0.25">
      <c r="A3165" s="9">
        <v>46170.41</v>
      </c>
      <c r="B3165" t="s">
        <v>19</v>
      </c>
      <c r="C3165" t="s">
        <v>20</v>
      </c>
      <c r="E3165"/>
      <c r="F3165">
        <v>2779522601</v>
      </c>
      <c r="G3165" s="10">
        <v>17799726248971</v>
      </c>
      <c r="H3165" t="s">
        <v>28</v>
      </c>
      <c r="I3165" t="s">
        <v>483</v>
      </c>
      <c r="J3165" t="s">
        <v>30</v>
      </c>
      <c r="K3165" t="s">
        <v>23</v>
      </c>
      <c r="L3165" t="s">
        <v>40</v>
      </c>
      <c r="N3165" t="s">
        <v>32</v>
      </c>
      <c r="O3165">
        <v>16</v>
      </c>
      <c r="R3165" s="11">
        <v>2.4074074074074076E-3</v>
      </c>
      <c r="S3165" s="11">
        <v>2.3379629629629631E-3</v>
      </c>
      <c r="T3165">
        <f>IF(Tabela1[[#This Row],[STATUS_NEGOCIO]]="Enviar E-mail",1,"")</f>
        <v>1</v>
      </c>
      <c r="U3165" t="str">
        <f>TEXT(Tabela1[[#This Row],[DATA]],"dd/mm/aaaa")</f>
        <v>28/05/2026</v>
      </c>
    </row>
    <row r="3166" spans="1:21" x14ac:dyDescent="0.25">
      <c r="A3166" s="9">
        <v>46170.413738425923</v>
      </c>
      <c r="B3166" t="s">
        <v>19</v>
      </c>
      <c r="C3166" t="s">
        <v>27</v>
      </c>
      <c r="E3166"/>
      <c r="F3166">
        <v>2712841594</v>
      </c>
      <c r="G3166" s="10">
        <v>17799729479301</v>
      </c>
      <c r="H3166" t="s">
        <v>28</v>
      </c>
      <c r="I3166" t="s">
        <v>83</v>
      </c>
      <c r="J3166" t="s">
        <v>30</v>
      </c>
      <c r="K3166" t="s">
        <v>36</v>
      </c>
      <c r="N3166" t="s">
        <v>32</v>
      </c>
      <c r="O3166">
        <v>19</v>
      </c>
      <c r="R3166" s="11">
        <v>1.6203703703703703E-4</v>
      </c>
      <c r="S3166" t="s">
        <v>37</v>
      </c>
      <c r="T3166" t="str">
        <f>IF(Tabela1[[#This Row],[STATUS_NEGOCIO]]="Enviar E-mail",1,"")</f>
        <v/>
      </c>
      <c r="U3166" t="str">
        <f>TEXT(Tabela1[[#This Row],[DATA]],"dd/mm/aaaa")</f>
        <v>28/05/2026</v>
      </c>
    </row>
    <row r="3167" spans="1:21" x14ac:dyDescent="0.25">
      <c r="A3167" s="9">
        <v>46170.416400462964</v>
      </c>
      <c r="B3167" t="s">
        <v>19</v>
      </c>
      <c r="C3167" t="s">
        <v>27</v>
      </c>
      <c r="E3167"/>
      <c r="F3167">
        <v>2779534808</v>
      </c>
      <c r="G3167" s="10">
        <v>17799731779791</v>
      </c>
      <c r="H3167" t="s">
        <v>28</v>
      </c>
      <c r="I3167" t="s">
        <v>107</v>
      </c>
      <c r="J3167" t="s">
        <v>30</v>
      </c>
      <c r="K3167" t="s">
        <v>23</v>
      </c>
      <c r="L3167" t="s">
        <v>31</v>
      </c>
      <c r="N3167" t="s">
        <v>32</v>
      </c>
      <c r="O3167">
        <v>16</v>
      </c>
      <c r="R3167" s="11">
        <v>7.291666666666667E-4</v>
      </c>
      <c r="S3167" s="11">
        <v>5.3240740740740744E-4</v>
      </c>
      <c r="T3167" t="str">
        <f>IF(Tabela1[[#This Row],[STATUS_NEGOCIO]]="Enviar E-mail",1,"")</f>
        <v/>
      </c>
      <c r="U3167" t="str">
        <f>TEXT(Tabela1[[#This Row],[DATA]],"dd/mm/aaaa")</f>
        <v>28/05/2026</v>
      </c>
    </row>
    <row r="3168" spans="1:21" x14ac:dyDescent="0.25">
      <c r="A3168" s="9">
        <v>46170.416481481479</v>
      </c>
      <c r="B3168" t="s">
        <v>19</v>
      </c>
      <c r="C3168" t="s">
        <v>20</v>
      </c>
      <c r="E3168"/>
      <c r="F3168">
        <v>2771403213</v>
      </c>
      <c r="G3168" s="10">
        <v>17799731849921</v>
      </c>
      <c r="H3168" t="s">
        <v>28</v>
      </c>
      <c r="I3168" t="s">
        <v>428</v>
      </c>
      <c r="J3168" t="s">
        <v>30</v>
      </c>
      <c r="K3168" t="s">
        <v>36</v>
      </c>
      <c r="N3168" t="s">
        <v>32</v>
      </c>
      <c r="O3168">
        <v>19</v>
      </c>
      <c r="R3168" s="11">
        <v>9.2592592592592588E-5</v>
      </c>
      <c r="S3168" t="s">
        <v>37</v>
      </c>
      <c r="T3168" t="str">
        <f>IF(Tabela1[[#This Row],[STATUS_NEGOCIO]]="Enviar E-mail",1,"")</f>
        <v/>
      </c>
      <c r="U3168" t="str">
        <f>TEXT(Tabela1[[#This Row],[DATA]],"dd/mm/aaaa")</f>
        <v>28/05/2026</v>
      </c>
    </row>
    <row r="3169" spans="1:21" x14ac:dyDescent="0.25">
      <c r="A3169" s="9">
        <v>46170.416655092595</v>
      </c>
      <c r="B3169" t="s">
        <v>19</v>
      </c>
      <c r="C3169" t="s">
        <v>20</v>
      </c>
      <c r="E3169"/>
      <c r="F3169">
        <v>2771403228</v>
      </c>
      <c r="G3169" s="10">
        <v>17799731999951</v>
      </c>
      <c r="H3169" t="s">
        <v>28</v>
      </c>
      <c r="I3169" t="s">
        <v>428</v>
      </c>
      <c r="J3169" t="s">
        <v>30</v>
      </c>
      <c r="K3169" t="s">
        <v>23</v>
      </c>
      <c r="L3169" t="s">
        <v>31</v>
      </c>
      <c r="N3169" t="s">
        <v>32</v>
      </c>
      <c r="O3169">
        <v>16</v>
      </c>
      <c r="R3169" s="11">
        <v>1.1574074074074075E-4</v>
      </c>
      <c r="S3169" s="11">
        <v>3.4722222222222222E-5</v>
      </c>
      <c r="T3169" t="str">
        <f>IF(Tabela1[[#This Row],[STATUS_NEGOCIO]]="Enviar E-mail",1,"")</f>
        <v/>
      </c>
      <c r="U3169" t="str">
        <f>TEXT(Tabela1[[#This Row],[DATA]],"dd/mm/aaaa")</f>
        <v>28/05/2026</v>
      </c>
    </row>
    <row r="3170" spans="1:21" x14ac:dyDescent="0.25">
      <c r="A3170" s="9">
        <v>46170.417245370372</v>
      </c>
      <c r="B3170" t="s">
        <v>19</v>
      </c>
      <c r="C3170" t="s">
        <v>27</v>
      </c>
      <c r="E3170"/>
      <c r="F3170">
        <v>2772056177</v>
      </c>
      <c r="G3170" s="10">
        <v>177997325010061</v>
      </c>
      <c r="H3170" t="s">
        <v>28</v>
      </c>
      <c r="I3170" t="s">
        <v>123</v>
      </c>
      <c r="J3170" t="s">
        <v>30</v>
      </c>
      <c r="K3170" t="s">
        <v>23</v>
      </c>
      <c r="L3170" t="s">
        <v>31</v>
      </c>
      <c r="N3170" t="s">
        <v>32</v>
      </c>
      <c r="O3170">
        <v>16</v>
      </c>
      <c r="R3170" s="11">
        <v>5.0925925925925921E-4</v>
      </c>
      <c r="S3170" s="11">
        <v>2.0833333333333335E-4</v>
      </c>
      <c r="T3170" t="str">
        <f>IF(Tabela1[[#This Row],[STATUS_NEGOCIO]]="Enviar E-mail",1,"")</f>
        <v/>
      </c>
      <c r="U3170" t="str">
        <f>TEXT(Tabela1[[#This Row],[DATA]],"dd/mm/aaaa")</f>
        <v>28/05/2026</v>
      </c>
    </row>
    <row r="3171" spans="1:21" x14ac:dyDescent="0.25">
      <c r="A3171" s="9">
        <v>46170.419456018521</v>
      </c>
      <c r="B3171" t="s">
        <v>19</v>
      </c>
      <c r="C3171" t="s">
        <v>27</v>
      </c>
      <c r="E3171"/>
      <c r="F3171">
        <v>2779068323</v>
      </c>
      <c r="G3171" s="10">
        <v>177997344110131</v>
      </c>
      <c r="H3171" t="s">
        <v>28</v>
      </c>
      <c r="I3171" t="s">
        <v>381</v>
      </c>
      <c r="J3171" t="s">
        <v>30</v>
      </c>
      <c r="K3171" t="s">
        <v>23</v>
      </c>
      <c r="L3171" t="s">
        <v>31</v>
      </c>
      <c r="N3171" t="s">
        <v>26</v>
      </c>
      <c r="O3171">
        <v>16</v>
      </c>
      <c r="R3171" s="11">
        <v>6.4814814814814813E-4</v>
      </c>
      <c r="S3171" s="11">
        <v>2.3148148148148149E-4</v>
      </c>
      <c r="T3171" t="str">
        <f>IF(Tabela1[[#This Row],[STATUS_NEGOCIO]]="Enviar E-mail",1,"")</f>
        <v/>
      </c>
      <c r="U3171" t="str">
        <f>TEXT(Tabela1[[#This Row],[DATA]],"dd/mm/aaaa")</f>
        <v>28/05/2026</v>
      </c>
    </row>
    <row r="3172" spans="1:21" x14ac:dyDescent="0.25">
      <c r="A3172" s="9">
        <v>46170.42260416667</v>
      </c>
      <c r="B3172" t="s">
        <v>19</v>
      </c>
      <c r="C3172" t="s">
        <v>20</v>
      </c>
      <c r="E3172"/>
      <c r="F3172">
        <v>2778703017</v>
      </c>
      <c r="G3172" s="10">
        <v>177997371310381</v>
      </c>
      <c r="H3172" t="s">
        <v>28</v>
      </c>
      <c r="I3172" t="s">
        <v>121</v>
      </c>
      <c r="J3172" t="s">
        <v>30</v>
      </c>
      <c r="K3172" t="s">
        <v>36</v>
      </c>
      <c r="N3172" t="s">
        <v>32</v>
      </c>
      <c r="O3172">
        <v>19</v>
      </c>
      <c r="R3172" s="11">
        <v>9.2592592592592588E-5</v>
      </c>
      <c r="S3172" t="s">
        <v>37</v>
      </c>
      <c r="T3172" t="str">
        <f>IF(Tabela1[[#This Row],[STATUS_NEGOCIO]]="Enviar E-mail",1,"")</f>
        <v/>
      </c>
      <c r="U3172" t="str">
        <f>TEXT(Tabela1[[#This Row],[DATA]],"dd/mm/aaaa")</f>
        <v>28/05/2026</v>
      </c>
    </row>
    <row r="3173" spans="1:21" x14ac:dyDescent="0.25">
      <c r="A3173" s="9">
        <v>46170.422766203701</v>
      </c>
      <c r="B3173" t="s">
        <v>19</v>
      </c>
      <c r="C3173" t="s">
        <v>20</v>
      </c>
      <c r="E3173"/>
      <c r="F3173">
        <v>2778703031</v>
      </c>
      <c r="G3173" s="10">
        <v>177997372710411</v>
      </c>
      <c r="H3173" t="s">
        <v>28</v>
      </c>
      <c r="I3173" t="s">
        <v>121</v>
      </c>
      <c r="J3173" t="s">
        <v>30</v>
      </c>
      <c r="K3173" t="s">
        <v>36</v>
      </c>
      <c r="N3173" t="s">
        <v>32</v>
      </c>
      <c r="O3173">
        <v>19</v>
      </c>
      <c r="R3173" s="11">
        <v>4.6296296296296294E-5</v>
      </c>
      <c r="S3173" t="s">
        <v>37</v>
      </c>
      <c r="T3173" t="str">
        <f>IF(Tabela1[[#This Row],[STATUS_NEGOCIO]]="Enviar E-mail",1,"")</f>
        <v/>
      </c>
      <c r="U3173" t="str">
        <f>TEXT(Tabela1[[#This Row],[DATA]],"dd/mm/aaaa")</f>
        <v>28/05/2026</v>
      </c>
    </row>
    <row r="3174" spans="1:21" x14ac:dyDescent="0.25">
      <c r="A3174" s="9">
        <v>46170.424062500002</v>
      </c>
      <c r="B3174" t="s">
        <v>19</v>
      </c>
      <c r="C3174" t="s">
        <v>20</v>
      </c>
      <c r="E3174"/>
      <c r="F3174">
        <v>2761431748</v>
      </c>
      <c r="G3174" s="10">
        <v>177997383910471</v>
      </c>
      <c r="H3174" t="s">
        <v>28</v>
      </c>
      <c r="I3174" t="s">
        <v>172</v>
      </c>
      <c r="J3174" t="s">
        <v>30</v>
      </c>
      <c r="K3174" t="s">
        <v>36</v>
      </c>
      <c r="N3174" t="s">
        <v>32</v>
      </c>
      <c r="O3174">
        <v>19</v>
      </c>
      <c r="R3174" s="11">
        <v>2.0833333333333335E-4</v>
      </c>
      <c r="S3174" t="s">
        <v>37</v>
      </c>
      <c r="T3174" t="str">
        <f>IF(Tabela1[[#This Row],[STATUS_NEGOCIO]]="Enviar E-mail",1,"")</f>
        <v/>
      </c>
      <c r="U3174" t="str">
        <f>TEXT(Tabela1[[#This Row],[DATA]],"dd/mm/aaaa")</f>
        <v>28/05/2026</v>
      </c>
    </row>
    <row r="3175" spans="1:21" x14ac:dyDescent="0.25">
      <c r="A3175" s="9">
        <v>46170.424340277779</v>
      </c>
      <c r="B3175" t="s">
        <v>19</v>
      </c>
      <c r="C3175" t="s">
        <v>20</v>
      </c>
      <c r="E3175"/>
      <c r="F3175">
        <v>2761431772</v>
      </c>
      <c r="G3175" s="10">
        <v>177997386310511</v>
      </c>
      <c r="H3175" t="s">
        <v>28</v>
      </c>
      <c r="I3175" t="s">
        <v>172</v>
      </c>
      <c r="J3175" t="s">
        <v>30</v>
      </c>
      <c r="K3175" t="s">
        <v>23</v>
      </c>
      <c r="L3175" t="s">
        <v>40</v>
      </c>
      <c r="N3175" t="s">
        <v>26</v>
      </c>
      <c r="O3175">
        <v>16</v>
      </c>
      <c r="R3175" s="11">
        <v>4.409722222222222E-3</v>
      </c>
      <c r="S3175" s="11">
        <v>4.1666666666666666E-3</v>
      </c>
      <c r="T3175">
        <f>IF(Tabela1[[#This Row],[STATUS_NEGOCIO]]="Enviar E-mail",1,"")</f>
        <v>1</v>
      </c>
      <c r="U3175" t="str">
        <f>TEXT(Tabela1[[#This Row],[DATA]],"dd/mm/aaaa")</f>
        <v>28/05/2026</v>
      </c>
    </row>
    <row r="3176" spans="1:21" x14ac:dyDescent="0.25">
      <c r="A3176" s="9">
        <v>46170.425011574072</v>
      </c>
      <c r="B3176" t="s">
        <v>19</v>
      </c>
      <c r="C3176" t="s">
        <v>27</v>
      </c>
      <c r="E3176"/>
      <c r="F3176">
        <v>2779391938</v>
      </c>
      <c r="G3176" s="10">
        <v>177997392110681</v>
      </c>
      <c r="H3176" t="s">
        <v>28</v>
      </c>
      <c r="I3176" t="s">
        <v>387</v>
      </c>
      <c r="J3176" t="s">
        <v>30</v>
      </c>
      <c r="K3176" t="s">
        <v>23</v>
      </c>
      <c r="L3176" t="s">
        <v>31</v>
      </c>
      <c r="N3176" t="s">
        <v>32</v>
      </c>
      <c r="O3176">
        <v>16</v>
      </c>
      <c r="R3176" s="11">
        <v>2.6620370370370372E-4</v>
      </c>
      <c r="S3176" s="11">
        <v>6.9444444444444444E-5</v>
      </c>
      <c r="T3176" t="str">
        <f>IF(Tabela1[[#This Row],[STATUS_NEGOCIO]]="Enviar E-mail",1,"")</f>
        <v/>
      </c>
      <c r="U3176" t="str">
        <f>TEXT(Tabela1[[#This Row],[DATA]],"dd/mm/aaaa")</f>
        <v>28/05/2026</v>
      </c>
    </row>
    <row r="3177" spans="1:21" x14ac:dyDescent="0.25">
      <c r="A3177" s="9">
        <v>46170.427974537037</v>
      </c>
      <c r="B3177" t="s">
        <v>19</v>
      </c>
      <c r="C3177" t="s">
        <v>27</v>
      </c>
      <c r="E3177"/>
      <c r="F3177">
        <v>2761794995</v>
      </c>
      <c r="G3177" s="10">
        <v>177997417711231</v>
      </c>
      <c r="H3177" t="s">
        <v>28</v>
      </c>
      <c r="I3177" t="s">
        <v>154</v>
      </c>
      <c r="J3177" t="s">
        <v>30</v>
      </c>
      <c r="K3177" t="s">
        <v>23</v>
      </c>
      <c r="L3177" t="s">
        <v>31</v>
      </c>
      <c r="N3177" t="s">
        <v>32</v>
      </c>
      <c r="O3177">
        <v>16</v>
      </c>
      <c r="R3177" s="11">
        <v>9.4907407407407408E-4</v>
      </c>
      <c r="S3177" s="11">
        <v>8.9120370370370373E-4</v>
      </c>
      <c r="T3177" t="str">
        <f>IF(Tabela1[[#This Row],[STATUS_NEGOCIO]]="Enviar E-mail",1,"")</f>
        <v/>
      </c>
      <c r="U3177" t="str">
        <f>TEXT(Tabela1[[#This Row],[DATA]],"dd/mm/aaaa")</f>
        <v>28/05/2026</v>
      </c>
    </row>
    <row r="3178" spans="1:21" x14ac:dyDescent="0.25">
      <c r="A3178" s="9">
        <v>46170.429375</v>
      </c>
      <c r="B3178" t="s">
        <v>19</v>
      </c>
      <c r="C3178" t="s">
        <v>27</v>
      </c>
      <c r="E3178"/>
      <c r="F3178">
        <v>2761844923</v>
      </c>
      <c r="G3178" s="10">
        <v>177997428111441</v>
      </c>
      <c r="H3178" t="s">
        <v>28</v>
      </c>
      <c r="I3178" t="s">
        <v>420</v>
      </c>
      <c r="J3178" t="s">
        <v>30</v>
      </c>
      <c r="K3178" t="s">
        <v>62</v>
      </c>
      <c r="N3178" t="s">
        <v>26</v>
      </c>
      <c r="O3178">
        <v>21</v>
      </c>
      <c r="R3178" s="11">
        <v>1.1574074074074073E-5</v>
      </c>
      <c r="S3178" t="s">
        <v>37</v>
      </c>
      <c r="T3178" t="str">
        <f>IF(Tabela1[[#This Row],[STATUS_NEGOCIO]]="Enviar E-mail",1,"")</f>
        <v/>
      </c>
      <c r="U3178" t="str">
        <f>TEXT(Tabela1[[#This Row],[DATA]],"dd/mm/aaaa")</f>
        <v>28/05/2026</v>
      </c>
    </row>
    <row r="3179" spans="1:21" x14ac:dyDescent="0.25">
      <c r="A3179" s="9">
        <v>46170.431238425925</v>
      </c>
      <c r="B3179" t="s">
        <v>19</v>
      </c>
      <c r="C3179" t="s">
        <v>20</v>
      </c>
      <c r="E3179"/>
      <c r="F3179">
        <v>2761845083</v>
      </c>
      <c r="G3179" s="10">
        <v>177997444111731</v>
      </c>
      <c r="H3179" t="s">
        <v>28</v>
      </c>
      <c r="I3179" t="s">
        <v>420</v>
      </c>
      <c r="J3179" t="s">
        <v>30</v>
      </c>
      <c r="K3179" t="s">
        <v>62</v>
      </c>
      <c r="N3179" t="s">
        <v>26</v>
      </c>
      <c r="O3179">
        <v>21</v>
      </c>
      <c r="R3179" s="11">
        <v>1.1574074074074073E-5</v>
      </c>
      <c r="S3179" t="s">
        <v>37</v>
      </c>
      <c r="T3179" t="str">
        <f>IF(Tabela1[[#This Row],[STATUS_NEGOCIO]]="Enviar E-mail",1,"")</f>
        <v/>
      </c>
      <c r="U3179" t="str">
        <f>TEXT(Tabela1[[#This Row],[DATA]],"dd/mm/aaaa")</f>
        <v>28/05/2026</v>
      </c>
    </row>
    <row r="3180" spans="1:21" x14ac:dyDescent="0.25">
      <c r="A3180" s="9">
        <v>46170.431423611109</v>
      </c>
      <c r="B3180" t="s">
        <v>19</v>
      </c>
      <c r="C3180" t="s">
        <v>20</v>
      </c>
      <c r="E3180"/>
      <c r="F3180">
        <v>2761845110</v>
      </c>
      <c r="G3180" s="10">
        <v>177997446811771</v>
      </c>
      <c r="H3180" t="s">
        <v>28</v>
      </c>
      <c r="I3180" t="s">
        <v>420</v>
      </c>
      <c r="J3180" t="s">
        <v>30</v>
      </c>
      <c r="K3180" t="s">
        <v>62</v>
      </c>
      <c r="N3180" t="s">
        <v>26</v>
      </c>
      <c r="O3180">
        <v>21</v>
      </c>
      <c r="R3180" s="11">
        <v>1.1574074074074073E-5</v>
      </c>
      <c r="S3180" t="s">
        <v>37</v>
      </c>
      <c r="T3180" t="str">
        <f>IF(Tabela1[[#This Row],[STATUS_NEGOCIO]]="Enviar E-mail",1,"")</f>
        <v/>
      </c>
      <c r="U3180" t="str">
        <f>TEXT(Tabela1[[#This Row],[DATA]],"dd/mm/aaaa")</f>
        <v>28/05/2026</v>
      </c>
    </row>
    <row r="3181" spans="1:21" x14ac:dyDescent="0.25">
      <c r="A3181" s="9">
        <v>46170.431539351855</v>
      </c>
      <c r="B3181" t="s">
        <v>19</v>
      </c>
      <c r="C3181" t="s">
        <v>27</v>
      </c>
      <c r="E3181"/>
      <c r="F3181">
        <v>2761845115</v>
      </c>
      <c r="G3181" s="10">
        <v>177997447211801</v>
      </c>
      <c r="H3181" t="s">
        <v>28</v>
      </c>
      <c r="I3181" t="s">
        <v>420</v>
      </c>
      <c r="J3181" t="s">
        <v>30</v>
      </c>
      <c r="K3181" t="s">
        <v>62</v>
      </c>
      <c r="N3181" t="s">
        <v>26</v>
      </c>
      <c r="O3181">
        <v>21</v>
      </c>
      <c r="R3181" s="11">
        <v>1.1574074074074073E-5</v>
      </c>
      <c r="S3181" t="s">
        <v>37</v>
      </c>
      <c r="T3181" t="str">
        <f>IF(Tabela1[[#This Row],[STATUS_NEGOCIO]]="Enviar E-mail",1,"")</f>
        <v/>
      </c>
      <c r="U3181" t="str">
        <f>TEXT(Tabela1[[#This Row],[DATA]],"dd/mm/aaaa")</f>
        <v>28/05/2026</v>
      </c>
    </row>
    <row r="3182" spans="1:21" x14ac:dyDescent="0.25">
      <c r="A3182" s="9">
        <v>46170.460972222223</v>
      </c>
      <c r="B3182" t="s">
        <v>19</v>
      </c>
      <c r="C3182" t="s">
        <v>20</v>
      </c>
      <c r="E3182"/>
      <c r="F3182">
        <v>2778311350</v>
      </c>
      <c r="G3182" s="10">
        <v>177997702815081</v>
      </c>
      <c r="H3182" t="s">
        <v>28</v>
      </c>
      <c r="I3182" t="s">
        <v>184</v>
      </c>
      <c r="J3182" t="s">
        <v>30</v>
      </c>
      <c r="K3182" t="s">
        <v>36</v>
      </c>
      <c r="N3182" t="s">
        <v>32</v>
      </c>
      <c r="O3182">
        <v>19</v>
      </c>
      <c r="R3182" s="11">
        <v>4.1666666666666669E-4</v>
      </c>
      <c r="S3182" t="s">
        <v>37</v>
      </c>
      <c r="T3182" t="str">
        <f>IF(Tabela1[[#This Row],[STATUS_NEGOCIO]]="Enviar E-mail",1,"")</f>
        <v/>
      </c>
      <c r="U3182" t="str">
        <f>TEXT(Tabela1[[#This Row],[DATA]],"dd/mm/aaaa")</f>
        <v>28/05/2026</v>
      </c>
    </row>
    <row r="3183" spans="1:21" x14ac:dyDescent="0.25">
      <c r="A3183" s="9">
        <v>46170.461469907408</v>
      </c>
      <c r="B3183" t="s">
        <v>19</v>
      </c>
      <c r="C3183" t="s">
        <v>20</v>
      </c>
      <c r="E3183"/>
      <c r="F3183">
        <v>2778311393</v>
      </c>
      <c r="G3183" s="10">
        <v>177997707115111</v>
      </c>
      <c r="H3183" t="s">
        <v>28</v>
      </c>
      <c r="I3183" t="s">
        <v>184</v>
      </c>
      <c r="J3183" t="s">
        <v>30</v>
      </c>
      <c r="K3183" t="s">
        <v>23</v>
      </c>
      <c r="L3183" t="s">
        <v>40</v>
      </c>
      <c r="N3183" t="s">
        <v>26</v>
      </c>
      <c r="O3183">
        <v>16</v>
      </c>
      <c r="R3183" s="11">
        <v>1.8171296296296297E-3</v>
      </c>
      <c r="S3183" s="11">
        <v>1.6087962962962963E-3</v>
      </c>
      <c r="T3183">
        <f>IF(Tabela1[[#This Row],[STATUS_NEGOCIO]]="Enviar E-mail",1,"")</f>
        <v>1</v>
      </c>
      <c r="U3183" t="str">
        <f>TEXT(Tabela1[[#This Row],[DATA]],"dd/mm/aaaa")</f>
        <v>28/05/2026</v>
      </c>
    </row>
    <row r="3184" spans="1:21" x14ac:dyDescent="0.25">
      <c r="A3184" s="9">
        <v>46170.4846412037</v>
      </c>
      <c r="B3184" t="s">
        <v>19</v>
      </c>
      <c r="C3184" t="s">
        <v>27</v>
      </c>
      <c r="E3184"/>
      <c r="F3184">
        <v>2761849710</v>
      </c>
      <c r="G3184" s="10">
        <v>177997906818791</v>
      </c>
      <c r="H3184" t="s">
        <v>28</v>
      </c>
      <c r="I3184" t="s">
        <v>420</v>
      </c>
      <c r="J3184" t="s">
        <v>30</v>
      </c>
      <c r="K3184" t="s">
        <v>62</v>
      </c>
      <c r="N3184" t="s">
        <v>26</v>
      </c>
      <c r="O3184">
        <v>21</v>
      </c>
      <c r="R3184" s="11">
        <v>1.1574074074074073E-5</v>
      </c>
      <c r="S3184" t="s">
        <v>37</v>
      </c>
      <c r="T3184" t="str">
        <f>IF(Tabela1[[#This Row],[STATUS_NEGOCIO]]="Enviar E-mail",1,"")</f>
        <v/>
      </c>
      <c r="U3184" t="str">
        <f>TEXT(Tabela1[[#This Row],[DATA]],"dd/mm/aaaa")</f>
        <v>28/05/2026</v>
      </c>
    </row>
    <row r="3185" spans="1:21" x14ac:dyDescent="0.25">
      <c r="A3185" s="9">
        <v>46170.588356481479</v>
      </c>
      <c r="B3185" t="s">
        <v>19</v>
      </c>
      <c r="C3185" t="s">
        <v>27</v>
      </c>
      <c r="E3185"/>
      <c r="F3185">
        <v>2761343409</v>
      </c>
      <c r="G3185" s="10">
        <v>177998803430331</v>
      </c>
      <c r="H3185" t="s">
        <v>28</v>
      </c>
      <c r="I3185" t="s">
        <v>290</v>
      </c>
      <c r="J3185" t="s">
        <v>30</v>
      </c>
      <c r="K3185" t="s">
        <v>23</v>
      </c>
      <c r="L3185" t="s">
        <v>265</v>
      </c>
      <c r="N3185" t="s">
        <v>32</v>
      </c>
      <c r="O3185">
        <v>16</v>
      </c>
      <c r="R3185" s="11">
        <v>5.7870370370370367E-4</v>
      </c>
      <c r="S3185" s="11">
        <v>2.7777777777777778E-4</v>
      </c>
      <c r="T3185" t="str">
        <f>IF(Tabela1[[#This Row],[STATUS_NEGOCIO]]="Enviar E-mail",1,"")</f>
        <v/>
      </c>
      <c r="U3185" t="str">
        <f>TEXT(Tabela1[[#This Row],[DATA]],"dd/mm/aaaa")</f>
        <v>28/05/2026</v>
      </c>
    </row>
    <row r="3186" spans="1:21" x14ac:dyDescent="0.25">
      <c r="A3186" s="9">
        <v>46170.589768518519</v>
      </c>
      <c r="B3186" t="s">
        <v>19</v>
      </c>
      <c r="C3186" t="s">
        <v>20</v>
      </c>
      <c r="E3186"/>
      <c r="F3186">
        <v>2761586963</v>
      </c>
      <c r="G3186" s="10">
        <v>177998815630541</v>
      </c>
      <c r="H3186" t="s">
        <v>28</v>
      </c>
      <c r="I3186" t="s">
        <v>609</v>
      </c>
      <c r="J3186" t="s">
        <v>30</v>
      </c>
      <c r="K3186" t="s">
        <v>23</v>
      </c>
      <c r="L3186" t="s">
        <v>44</v>
      </c>
      <c r="N3186" t="s">
        <v>32</v>
      </c>
      <c r="O3186">
        <v>16</v>
      </c>
      <c r="R3186" s="11">
        <v>3.9351851851851852E-4</v>
      </c>
      <c r="S3186" s="11">
        <v>2.0833333333333335E-4</v>
      </c>
      <c r="T3186" t="str">
        <f>IF(Tabela1[[#This Row],[STATUS_NEGOCIO]]="Enviar E-mail",1,"")</f>
        <v/>
      </c>
      <c r="U3186" t="str">
        <f>TEXT(Tabela1[[#This Row],[DATA]],"dd/mm/aaaa")</f>
        <v>28/05/2026</v>
      </c>
    </row>
    <row r="3187" spans="1:21" x14ac:dyDescent="0.25">
      <c r="A3187" s="9">
        <v>46170.590300925927</v>
      </c>
      <c r="B3187" t="s">
        <v>19</v>
      </c>
      <c r="C3187" t="s">
        <v>20</v>
      </c>
      <c r="E3187"/>
      <c r="F3187">
        <v>2761587009</v>
      </c>
      <c r="G3187" s="10">
        <v>177998820230621</v>
      </c>
      <c r="H3187" t="s">
        <v>28</v>
      </c>
      <c r="I3187" t="s">
        <v>609</v>
      </c>
      <c r="J3187" t="s">
        <v>30</v>
      </c>
      <c r="K3187" t="s">
        <v>36</v>
      </c>
      <c r="N3187" t="s">
        <v>32</v>
      </c>
      <c r="O3187">
        <v>19</v>
      </c>
      <c r="R3187" s="11">
        <v>4.0509259259259258E-4</v>
      </c>
      <c r="S3187" t="s">
        <v>37</v>
      </c>
      <c r="T3187" t="str">
        <f>IF(Tabela1[[#This Row],[STATUS_NEGOCIO]]="Enviar E-mail",1,"")</f>
        <v/>
      </c>
      <c r="U3187" t="str">
        <f>TEXT(Tabela1[[#This Row],[DATA]],"dd/mm/aaaa")</f>
        <v>28/05/2026</v>
      </c>
    </row>
    <row r="3188" spans="1:21" x14ac:dyDescent="0.25">
      <c r="A3188" s="9">
        <v>46170.590520833335</v>
      </c>
      <c r="B3188" t="s">
        <v>19</v>
      </c>
      <c r="C3188" t="s">
        <v>27</v>
      </c>
      <c r="E3188"/>
      <c r="F3188">
        <v>2761361409</v>
      </c>
      <c r="G3188" s="10">
        <v>177998821230701</v>
      </c>
      <c r="H3188" t="s">
        <v>28</v>
      </c>
      <c r="I3188" t="s">
        <v>67</v>
      </c>
      <c r="J3188" t="s">
        <v>30</v>
      </c>
      <c r="K3188" t="s">
        <v>62</v>
      </c>
      <c r="N3188" t="s">
        <v>26</v>
      </c>
      <c r="O3188">
        <v>17</v>
      </c>
      <c r="R3188" s="11">
        <v>1.1574074074074073E-5</v>
      </c>
      <c r="S3188" t="s">
        <v>37</v>
      </c>
      <c r="T3188" t="str">
        <f>IF(Tabela1[[#This Row],[STATUS_NEGOCIO]]="Enviar E-mail",1,"")</f>
        <v/>
      </c>
      <c r="U3188" t="str">
        <f>TEXT(Tabela1[[#This Row],[DATA]],"dd/mm/aaaa")</f>
        <v>28/05/2026</v>
      </c>
    </row>
    <row r="3189" spans="1:21" x14ac:dyDescent="0.25">
      <c r="A3189" s="9">
        <v>46170.591099537036</v>
      </c>
      <c r="B3189" t="s">
        <v>19</v>
      </c>
      <c r="C3189" t="s">
        <v>20</v>
      </c>
      <c r="E3189"/>
      <c r="F3189">
        <v>2779148390</v>
      </c>
      <c r="G3189" s="10">
        <v>177998827130751</v>
      </c>
      <c r="H3189" t="s">
        <v>28</v>
      </c>
      <c r="I3189" t="s">
        <v>248</v>
      </c>
      <c r="J3189" t="s">
        <v>30</v>
      </c>
      <c r="K3189" t="s">
        <v>36</v>
      </c>
      <c r="N3189" t="s">
        <v>32</v>
      </c>
      <c r="O3189">
        <v>19</v>
      </c>
      <c r="R3189" s="11">
        <v>4.1666666666666669E-4</v>
      </c>
      <c r="S3189" t="s">
        <v>37</v>
      </c>
      <c r="T3189" t="str">
        <f>IF(Tabela1[[#This Row],[STATUS_NEGOCIO]]="Enviar E-mail",1,"")</f>
        <v/>
      </c>
      <c r="U3189" t="str">
        <f>TEXT(Tabela1[[#This Row],[DATA]],"dd/mm/aaaa")</f>
        <v>28/05/2026</v>
      </c>
    </row>
    <row r="3190" spans="1:21" x14ac:dyDescent="0.25">
      <c r="A3190" s="9">
        <v>46170.591574074075</v>
      </c>
      <c r="B3190" t="s">
        <v>19</v>
      </c>
      <c r="C3190" t="s">
        <v>20</v>
      </c>
      <c r="E3190"/>
      <c r="F3190">
        <v>2779148431</v>
      </c>
      <c r="G3190" s="10">
        <v>177998831230821</v>
      </c>
      <c r="H3190" t="s">
        <v>28</v>
      </c>
      <c r="I3190" t="s">
        <v>248</v>
      </c>
      <c r="J3190" t="s">
        <v>30</v>
      </c>
      <c r="K3190" t="s">
        <v>36</v>
      </c>
      <c r="N3190" t="s">
        <v>32</v>
      </c>
      <c r="O3190">
        <v>19</v>
      </c>
      <c r="R3190" s="11">
        <v>3.9351851851851852E-4</v>
      </c>
      <c r="S3190" t="s">
        <v>37</v>
      </c>
      <c r="T3190" t="str">
        <f>IF(Tabela1[[#This Row],[STATUS_NEGOCIO]]="Enviar E-mail",1,"")</f>
        <v/>
      </c>
      <c r="U3190" t="str">
        <f>TEXT(Tabela1[[#This Row],[DATA]],"dd/mm/aaaa")</f>
        <v>28/05/2026</v>
      </c>
    </row>
    <row r="3191" spans="1:21" x14ac:dyDescent="0.25">
      <c r="A3191" s="9">
        <v>46170.592395833337</v>
      </c>
      <c r="B3191" t="s">
        <v>19</v>
      </c>
      <c r="C3191" t="s">
        <v>20</v>
      </c>
      <c r="E3191"/>
      <c r="F3191">
        <v>2761442849</v>
      </c>
      <c r="G3191" s="10">
        <v>177998838331011</v>
      </c>
      <c r="H3191" t="s">
        <v>28</v>
      </c>
      <c r="I3191" t="s">
        <v>255</v>
      </c>
      <c r="J3191" t="s">
        <v>30</v>
      </c>
      <c r="K3191" t="s">
        <v>23</v>
      </c>
      <c r="L3191" t="s">
        <v>31</v>
      </c>
      <c r="N3191" t="s">
        <v>32</v>
      </c>
      <c r="O3191">
        <v>16</v>
      </c>
      <c r="R3191" s="11">
        <v>2.4305555555555555E-4</v>
      </c>
      <c r="S3191" s="11">
        <v>4.6296296296296294E-5</v>
      </c>
      <c r="T3191" t="str">
        <f>IF(Tabela1[[#This Row],[STATUS_NEGOCIO]]="Enviar E-mail",1,"")</f>
        <v/>
      </c>
      <c r="U3191" t="str">
        <f>TEXT(Tabela1[[#This Row],[DATA]],"dd/mm/aaaa")</f>
        <v>28/05/2026</v>
      </c>
    </row>
    <row r="3192" spans="1:21" x14ac:dyDescent="0.25">
      <c r="A3192" s="9">
        <v>46170.592662037037</v>
      </c>
      <c r="B3192" t="s">
        <v>19</v>
      </c>
      <c r="C3192" t="s">
        <v>27</v>
      </c>
      <c r="E3192"/>
      <c r="F3192">
        <v>2761361593</v>
      </c>
      <c r="G3192" s="10">
        <v>177998839731031</v>
      </c>
      <c r="H3192" t="s">
        <v>28</v>
      </c>
      <c r="I3192" t="s">
        <v>67</v>
      </c>
      <c r="J3192" t="s">
        <v>30</v>
      </c>
      <c r="K3192" t="s">
        <v>62</v>
      </c>
      <c r="N3192" t="s">
        <v>26</v>
      </c>
      <c r="O3192">
        <v>17</v>
      </c>
      <c r="R3192" s="11">
        <v>1.1574074074074073E-5</v>
      </c>
      <c r="S3192" t="s">
        <v>37</v>
      </c>
      <c r="T3192" t="str">
        <f>IF(Tabela1[[#This Row],[STATUS_NEGOCIO]]="Enviar E-mail",1,"")</f>
        <v/>
      </c>
      <c r="U3192" t="str">
        <f>TEXT(Tabela1[[#This Row],[DATA]],"dd/mm/aaaa")</f>
        <v>28/05/2026</v>
      </c>
    </row>
    <row r="3193" spans="1:21" x14ac:dyDescent="0.25">
      <c r="A3193" s="9">
        <v>46170.592766203707</v>
      </c>
      <c r="B3193" t="s">
        <v>19</v>
      </c>
      <c r="C3193" t="s">
        <v>20</v>
      </c>
      <c r="E3193"/>
      <c r="F3193">
        <v>2761442880</v>
      </c>
      <c r="G3193" s="10">
        <v>177998841531081</v>
      </c>
      <c r="H3193" t="s">
        <v>28</v>
      </c>
      <c r="I3193" t="s">
        <v>255</v>
      </c>
      <c r="J3193" t="s">
        <v>30</v>
      </c>
      <c r="K3193" t="s">
        <v>23</v>
      </c>
      <c r="L3193" t="s">
        <v>31</v>
      </c>
      <c r="N3193" t="s">
        <v>32</v>
      </c>
      <c r="O3193">
        <v>16</v>
      </c>
      <c r="R3193" s="11">
        <v>2.4305555555555555E-4</v>
      </c>
      <c r="S3193" s="11">
        <v>3.4722222222222222E-5</v>
      </c>
      <c r="T3193" t="str">
        <f>IF(Tabela1[[#This Row],[STATUS_NEGOCIO]]="Enviar E-mail",1,"")</f>
        <v/>
      </c>
      <c r="U3193" t="str">
        <f>TEXT(Tabela1[[#This Row],[DATA]],"dd/mm/aaaa")</f>
        <v>28/05/2026</v>
      </c>
    </row>
    <row r="3194" spans="1:21" x14ac:dyDescent="0.25">
      <c r="A3194" s="9">
        <v>46170.592997685184</v>
      </c>
      <c r="B3194" t="s">
        <v>19</v>
      </c>
      <c r="C3194" t="s">
        <v>27</v>
      </c>
      <c r="E3194"/>
      <c r="F3194">
        <v>2747349569</v>
      </c>
      <c r="G3194" s="10">
        <v>177998843531141</v>
      </c>
      <c r="H3194" t="s">
        <v>28</v>
      </c>
      <c r="I3194" t="s">
        <v>311</v>
      </c>
      <c r="J3194" t="s">
        <v>30</v>
      </c>
      <c r="K3194" t="s">
        <v>23</v>
      </c>
      <c r="L3194" t="s">
        <v>31</v>
      </c>
      <c r="N3194" t="s">
        <v>26</v>
      </c>
      <c r="O3194">
        <v>16</v>
      </c>
      <c r="R3194" s="11">
        <v>1.5509259259259259E-3</v>
      </c>
      <c r="S3194" s="11">
        <v>1.5046296296296296E-3</v>
      </c>
      <c r="T3194" t="str">
        <f>IF(Tabela1[[#This Row],[STATUS_NEGOCIO]]="Enviar E-mail",1,"")</f>
        <v/>
      </c>
      <c r="U3194" t="str">
        <f>TEXT(Tabela1[[#This Row],[DATA]],"dd/mm/aaaa")</f>
        <v>28/05/2026</v>
      </c>
    </row>
    <row r="3195" spans="1:21" x14ac:dyDescent="0.25">
      <c r="A3195" s="9">
        <v>46170.593668981484</v>
      </c>
      <c r="B3195" t="s">
        <v>19</v>
      </c>
      <c r="C3195" t="s">
        <v>20</v>
      </c>
      <c r="E3195"/>
      <c r="F3195">
        <v>2779421335</v>
      </c>
      <c r="G3195" s="10">
        <v>177998849331291</v>
      </c>
      <c r="H3195" t="s">
        <v>28</v>
      </c>
      <c r="I3195" t="s">
        <v>114</v>
      </c>
      <c r="J3195" t="s">
        <v>30</v>
      </c>
      <c r="K3195" t="s">
        <v>36</v>
      </c>
      <c r="N3195" t="s">
        <v>32</v>
      </c>
      <c r="O3195">
        <v>19</v>
      </c>
      <c r="R3195" s="11">
        <v>1.1574074074074075E-4</v>
      </c>
      <c r="S3195" t="s">
        <v>37</v>
      </c>
      <c r="T3195" t="str">
        <f>IF(Tabela1[[#This Row],[STATUS_NEGOCIO]]="Enviar E-mail",1,"")</f>
        <v/>
      </c>
      <c r="U3195" t="str">
        <f>TEXT(Tabela1[[#This Row],[DATA]],"dd/mm/aaaa")</f>
        <v>28/05/2026</v>
      </c>
    </row>
    <row r="3196" spans="1:21" x14ac:dyDescent="0.25">
      <c r="A3196" s="9">
        <v>46170.593854166669</v>
      </c>
      <c r="B3196" t="s">
        <v>19</v>
      </c>
      <c r="C3196" t="s">
        <v>20</v>
      </c>
      <c r="E3196"/>
      <c r="F3196">
        <v>2779421351</v>
      </c>
      <c r="G3196" s="10">
        <v>177998850931321</v>
      </c>
      <c r="H3196" t="s">
        <v>28</v>
      </c>
      <c r="I3196" t="s">
        <v>114</v>
      </c>
      <c r="J3196" t="s">
        <v>30</v>
      </c>
      <c r="K3196" t="s">
        <v>36</v>
      </c>
      <c r="N3196" t="s">
        <v>32</v>
      </c>
      <c r="O3196">
        <v>19</v>
      </c>
      <c r="R3196" s="11">
        <v>6.9444444444444444E-5</v>
      </c>
      <c r="S3196" t="s">
        <v>37</v>
      </c>
      <c r="T3196" t="str">
        <f>IF(Tabela1[[#This Row],[STATUS_NEGOCIO]]="Enviar E-mail",1,"")</f>
        <v/>
      </c>
      <c r="U3196" t="str">
        <f>TEXT(Tabela1[[#This Row],[DATA]],"dd/mm/aaaa")</f>
        <v>28/05/2026</v>
      </c>
    </row>
    <row r="3197" spans="1:21" x14ac:dyDescent="0.25">
      <c r="A3197" s="9">
        <v>46170.594467592593</v>
      </c>
      <c r="B3197" t="s">
        <v>19</v>
      </c>
      <c r="C3197" t="s">
        <v>20</v>
      </c>
      <c r="E3197"/>
      <c r="F3197">
        <v>2753516401</v>
      </c>
      <c r="G3197" s="10">
        <v>177998856231441</v>
      </c>
      <c r="H3197" t="s">
        <v>28</v>
      </c>
      <c r="I3197" t="s">
        <v>220</v>
      </c>
      <c r="J3197" t="s">
        <v>30</v>
      </c>
      <c r="K3197" t="s">
        <v>36</v>
      </c>
      <c r="N3197" t="s">
        <v>32</v>
      </c>
      <c r="O3197">
        <v>19</v>
      </c>
      <c r="R3197" s="11">
        <v>3.2407407407407406E-4</v>
      </c>
      <c r="S3197" t="s">
        <v>37</v>
      </c>
      <c r="T3197" t="str">
        <f>IF(Tabela1[[#This Row],[STATUS_NEGOCIO]]="Enviar E-mail",1,"")</f>
        <v/>
      </c>
      <c r="U3197" t="str">
        <f>TEXT(Tabela1[[#This Row],[DATA]],"dd/mm/aaaa")</f>
        <v>28/05/2026</v>
      </c>
    </row>
    <row r="3198" spans="1:21" x14ac:dyDescent="0.25">
      <c r="A3198" s="9">
        <v>46170.594861111109</v>
      </c>
      <c r="B3198" t="s">
        <v>19</v>
      </c>
      <c r="C3198" t="s">
        <v>20</v>
      </c>
      <c r="E3198"/>
      <c r="F3198">
        <v>2753516435</v>
      </c>
      <c r="G3198" s="10">
        <v>177998859631481</v>
      </c>
      <c r="H3198" t="s">
        <v>28</v>
      </c>
      <c r="I3198" t="s">
        <v>220</v>
      </c>
      <c r="J3198" t="s">
        <v>30</v>
      </c>
      <c r="K3198" t="s">
        <v>23</v>
      </c>
      <c r="L3198" t="s">
        <v>40</v>
      </c>
      <c r="N3198" t="s">
        <v>26</v>
      </c>
      <c r="O3198">
        <v>16</v>
      </c>
      <c r="R3198" s="11">
        <v>7.6851851851851855E-3</v>
      </c>
      <c r="S3198" s="11">
        <v>7.5347222222222222E-3</v>
      </c>
      <c r="T3198">
        <f>IF(Tabela1[[#This Row],[STATUS_NEGOCIO]]="Enviar E-mail",1,"")</f>
        <v>1</v>
      </c>
      <c r="U3198" t="str">
        <f>TEXT(Tabela1[[#This Row],[DATA]],"dd/mm/aaaa")</f>
        <v>28/05/2026</v>
      </c>
    </row>
    <row r="3199" spans="1:21" x14ac:dyDescent="0.25">
      <c r="A3199" s="9">
        <v>46170.595173611109</v>
      </c>
      <c r="B3199" t="s">
        <v>19</v>
      </c>
      <c r="C3199" t="s">
        <v>27</v>
      </c>
      <c r="E3199"/>
      <c r="F3199">
        <v>2779520172</v>
      </c>
      <c r="G3199" s="10">
        <v>177998862331501</v>
      </c>
      <c r="H3199" t="s">
        <v>28</v>
      </c>
      <c r="I3199" t="s">
        <v>208</v>
      </c>
      <c r="J3199" t="s">
        <v>30</v>
      </c>
      <c r="K3199" t="s">
        <v>23</v>
      </c>
      <c r="L3199" t="s">
        <v>31</v>
      </c>
      <c r="N3199" t="s">
        <v>32</v>
      </c>
      <c r="O3199">
        <v>16</v>
      </c>
      <c r="R3199" s="11">
        <v>1.9675925925925926E-4</v>
      </c>
      <c r="S3199" s="11">
        <v>5.7870370370370373E-5</v>
      </c>
      <c r="T3199" t="str">
        <f>IF(Tabela1[[#This Row],[STATUS_NEGOCIO]]="Enviar E-mail",1,"")</f>
        <v/>
      </c>
      <c r="U3199" t="str">
        <f>TEXT(Tabela1[[#This Row],[DATA]],"dd/mm/aaaa")</f>
        <v>28/05/2026</v>
      </c>
    </row>
    <row r="3200" spans="1:21" x14ac:dyDescent="0.25">
      <c r="A3200" s="9">
        <v>46170.600659722222</v>
      </c>
      <c r="B3200" t="s">
        <v>19</v>
      </c>
      <c r="C3200" t="s">
        <v>27</v>
      </c>
      <c r="E3200"/>
      <c r="F3200">
        <v>2779520646</v>
      </c>
      <c r="G3200" s="10">
        <v>177998909732051</v>
      </c>
      <c r="H3200" t="s">
        <v>28</v>
      </c>
      <c r="I3200" t="s">
        <v>208</v>
      </c>
      <c r="J3200" t="s">
        <v>30</v>
      </c>
      <c r="K3200" t="s">
        <v>23</v>
      </c>
      <c r="L3200" t="s">
        <v>31</v>
      </c>
      <c r="N3200" t="s">
        <v>32</v>
      </c>
      <c r="O3200">
        <v>16</v>
      </c>
      <c r="R3200" s="11">
        <v>2.7777777777777778E-4</v>
      </c>
      <c r="S3200" s="11">
        <v>9.2592592592592588E-5</v>
      </c>
      <c r="T3200" t="str">
        <f>IF(Tabela1[[#This Row],[STATUS_NEGOCIO]]="Enviar E-mail",1,"")</f>
        <v/>
      </c>
      <c r="U3200" t="str">
        <f>TEXT(Tabela1[[#This Row],[DATA]],"dd/mm/aaaa")</f>
        <v>28/05/2026</v>
      </c>
    </row>
    <row r="3201" spans="1:21" x14ac:dyDescent="0.25">
      <c r="A3201" s="9">
        <v>46170.601412037038</v>
      </c>
      <c r="B3201" t="s">
        <v>19</v>
      </c>
      <c r="C3201" t="s">
        <v>27</v>
      </c>
      <c r="E3201"/>
      <c r="F3201">
        <v>2712857809</v>
      </c>
      <c r="G3201" s="10">
        <v>177998916232081</v>
      </c>
      <c r="H3201" t="s">
        <v>28</v>
      </c>
      <c r="I3201" t="s">
        <v>83</v>
      </c>
      <c r="J3201" t="s">
        <v>30</v>
      </c>
      <c r="K3201" t="s">
        <v>36</v>
      </c>
      <c r="N3201" t="s">
        <v>32</v>
      </c>
      <c r="O3201">
        <v>19</v>
      </c>
      <c r="R3201" s="11">
        <v>5.2083333333333333E-4</v>
      </c>
      <c r="S3201" t="s">
        <v>37</v>
      </c>
      <c r="T3201" t="str">
        <f>IF(Tabela1[[#This Row],[STATUS_NEGOCIO]]="Enviar E-mail",1,"")</f>
        <v/>
      </c>
      <c r="U3201" t="str">
        <f>TEXT(Tabela1[[#This Row],[DATA]],"dd/mm/aaaa")</f>
        <v>28/05/2026</v>
      </c>
    </row>
    <row r="3202" spans="1:21" x14ac:dyDescent="0.25">
      <c r="A3202" s="9">
        <v>46170.603576388887</v>
      </c>
      <c r="B3202" t="s">
        <v>19</v>
      </c>
      <c r="C3202" t="s">
        <v>27</v>
      </c>
      <c r="E3202"/>
      <c r="F3202">
        <v>2779550980</v>
      </c>
      <c r="G3202" s="10">
        <v>177998934932221</v>
      </c>
      <c r="H3202" t="s">
        <v>28</v>
      </c>
      <c r="I3202" t="s">
        <v>107</v>
      </c>
      <c r="J3202" t="s">
        <v>30</v>
      </c>
      <c r="K3202" t="s">
        <v>23</v>
      </c>
      <c r="L3202" t="s">
        <v>31</v>
      </c>
      <c r="N3202" t="s">
        <v>32</v>
      </c>
      <c r="O3202">
        <v>16</v>
      </c>
      <c r="R3202" s="11">
        <v>4.7453703703703704E-4</v>
      </c>
      <c r="S3202" s="11">
        <v>2.0833333333333335E-4</v>
      </c>
      <c r="T3202" t="str">
        <f>IF(Tabela1[[#This Row],[STATUS_NEGOCIO]]="Enviar E-mail",1,"")</f>
        <v/>
      </c>
      <c r="U3202" t="str">
        <f>TEXT(Tabela1[[#This Row],[DATA]],"dd/mm/aaaa")</f>
        <v>28/05/2026</v>
      </c>
    </row>
    <row r="3203" spans="1:21" x14ac:dyDescent="0.25">
      <c r="A3203" s="9">
        <v>46170.604502314818</v>
      </c>
      <c r="B3203" t="s">
        <v>19</v>
      </c>
      <c r="C3203" t="s">
        <v>27</v>
      </c>
      <c r="E3203"/>
      <c r="F3203">
        <v>2772072356</v>
      </c>
      <c r="G3203" s="10">
        <v>177998942932311</v>
      </c>
      <c r="H3203" t="s">
        <v>28</v>
      </c>
      <c r="I3203" t="s">
        <v>123</v>
      </c>
      <c r="J3203" t="s">
        <v>30</v>
      </c>
      <c r="K3203" t="s">
        <v>23</v>
      </c>
      <c r="L3203" t="s">
        <v>31</v>
      </c>
      <c r="N3203" t="s">
        <v>32</v>
      </c>
      <c r="O3203">
        <v>16</v>
      </c>
      <c r="R3203" s="11">
        <v>6.9444444444444447E-4</v>
      </c>
      <c r="S3203" s="11">
        <v>1.8518518518518518E-4</v>
      </c>
      <c r="T3203" t="str">
        <f>IF(Tabela1[[#This Row],[STATUS_NEGOCIO]]="Enviar E-mail",1,"")</f>
        <v/>
      </c>
      <c r="U3203" t="str">
        <f>TEXT(Tabela1[[#This Row],[DATA]],"dd/mm/aaaa")</f>
        <v>28/05/2026</v>
      </c>
    </row>
    <row r="3204" spans="1:21" x14ac:dyDescent="0.25">
      <c r="A3204" s="9">
        <v>46170.604837962965</v>
      </c>
      <c r="B3204" t="s">
        <v>19</v>
      </c>
      <c r="C3204" t="s">
        <v>20</v>
      </c>
      <c r="E3204"/>
      <c r="F3204">
        <v>2778321303</v>
      </c>
      <c r="G3204" s="10">
        <v>177998945832461</v>
      </c>
      <c r="H3204" t="s">
        <v>28</v>
      </c>
      <c r="I3204" t="s">
        <v>534</v>
      </c>
      <c r="J3204" t="s">
        <v>30</v>
      </c>
      <c r="K3204" t="s">
        <v>36</v>
      </c>
      <c r="N3204" t="s">
        <v>32</v>
      </c>
      <c r="O3204">
        <v>19</v>
      </c>
      <c r="R3204" s="11">
        <v>1.8518518518518518E-4</v>
      </c>
      <c r="S3204" t="s">
        <v>37</v>
      </c>
      <c r="T3204" t="str">
        <f>IF(Tabela1[[#This Row],[STATUS_NEGOCIO]]="Enviar E-mail",1,"")</f>
        <v/>
      </c>
      <c r="U3204" t="str">
        <f>TEXT(Tabela1[[#This Row],[DATA]],"dd/mm/aaaa")</f>
        <v>28/05/2026</v>
      </c>
    </row>
    <row r="3205" spans="1:21" x14ac:dyDescent="0.25">
      <c r="A3205" s="9">
        <v>46170.605104166665</v>
      </c>
      <c r="B3205" t="s">
        <v>19</v>
      </c>
      <c r="C3205" t="s">
        <v>20</v>
      </c>
      <c r="E3205"/>
      <c r="F3205">
        <v>2778321325</v>
      </c>
      <c r="G3205" s="10">
        <v>177998948132551</v>
      </c>
      <c r="H3205" t="s">
        <v>28</v>
      </c>
      <c r="I3205" t="s">
        <v>534</v>
      </c>
      <c r="J3205" t="s">
        <v>30</v>
      </c>
      <c r="K3205" t="s">
        <v>36</v>
      </c>
      <c r="N3205" t="s">
        <v>32</v>
      </c>
      <c r="O3205">
        <v>19</v>
      </c>
      <c r="R3205" s="11">
        <v>1.273148148148148E-4</v>
      </c>
      <c r="S3205" t="s">
        <v>37</v>
      </c>
      <c r="T3205" t="str">
        <f>IF(Tabela1[[#This Row],[STATUS_NEGOCIO]]="Enviar E-mail",1,"")</f>
        <v/>
      </c>
      <c r="U3205" t="str">
        <f>TEXT(Tabela1[[#This Row],[DATA]],"dd/mm/aaaa")</f>
        <v>28/05/2026</v>
      </c>
    </row>
    <row r="3206" spans="1:21" x14ac:dyDescent="0.25">
      <c r="A3206" s="9">
        <v>46170.605740740742</v>
      </c>
      <c r="B3206" t="s">
        <v>19</v>
      </c>
      <c r="C3206" t="s">
        <v>20</v>
      </c>
      <c r="E3206"/>
      <c r="F3206">
        <v>2744762354</v>
      </c>
      <c r="G3206" s="10">
        <v>177998953632651</v>
      </c>
      <c r="H3206" t="s">
        <v>28</v>
      </c>
      <c r="I3206" t="s">
        <v>244</v>
      </c>
      <c r="J3206" t="s">
        <v>30</v>
      </c>
      <c r="K3206" t="s">
        <v>23</v>
      </c>
      <c r="L3206" t="s">
        <v>31</v>
      </c>
      <c r="N3206" t="s">
        <v>32</v>
      </c>
      <c r="O3206">
        <v>16</v>
      </c>
      <c r="R3206" s="11">
        <v>3.1250000000000001E-4</v>
      </c>
      <c r="S3206" s="11">
        <v>2.3148148148148147E-5</v>
      </c>
      <c r="T3206" t="str">
        <f>IF(Tabela1[[#This Row],[STATUS_NEGOCIO]]="Enviar E-mail",1,"")</f>
        <v/>
      </c>
      <c r="U3206" t="str">
        <f>TEXT(Tabela1[[#This Row],[DATA]],"dd/mm/aaaa")</f>
        <v>28/05/2026</v>
      </c>
    </row>
    <row r="3207" spans="1:21" x14ac:dyDescent="0.25">
      <c r="A3207" s="9">
        <v>46170.605763888889</v>
      </c>
      <c r="B3207" t="s">
        <v>19</v>
      </c>
      <c r="C3207" t="s">
        <v>27</v>
      </c>
      <c r="E3207"/>
      <c r="F3207">
        <v>2779084420</v>
      </c>
      <c r="G3207" s="10">
        <v>177998953832671</v>
      </c>
      <c r="H3207" t="s">
        <v>28</v>
      </c>
      <c r="I3207" t="s">
        <v>381</v>
      </c>
      <c r="J3207" t="s">
        <v>30</v>
      </c>
      <c r="K3207" t="s">
        <v>23</v>
      </c>
      <c r="L3207" t="s">
        <v>31</v>
      </c>
      <c r="N3207" t="s">
        <v>32</v>
      </c>
      <c r="O3207">
        <v>16</v>
      </c>
      <c r="R3207" s="11">
        <v>4.9768518518518521E-4</v>
      </c>
      <c r="S3207" s="11">
        <v>6.9444444444444444E-5</v>
      </c>
      <c r="T3207" t="str">
        <f>IF(Tabela1[[#This Row],[STATUS_NEGOCIO]]="Enviar E-mail",1,"")</f>
        <v/>
      </c>
      <c r="U3207" t="str">
        <f>TEXT(Tabela1[[#This Row],[DATA]],"dd/mm/aaaa")</f>
        <v>28/05/2026</v>
      </c>
    </row>
    <row r="3208" spans="1:21" x14ac:dyDescent="0.25">
      <c r="A3208" s="9">
        <v>46170.606168981481</v>
      </c>
      <c r="B3208" t="s">
        <v>19</v>
      </c>
      <c r="C3208" t="s">
        <v>20</v>
      </c>
      <c r="E3208"/>
      <c r="F3208">
        <v>2744762391</v>
      </c>
      <c r="G3208" s="10">
        <v>177998957332701</v>
      </c>
      <c r="H3208" t="s">
        <v>28</v>
      </c>
      <c r="I3208" t="s">
        <v>244</v>
      </c>
      <c r="J3208" t="s">
        <v>30</v>
      </c>
      <c r="K3208" t="s">
        <v>36</v>
      </c>
      <c r="N3208" t="s">
        <v>32</v>
      </c>
      <c r="O3208">
        <v>19</v>
      </c>
      <c r="R3208" s="11">
        <v>2.8935185185185184E-4</v>
      </c>
      <c r="S3208" t="s">
        <v>37</v>
      </c>
      <c r="T3208" t="str">
        <f>IF(Tabela1[[#This Row],[STATUS_NEGOCIO]]="Enviar E-mail",1,"")</f>
        <v/>
      </c>
      <c r="U3208" t="str">
        <f>TEXT(Tabela1[[#This Row],[DATA]],"dd/mm/aaaa")</f>
        <v>28/05/2026</v>
      </c>
    </row>
    <row r="3209" spans="1:21" x14ac:dyDescent="0.25">
      <c r="A3209" s="9">
        <v>46170.606990740744</v>
      </c>
      <c r="B3209" t="s">
        <v>19</v>
      </c>
      <c r="C3209" t="s">
        <v>20</v>
      </c>
      <c r="E3209"/>
      <c r="F3209">
        <v>2778579746</v>
      </c>
      <c r="G3209" s="10">
        <v>177998964432741</v>
      </c>
      <c r="H3209" t="s">
        <v>28</v>
      </c>
      <c r="I3209" t="s">
        <v>118</v>
      </c>
      <c r="J3209" t="s">
        <v>30</v>
      </c>
      <c r="K3209" t="s">
        <v>36</v>
      </c>
      <c r="N3209" t="s">
        <v>32</v>
      </c>
      <c r="O3209">
        <v>19</v>
      </c>
      <c r="R3209" s="11">
        <v>1.0416666666666667E-4</v>
      </c>
      <c r="S3209" t="s">
        <v>37</v>
      </c>
      <c r="T3209" t="str">
        <f>IF(Tabela1[[#This Row],[STATUS_NEGOCIO]]="Enviar E-mail",1,"")</f>
        <v/>
      </c>
      <c r="U3209" t="str">
        <f>TEXT(Tabela1[[#This Row],[DATA]],"dd/mm/aaaa")</f>
        <v>28/05/2026</v>
      </c>
    </row>
    <row r="3210" spans="1:21" x14ac:dyDescent="0.25">
      <c r="A3210" s="9">
        <v>46170.607199074075</v>
      </c>
      <c r="B3210" t="s">
        <v>19</v>
      </c>
      <c r="C3210" t="s">
        <v>20</v>
      </c>
      <c r="E3210"/>
      <c r="F3210">
        <v>2778579764</v>
      </c>
      <c r="G3210" s="10">
        <v>177998966232831</v>
      </c>
      <c r="H3210" t="s">
        <v>28</v>
      </c>
      <c r="I3210" t="s">
        <v>118</v>
      </c>
      <c r="J3210" t="s">
        <v>30</v>
      </c>
      <c r="K3210" t="s">
        <v>36</v>
      </c>
      <c r="N3210" t="s">
        <v>32</v>
      </c>
      <c r="O3210">
        <v>19</v>
      </c>
      <c r="R3210" s="11">
        <v>1.0416666666666667E-4</v>
      </c>
      <c r="S3210" t="s">
        <v>37</v>
      </c>
      <c r="T3210" t="str">
        <f>IF(Tabela1[[#This Row],[STATUS_NEGOCIO]]="Enviar E-mail",1,"")</f>
        <v/>
      </c>
      <c r="U3210" t="str">
        <f>TEXT(Tabela1[[#This Row],[DATA]],"dd/mm/aaaa")</f>
        <v>28/05/2026</v>
      </c>
    </row>
    <row r="3211" spans="1:21" x14ac:dyDescent="0.25">
      <c r="A3211" s="9">
        <v>46170.607708333337</v>
      </c>
      <c r="B3211" t="s">
        <v>19</v>
      </c>
      <c r="C3211" t="s">
        <v>20</v>
      </c>
      <c r="E3211"/>
      <c r="F3211">
        <v>2779974702</v>
      </c>
      <c r="G3211" s="10">
        <v>177998970632921</v>
      </c>
      <c r="H3211" t="s">
        <v>28</v>
      </c>
      <c r="I3211" t="s">
        <v>90</v>
      </c>
      <c r="J3211" t="s">
        <v>30</v>
      </c>
      <c r="K3211" t="s">
        <v>36</v>
      </c>
      <c r="N3211" t="s">
        <v>32</v>
      </c>
      <c r="O3211">
        <v>19</v>
      </c>
      <c r="R3211" s="11">
        <v>6.9444444444444444E-5</v>
      </c>
      <c r="S3211" t="s">
        <v>37</v>
      </c>
      <c r="T3211" t="str">
        <f>IF(Tabela1[[#This Row],[STATUS_NEGOCIO]]="Enviar E-mail",1,"")</f>
        <v/>
      </c>
      <c r="U3211" t="str">
        <f>TEXT(Tabela1[[#This Row],[DATA]],"dd/mm/aaaa")</f>
        <v>28/05/2026</v>
      </c>
    </row>
    <row r="3212" spans="1:21" x14ac:dyDescent="0.25">
      <c r="A3212" s="9">
        <v>46170.607835648145</v>
      </c>
      <c r="B3212" t="s">
        <v>19</v>
      </c>
      <c r="C3212" t="s">
        <v>20</v>
      </c>
      <c r="E3212"/>
      <c r="F3212">
        <v>2779974713</v>
      </c>
      <c r="G3212" s="10">
        <v>177998971732971</v>
      </c>
      <c r="H3212" t="s">
        <v>28</v>
      </c>
      <c r="I3212" t="s">
        <v>90</v>
      </c>
      <c r="J3212" t="s">
        <v>30</v>
      </c>
      <c r="K3212" t="s">
        <v>36</v>
      </c>
      <c r="N3212" t="s">
        <v>32</v>
      </c>
      <c r="O3212">
        <v>19</v>
      </c>
      <c r="R3212" s="11">
        <v>4.6296296296296294E-5</v>
      </c>
      <c r="S3212" t="s">
        <v>37</v>
      </c>
      <c r="T3212" t="str">
        <f>IF(Tabela1[[#This Row],[STATUS_NEGOCIO]]="Enviar E-mail",1,"")</f>
        <v/>
      </c>
      <c r="U3212" t="str">
        <f>TEXT(Tabela1[[#This Row],[DATA]],"dd/mm/aaaa")</f>
        <v>28/05/2026</v>
      </c>
    </row>
    <row r="3213" spans="1:21" x14ac:dyDescent="0.25">
      <c r="A3213" s="9">
        <v>46170.608460648145</v>
      </c>
      <c r="B3213" t="s">
        <v>19</v>
      </c>
      <c r="C3213" t="s">
        <v>20</v>
      </c>
      <c r="E3213"/>
      <c r="F3213">
        <v>2768235812</v>
      </c>
      <c r="G3213" s="10">
        <v>177998977133091</v>
      </c>
      <c r="H3213" t="s">
        <v>28</v>
      </c>
      <c r="I3213" t="s">
        <v>39</v>
      </c>
      <c r="J3213" t="s">
        <v>30</v>
      </c>
      <c r="K3213" t="s">
        <v>36</v>
      </c>
      <c r="N3213" t="s">
        <v>32</v>
      </c>
      <c r="O3213">
        <v>19</v>
      </c>
      <c r="R3213" s="11">
        <v>4.0509259259259258E-4</v>
      </c>
      <c r="S3213" t="s">
        <v>37</v>
      </c>
      <c r="T3213" t="str">
        <f>IF(Tabela1[[#This Row],[STATUS_NEGOCIO]]="Enviar E-mail",1,"")</f>
        <v/>
      </c>
      <c r="U3213" t="str">
        <f>TEXT(Tabela1[[#This Row],[DATA]],"dd/mm/aaaa")</f>
        <v>28/05/2026</v>
      </c>
    </row>
    <row r="3214" spans="1:21" x14ac:dyDescent="0.25">
      <c r="A3214" s="9">
        <v>46170.609733796293</v>
      </c>
      <c r="B3214" t="s">
        <v>19</v>
      </c>
      <c r="C3214" t="s">
        <v>27</v>
      </c>
      <c r="E3214"/>
      <c r="F3214">
        <v>2779407898</v>
      </c>
      <c r="G3214" s="10">
        <v>177998988133331</v>
      </c>
      <c r="H3214" t="s">
        <v>28</v>
      </c>
      <c r="I3214" t="s">
        <v>387</v>
      </c>
      <c r="J3214" t="s">
        <v>30</v>
      </c>
      <c r="K3214" t="s">
        <v>23</v>
      </c>
      <c r="L3214" t="s">
        <v>31</v>
      </c>
      <c r="N3214" t="s">
        <v>32</v>
      </c>
      <c r="O3214">
        <v>16</v>
      </c>
      <c r="R3214" s="11">
        <v>4.9768518518518521E-4</v>
      </c>
      <c r="S3214" s="11">
        <v>6.9444444444444444E-5</v>
      </c>
      <c r="T3214" t="str">
        <f>IF(Tabela1[[#This Row],[STATUS_NEGOCIO]]="Enviar E-mail",1,"")</f>
        <v/>
      </c>
      <c r="U3214" t="str">
        <f>TEXT(Tabela1[[#This Row],[DATA]],"dd/mm/aaaa")</f>
        <v>28/05/2026</v>
      </c>
    </row>
    <row r="3215" spans="1:21" x14ac:dyDescent="0.25">
      <c r="A3215" s="9">
        <v>46170.609988425924</v>
      </c>
      <c r="B3215" t="s">
        <v>19</v>
      </c>
      <c r="C3215" t="s">
        <v>20</v>
      </c>
      <c r="E3215"/>
      <c r="F3215">
        <v>2771419932</v>
      </c>
      <c r="G3215" s="10">
        <v>177998990333351</v>
      </c>
      <c r="H3215" t="s">
        <v>28</v>
      </c>
      <c r="I3215" t="s">
        <v>428</v>
      </c>
      <c r="J3215" t="s">
        <v>30</v>
      </c>
      <c r="K3215" t="s">
        <v>36</v>
      </c>
      <c r="N3215" t="s">
        <v>32</v>
      </c>
      <c r="O3215">
        <v>19</v>
      </c>
      <c r="R3215" s="11">
        <v>6.9444444444444444E-5</v>
      </c>
      <c r="S3215" t="s">
        <v>37</v>
      </c>
      <c r="T3215" t="str">
        <f>IF(Tabela1[[#This Row],[STATUS_NEGOCIO]]="Enviar E-mail",1,"")</f>
        <v/>
      </c>
      <c r="U3215" t="str">
        <f>TEXT(Tabela1[[#This Row],[DATA]],"dd/mm/aaaa")</f>
        <v>28/05/2026</v>
      </c>
    </row>
    <row r="3216" spans="1:21" x14ac:dyDescent="0.25">
      <c r="A3216" s="9">
        <v>46170.610127314816</v>
      </c>
      <c r="B3216" t="s">
        <v>19</v>
      </c>
      <c r="C3216" t="s">
        <v>20</v>
      </c>
      <c r="E3216"/>
      <c r="F3216">
        <v>2771419944</v>
      </c>
      <c r="G3216" s="10">
        <v>177998991533421</v>
      </c>
      <c r="H3216" t="s">
        <v>28</v>
      </c>
      <c r="I3216" t="s">
        <v>428</v>
      </c>
      <c r="J3216" t="s">
        <v>30</v>
      </c>
      <c r="K3216" t="s">
        <v>36</v>
      </c>
      <c r="N3216" t="s">
        <v>32</v>
      </c>
      <c r="O3216">
        <v>19</v>
      </c>
      <c r="R3216" s="11">
        <v>6.9444444444444444E-5</v>
      </c>
      <c r="S3216" t="s">
        <v>37</v>
      </c>
      <c r="T3216" t="str">
        <f>IF(Tabela1[[#This Row],[STATUS_NEGOCIO]]="Enviar E-mail",1,"")</f>
        <v/>
      </c>
      <c r="U3216" t="str">
        <f>TEXT(Tabela1[[#This Row],[DATA]],"dd/mm/aaaa")</f>
        <v>28/05/2026</v>
      </c>
    </row>
    <row r="3217" spans="1:21" x14ac:dyDescent="0.25">
      <c r="A3217" s="9">
        <v>46170.61109953704</v>
      </c>
      <c r="B3217" t="s">
        <v>19</v>
      </c>
      <c r="C3217" t="s">
        <v>27</v>
      </c>
      <c r="E3217"/>
      <c r="F3217">
        <v>2761810817</v>
      </c>
      <c r="G3217" s="10">
        <v>177998999933591</v>
      </c>
      <c r="H3217" t="s">
        <v>28</v>
      </c>
      <c r="I3217" t="s">
        <v>154</v>
      </c>
      <c r="J3217" t="s">
        <v>30</v>
      </c>
      <c r="K3217" t="s">
        <v>23</v>
      </c>
      <c r="L3217" t="s">
        <v>31</v>
      </c>
      <c r="N3217" t="s">
        <v>32</v>
      </c>
      <c r="O3217">
        <v>16</v>
      </c>
      <c r="R3217" s="11">
        <v>7.1759259259259259E-4</v>
      </c>
      <c r="S3217" s="11">
        <v>5.0925925925925921E-4</v>
      </c>
      <c r="T3217" t="str">
        <f>IF(Tabela1[[#This Row],[STATUS_NEGOCIO]]="Enviar E-mail",1,"")</f>
        <v/>
      </c>
      <c r="U3217" t="str">
        <f>TEXT(Tabela1[[#This Row],[DATA]],"dd/mm/aaaa")</f>
        <v>28/05/2026</v>
      </c>
    </row>
    <row r="3218" spans="1:21" x14ac:dyDescent="0.25">
      <c r="A3218" s="9">
        <v>46170.612303240741</v>
      </c>
      <c r="B3218" t="s">
        <v>19</v>
      </c>
      <c r="C3218" t="s">
        <v>27</v>
      </c>
      <c r="E3218"/>
      <c r="F3218">
        <v>2761860740</v>
      </c>
      <c r="G3218" s="10">
        <v>177999009833661</v>
      </c>
      <c r="H3218" t="s">
        <v>28</v>
      </c>
      <c r="I3218" t="s">
        <v>420</v>
      </c>
      <c r="J3218" t="s">
        <v>30</v>
      </c>
      <c r="K3218" t="s">
        <v>62</v>
      </c>
      <c r="N3218" t="s">
        <v>26</v>
      </c>
      <c r="O3218">
        <v>21</v>
      </c>
      <c r="R3218" s="11">
        <v>1.1574074074074073E-5</v>
      </c>
      <c r="S3218" t="s">
        <v>37</v>
      </c>
      <c r="T3218" t="str">
        <f>IF(Tabela1[[#This Row],[STATUS_NEGOCIO]]="Enviar E-mail",1,"")</f>
        <v/>
      </c>
      <c r="U3218" t="str">
        <f>TEXT(Tabela1[[#This Row],[DATA]],"dd/mm/aaaa")</f>
        <v>28/05/2026</v>
      </c>
    </row>
    <row r="3219" spans="1:21" x14ac:dyDescent="0.25">
      <c r="A3219" s="9">
        <v>46170.61241898148</v>
      </c>
      <c r="B3219" t="s">
        <v>19</v>
      </c>
      <c r="C3219" t="s">
        <v>20</v>
      </c>
      <c r="E3219"/>
      <c r="F3219">
        <v>2778719417</v>
      </c>
      <c r="G3219" s="10">
        <v>177999011333701</v>
      </c>
      <c r="H3219" t="s">
        <v>28</v>
      </c>
      <c r="I3219" t="s">
        <v>121</v>
      </c>
      <c r="J3219" t="s">
        <v>30</v>
      </c>
      <c r="K3219" t="s">
        <v>36</v>
      </c>
      <c r="N3219" t="s">
        <v>32</v>
      </c>
      <c r="O3219">
        <v>19</v>
      </c>
      <c r="R3219" s="11">
        <v>6.9444444444444444E-5</v>
      </c>
      <c r="S3219" t="s">
        <v>37</v>
      </c>
      <c r="T3219" t="str">
        <f>IF(Tabela1[[#This Row],[STATUS_NEGOCIO]]="Enviar E-mail",1,"")</f>
        <v/>
      </c>
      <c r="U3219" t="str">
        <f>TEXT(Tabela1[[#This Row],[DATA]],"dd/mm/aaaa")</f>
        <v>28/05/2026</v>
      </c>
    </row>
    <row r="3220" spans="1:21" x14ac:dyDescent="0.25">
      <c r="A3220" s="9">
        <v>46170.612546296295</v>
      </c>
      <c r="B3220" t="s">
        <v>19</v>
      </c>
      <c r="C3220" t="s">
        <v>20</v>
      </c>
      <c r="E3220"/>
      <c r="F3220">
        <v>2778719428</v>
      </c>
      <c r="G3220" s="10">
        <v>177999012433731</v>
      </c>
      <c r="H3220" t="s">
        <v>28</v>
      </c>
      <c r="I3220" t="s">
        <v>121</v>
      </c>
      <c r="J3220" t="s">
        <v>30</v>
      </c>
      <c r="K3220" t="s">
        <v>23</v>
      </c>
      <c r="L3220" t="s">
        <v>31</v>
      </c>
      <c r="N3220" t="s">
        <v>32</v>
      </c>
      <c r="O3220">
        <v>16</v>
      </c>
      <c r="R3220" s="11">
        <v>9.2592592592592588E-5</v>
      </c>
      <c r="S3220" s="11">
        <v>1.1574074074074073E-5</v>
      </c>
      <c r="T3220" t="str">
        <f>IF(Tabela1[[#This Row],[STATUS_NEGOCIO]]="Enviar E-mail",1,"")</f>
        <v/>
      </c>
      <c r="U3220" t="str">
        <f>TEXT(Tabela1[[#This Row],[DATA]],"dd/mm/aaaa")</f>
        <v>28/05/2026</v>
      </c>
    </row>
    <row r="3221" spans="1:21" x14ac:dyDescent="0.25">
      <c r="A3221" s="9">
        <v>46170.612951388888</v>
      </c>
      <c r="B3221" t="s">
        <v>19</v>
      </c>
      <c r="C3221" t="s">
        <v>27</v>
      </c>
      <c r="E3221"/>
      <c r="F3221">
        <v>2761860775</v>
      </c>
      <c r="G3221" s="10">
        <v>177999013333821</v>
      </c>
      <c r="H3221" t="s">
        <v>28</v>
      </c>
      <c r="I3221" t="s">
        <v>420</v>
      </c>
      <c r="J3221" t="s">
        <v>30</v>
      </c>
      <c r="K3221" t="s">
        <v>134</v>
      </c>
      <c r="N3221" t="s">
        <v>26</v>
      </c>
      <c r="O3221">
        <v>34</v>
      </c>
      <c r="R3221" s="11">
        <v>1.1574074074074073E-5</v>
      </c>
      <c r="S3221" t="s">
        <v>37</v>
      </c>
      <c r="T3221" t="str">
        <f>IF(Tabela1[[#This Row],[STATUS_NEGOCIO]]="Enviar E-mail",1,"")</f>
        <v/>
      </c>
      <c r="U3221" t="str">
        <f>TEXT(Tabela1[[#This Row],[DATA]],"dd/mm/aaaa")</f>
        <v>28/05/2026</v>
      </c>
    </row>
    <row r="3222" spans="1:21" x14ac:dyDescent="0.25">
      <c r="A3222" s="9">
        <v>46170.613506944443</v>
      </c>
      <c r="B3222" t="s">
        <v>19</v>
      </c>
      <c r="C3222" t="s">
        <v>20</v>
      </c>
      <c r="E3222"/>
      <c r="F3222">
        <v>2761860845</v>
      </c>
      <c r="G3222" s="10">
        <v>177999020233871</v>
      </c>
      <c r="H3222" t="s">
        <v>28</v>
      </c>
      <c r="I3222" t="s">
        <v>420</v>
      </c>
      <c r="J3222" t="s">
        <v>30</v>
      </c>
      <c r="K3222" t="s">
        <v>62</v>
      </c>
      <c r="N3222" t="s">
        <v>26</v>
      </c>
      <c r="O3222">
        <v>21</v>
      </c>
      <c r="R3222" s="11">
        <v>1.1574074074074073E-5</v>
      </c>
      <c r="S3222" t="s">
        <v>37</v>
      </c>
      <c r="T3222" t="str">
        <f>IF(Tabela1[[#This Row],[STATUS_NEGOCIO]]="Enviar E-mail",1,"")</f>
        <v/>
      </c>
      <c r="U3222" t="str">
        <f>TEXT(Tabela1[[#This Row],[DATA]],"dd/mm/aaaa")</f>
        <v>28/05/2026</v>
      </c>
    </row>
    <row r="3223" spans="1:21" x14ac:dyDescent="0.25">
      <c r="A3223" s="9">
        <v>46170.613645833335</v>
      </c>
      <c r="B3223" t="s">
        <v>19</v>
      </c>
      <c r="C3223" t="s">
        <v>20</v>
      </c>
      <c r="E3223"/>
      <c r="F3223">
        <v>2761860857</v>
      </c>
      <c r="G3223" s="10">
        <v>177999021533911</v>
      </c>
      <c r="H3223" t="s">
        <v>28</v>
      </c>
      <c r="I3223" t="s">
        <v>420</v>
      </c>
      <c r="J3223" t="s">
        <v>30</v>
      </c>
      <c r="K3223" t="s">
        <v>62</v>
      </c>
      <c r="N3223" t="s">
        <v>26</v>
      </c>
      <c r="O3223">
        <v>21</v>
      </c>
      <c r="R3223" s="11">
        <v>1.1574074074074073E-5</v>
      </c>
      <c r="S3223" t="s">
        <v>37</v>
      </c>
      <c r="T3223" t="str">
        <f>IF(Tabela1[[#This Row],[STATUS_NEGOCIO]]="Enviar E-mail",1,"")</f>
        <v/>
      </c>
      <c r="U3223" t="str">
        <f>TEXT(Tabela1[[#This Row],[DATA]],"dd/mm/aaaa")</f>
        <v>28/05/2026</v>
      </c>
    </row>
    <row r="3224" spans="1:21" x14ac:dyDescent="0.25">
      <c r="A3224" s="9">
        <v>46170.614131944443</v>
      </c>
      <c r="B3224" t="s">
        <v>19</v>
      </c>
      <c r="C3224" t="s">
        <v>27</v>
      </c>
      <c r="E3224"/>
      <c r="F3224">
        <v>2761860898</v>
      </c>
      <c r="G3224" s="10">
        <v>177999025634011</v>
      </c>
      <c r="H3224" t="s">
        <v>28</v>
      </c>
      <c r="I3224" t="s">
        <v>420</v>
      </c>
      <c r="J3224" t="s">
        <v>30</v>
      </c>
      <c r="K3224" t="s">
        <v>62</v>
      </c>
      <c r="N3224" t="s">
        <v>26</v>
      </c>
      <c r="O3224">
        <v>21</v>
      </c>
      <c r="R3224" s="11">
        <v>1.1574074074074073E-5</v>
      </c>
      <c r="S3224" t="s">
        <v>37</v>
      </c>
      <c r="T3224" t="str">
        <f>IF(Tabela1[[#This Row],[STATUS_NEGOCIO]]="Enviar E-mail",1,"")</f>
        <v/>
      </c>
      <c r="U3224" t="str">
        <f>TEXT(Tabela1[[#This Row],[DATA]],"dd/mm/aaaa")</f>
        <v>28/05/2026</v>
      </c>
    </row>
    <row r="3225" spans="1:21" x14ac:dyDescent="0.25">
      <c r="A3225" s="9">
        <v>46170.617523148147</v>
      </c>
      <c r="B3225" t="s">
        <v>19</v>
      </c>
      <c r="C3225" t="s">
        <v>20</v>
      </c>
      <c r="E3225"/>
      <c r="F3225">
        <v>2772036375</v>
      </c>
      <c r="G3225" s="10">
        <v>177999055434571</v>
      </c>
      <c r="H3225" t="s">
        <v>28</v>
      </c>
      <c r="I3225" t="s">
        <v>73</v>
      </c>
      <c r="J3225" t="s">
        <v>30</v>
      </c>
      <c r="K3225" t="s">
        <v>23</v>
      </c>
      <c r="L3225" t="s">
        <v>31</v>
      </c>
      <c r="N3225" t="s">
        <v>32</v>
      </c>
      <c r="O3225">
        <v>16</v>
      </c>
      <c r="R3225" s="11">
        <v>2.7777777777777778E-4</v>
      </c>
      <c r="S3225" s="11">
        <v>2.3148148148148147E-5</v>
      </c>
      <c r="T3225" t="str">
        <f>IF(Tabela1[[#This Row],[STATUS_NEGOCIO]]="Enviar E-mail",1,"")</f>
        <v/>
      </c>
      <c r="U3225" t="str">
        <f>TEXT(Tabela1[[#This Row],[DATA]],"dd/mm/aaaa")</f>
        <v>28/05/2026</v>
      </c>
    </row>
    <row r="3226" spans="1:21" x14ac:dyDescent="0.25">
      <c r="A3226" s="9">
        <v>46170.61791666667</v>
      </c>
      <c r="B3226" t="s">
        <v>19</v>
      </c>
      <c r="C3226" t="s">
        <v>20</v>
      </c>
      <c r="E3226"/>
      <c r="F3226">
        <v>2772036409</v>
      </c>
      <c r="G3226" s="10">
        <v>177999058834611</v>
      </c>
      <c r="H3226" t="s">
        <v>28</v>
      </c>
      <c r="I3226" t="s">
        <v>73</v>
      </c>
      <c r="J3226" t="s">
        <v>30</v>
      </c>
      <c r="K3226" t="s">
        <v>36</v>
      </c>
      <c r="N3226" t="s">
        <v>32</v>
      </c>
      <c r="O3226">
        <v>19</v>
      </c>
      <c r="R3226" s="11">
        <v>2.4305555555555555E-4</v>
      </c>
      <c r="S3226" t="s">
        <v>37</v>
      </c>
      <c r="T3226" t="str">
        <f>IF(Tabela1[[#This Row],[STATUS_NEGOCIO]]="Enviar E-mail",1,"")</f>
        <v/>
      </c>
      <c r="U3226" t="str">
        <f>TEXT(Tabela1[[#This Row],[DATA]],"dd/mm/aaaa")</f>
        <v>28/05/2026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4095-5DDA-44B7-83C1-7F98680B204D}">
  <dimension ref="A1:G15"/>
  <sheetViews>
    <sheetView topLeftCell="B1" workbookViewId="0">
      <selection activeCell="C2" sqref="C2:C15"/>
    </sheetView>
  </sheetViews>
  <sheetFormatPr defaultRowHeight="15" x14ac:dyDescent="0.25"/>
  <cols>
    <col min="1" max="2" width="29.85546875" bestFit="1" customWidth="1"/>
    <col min="5" max="5" width="21" bestFit="1" customWidth="1"/>
    <col min="6" max="6" width="5" bestFit="1" customWidth="1"/>
  </cols>
  <sheetData>
    <row r="1" spans="1:7" x14ac:dyDescent="0.25">
      <c r="A1" s="2" t="s">
        <v>11</v>
      </c>
      <c r="B1" t="s">
        <v>643</v>
      </c>
      <c r="C1" t="s">
        <v>659</v>
      </c>
      <c r="E1" t="s">
        <v>643</v>
      </c>
      <c r="F1" t="s">
        <v>659</v>
      </c>
    </row>
    <row r="2" spans="1:7" x14ac:dyDescent="0.25">
      <c r="A2" s="5" t="s">
        <v>24</v>
      </c>
      <c r="B2" s="5" t="s">
        <v>646</v>
      </c>
      <c r="C2">
        <f>COUNTIF('chamadas_22-04-2026_165407'!L:L,Planilha1!A2)</f>
        <v>8</v>
      </c>
      <c r="E2" s="5"/>
    </row>
    <row r="3" spans="1:7" x14ac:dyDescent="0.25">
      <c r="A3" s="5" t="s">
        <v>31</v>
      </c>
      <c r="B3" s="5" t="s">
        <v>645</v>
      </c>
      <c r="C3">
        <f>COUNTIF('chamadas_22-04-2026_165407'!L:L,Planilha1!A3)</f>
        <v>2291</v>
      </c>
      <c r="E3" s="5" t="s">
        <v>645</v>
      </c>
      <c r="F3">
        <f>SUMIF(B:B,E3,C:C)</f>
        <v>2856</v>
      </c>
    </row>
    <row r="4" spans="1:7" x14ac:dyDescent="0.25">
      <c r="A4" s="5" t="s">
        <v>36</v>
      </c>
      <c r="B4" s="5" t="s">
        <v>645</v>
      </c>
      <c r="C4">
        <f>COUNTIF('chamadas_22-04-2026_165407'!L:L,Planilha1!A4)</f>
        <v>421</v>
      </c>
      <c r="E4" t="s">
        <v>644</v>
      </c>
      <c r="F4">
        <f>SUMIF(B:B,E4,C:C)</f>
        <v>140</v>
      </c>
    </row>
    <row r="5" spans="1:7" x14ac:dyDescent="0.25">
      <c r="A5" s="5" t="s">
        <v>40</v>
      </c>
      <c r="B5" t="s">
        <v>644</v>
      </c>
      <c r="C5">
        <f>COUNTIF('chamadas_22-04-2026_165407'!L:L,Planilha1!A5)</f>
        <v>140</v>
      </c>
      <c r="E5" s="5" t="s">
        <v>646</v>
      </c>
      <c r="F5">
        <f>SUMIF(B:B,E5,C:C)</f>
        <v>41</v>
      </c>
    </row>
    <row r="6" spans="1:7" x14ac:dyDescent="0.25">
      <c r="A6" s="5" t="s">
        <v>44</v>
      </c>
      <c r="B6" s="5" t="s">
        <v>645</v>
      </c>
      <c r="C6">
        <f>COUNTIF('chamadas_22-04-2026_165407'!L:L,Planilha1!A6)</f>
        <v>68</v>
      </c>
      <c r="E6" s="5" t="s">
        <v>647</v>
      </c>
      <c r="F6">
        <f>SUMIF(B:B,E6,C:C)</f>
        <v>41</v>
      </c>
    </row>
    <row r="7" spans="1:7" x14ac:dyDescent="0.25">
      <c r="A7" s="5" t="s">
        <v>62</v>
      </c>
      <c r="B7" s="5" t="s">
        <v>645</v>
      </c>
      <c r="C7">
        <f>COUNTIF('chamadas_22-04-2026_165407'!L:L,Planilha1!A7)</f>
        <v>37</v>
      </c>
      <c r="F7">
        <f>SUM(F3:F6)</f>
        <v>3078</v>
      </c>
    </row>
    <row r="8" spans="1:7" x14ac:dyDescent="0.25">
      <c r="A8" s="5" t="s">
        <v>95</v>
      </c>
      <c r="B8" s="5" t="s">
        <v>646</v>
      </c>
      <c r="C8">
        <f>COUNTIF('chamadas_22-04-2026_165407'!L:L,Planilha1!A8)</f>
        <v>21</v>
      </c>
      <c r="E8" s="5"/>
      <c r="G8">
        <v>3225</v>
      </c>
    </row>
    <row r="9" spans="1:7" x14ac:dyDescent="0.25">
      <c r="A9" s="5" t="s">
        <v>100</v>
      </c>
      <c r="B9" s="5" t="s">
        <v>647</v>
      </c>
      <c r="C9">
        <f>COUNTIF('chamadas_22-04-2026_165407'!L:L,Planilha1!A9)</f>
        <v>7</v>
      </c>
      <c r="E9" s="5"/>
    </row>
    <row r="10" spans="1:7" x14ac:dyDescent="0.25">
      <c r="A10" s="5" t="s">
        <v>106</v>
      </c>
      <c r="B10" s="5" t="s">
        <v>647</v>
      </c>
      <c r="C10">
        <f>COUNTIF('chamadas_22-04-2026_165407'!L:L,Planilha1!A10)</f>
        <v>25</v>
      </c>
      <c r="E10" s="5"/>
    </row>
    <row r="11" spans="1:7" x14ac:dyDescent="0.25">
      <c r="A11" s="5" t="s">
        <v>128</v>
      </c>
      <c r="B11" s="5" t="s">
        <v>646</v>
      </c>
      <c r="C11">
        <f>COUNTIF('chamadas_22-04-2026_165407'!L:L,Planilha1!A11)</f>
        <v>1</v>
      </c>
      <c r="E11" s="5"/>
      <c r="F11">
        <v>516</v>
      </c>
    </row>
    <row r="12" spans="1:7" x14ac:dyDescent="0.25">
      <c r="A12" s="5" t="s">
        <v>152</v>
      </c>
      <c r="B12" s="5" t="s">
        <v>647</v>
      </c>
      <c r="C12">
        <f>COUNTIF('chamadas_22-04-2026_165407'!L:L,Planilha1!A12)</f>
        <v>9</v>
      </c>
      <c r="E12" s="5"/>
    </row>
    <row r="13" spans="1:7" x14ac:dyDescent="0.25">
      <c r="A13" s="5" t="s">
        <v>219</v>
      </c>
      <c r="B13" s="5" t="s">
        <v>646</v>
      </c>
      <c r="C13">
        <f>COUNTIF('chamadas_22-04-2026_165407'!L:L,Planilha1!A13)</f>
        <v>10</v>
      </c>
      <c r="E13" s="5"/>
    </row>
    <row r="14" spans="1:7" x14ac:dyDescent="0.25">
      <c r="A14" s="5" t="s">
        <v>265</v>
      </c>
      <c r="B14" s="5" t="s">
        <v>645</v>
      </c>
      <c r="C14">
        <f>COUNTIF('chamadas_22-04-2026_165407'!L:L,Planilha1!A14)</f>
        <v>39</v>
      </c>
      <c r="E14" s="5"/>
    </row>
    <row r="15" spans="1:7" x14ac:dyDescent="0.25">
      <c r="A15" s="5" t="s">
        <v>580</v>
      </c>
      <c r="B15" s="5" t="s">
        <v>646</v>
      </c>
      <c r="C15">
        <f>COUNTIF('chamadas_22-04-2026_165407'!L:L,Planilha1!A15)</f>
        <v>1</v>
      </c>
      <c r="E15" s="5"/>
    </row>
  </sheetData>
  <autoFilter ref="A1:F15" xr:uid="{204B4095-5DDA-44B7-83C1-7F98680B204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chamadas_22-04-2026_165407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Geraldo Chaves</dc:creator>
  <cp:lastModifiedBy>Esther:</cp:lastModifiedBy>
  <dcterms:created xsi:type="dcterms:W3CDTF">2026-04-22T20:22:06Z</dcterms:created>
  <dcterms:modified xsi:type="dcterms:W3CDTF">2026-06-07T21:19:57Z</dcterms:modified>
</cp:coreProperties>
</file>